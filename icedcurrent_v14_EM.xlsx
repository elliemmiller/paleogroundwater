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ellie_miller@mines.edu/Documents/CHAPTER1/Python/SubglacialExfiltration/"/>
    </mc:Choice>
  </mc:AlternateContent>
  <xr:revisionPtr revIDLastSave="0" documentId="13_ncr:1_{D8C6ED00-4CBA-AB4B-8758-1E67765B3C08}" xr6:coauthVersionLast="47" xr6:coauthVersionMax="47" xr10:uidLastSave="{00000000-0000-0000-0000-000000000000}"/>
  <bookViews>
    <workbookView xWindow="0" yWindow="920" windowWidth="30240" windowHeight="17520" xr2:uid="{00000000-000D-0000-FFFF-FFFF00000000}"/>
  </bookViews>
  <sheets>
    <sheet name="Data with Duplicates Removed " sheetId="1" r:id="rId1"/>
    <sheet name="marine_constrai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aOwvym1GHYBXhgTVsAP7T+X/p5eG5VVSLSp1+jykKBQ="/>
    </ext>
  </extLst>
</workbook>
</file>

<file path=xl/calcChain.xml><?xml version="1.0" encoding="utf-8"?>
<calcChain xmlns="http://schemas.openxmlformats.org/spreadsheetml/2006/main">
  <c r="K1210" i="1" l="1"/>
  <c r="K385" i="1"/>
  <c r="K188" i="1"/>
  <c r="K41" i="1"/>
  <c r="K44" i="1"/>
  <c r="K2" i="1"/>
  <c r="U724" i="1"/>
  <c r="U553" i="1"/>
  <c r="U554" i="1"/>
  <c r="U555" i="1"/>
  <c r="U556" i="1"/>
  <c r="U557" i="1"/>
  <c r="U558" i="1"/>
  <c r="U559" i="1"/>
  <c r="T269" i="1"/>
  <c r="T264" i="1"/>
  <c r="T263" i="1"/>
  <c r="T175" i="1"/>
  <c r="T174" i="1"/>
  <c r="X1139" i="1"/>
  <c r="X1466" i="1"/>
  <c r="K1466" i="1"/>
  <c r="X1465" i="1"/>
  <c r="K1465" i="1"/>
  <c r="X1464" i="1"/>
  <c r="K1464" i="1"/>
  <c r="X1463" i="1"/>
  <c r="K1463" i="1"/>
  <c r="X1462" i="1"/>
  <c r="K1462" i="1"/>
  <c r="X1461" i="1"/>
  <c r="K1461" i="1"/>
  <c r="X1460" i="1"/>
  <c r="K1460" i="1"/>
  <c r="X1459" i="1"/>
  <c r="K1459" i="1"/>
  <c r="X1458" i="1"/>
  <c r="K1458" i="1"/>
  <c r="X1457" i="1"/>
  <c r="K1457" i="1"/>
  <c r="X1456" i="1"/>
  <c r="K1456" i="1"/>
  <c r="X1455" i="1"/>
  <c r="K1455" i="1"/>
  <c r="X1454" i="1"/>
  <c r="K1454" i="1"/>
  <c r="X1453" i="1"/>
  <c r="K1453" i="1"/>
  <c r="X1452" i="1"/>
  <c r="K1452" i="1"/>
  <c r="X1451" i="1"/>
  <c r="K1451" i="1"/>
  <c r="X1450" i="1"/>
  <c r="K1450" i="1"/>
  <c r="X1449" i="1"/>
  <c r="K1449" i="1"/>
  <c r="X1448" i="1"/>
  <c r="K1448" i="1"/>
  <c r="X1447" i="1"/>
  <c r="K1447" i="1"/>
  <c r="X1446" i="1"/>
  <c r="K1446" i="1"/>
  <c r="X1445" i="1"/>
  <c r="K1445" i="1"/>
  <c r="X1444" i="1"/>
  <c r="K1444" i="1"/>
  <c r="X1443" i="1"/>
  <c r="K1443" i="1"/>
  <c r="X1442" i="1"/>
  <c r="K1442" i="1"/>
  <c r="X1441" i="1"/>
  <c r="K1441" i="1"/>
  <c r="X1440" i="1"/>
  <c r="K1440" i="1"/>
  <c r="X1439" i="1"/>
  <c r="K1439" i="1"/>
  <c r="X1438" i="1"/>
  <c r="K1438" i="1"/>
  <c r="X1437" i="1"/>
  <c r="K1437" i="1"/>
  <c r="X1436" i="1"/>
  <c r="K1436" i="1"/>
  <c r="X1435" i="1"/>
  <c r="K1435" i="1"/>
  <c r="X1434" i="1"/>
  <c r="K1434" i="1"/>
  <c r="X1433" i="1"/>
  <c r="K1433" i="1"/>
  <c r="X1432" i="1"/>
  <c r="K1432" i="1"/>
  <c r="X1431" i="1"/>
  <c r="K1431" i="1"/>
  <c r="X1430" i="1"/>
  <c r="K1430" i="1"/>
  <c r="X1429" i="1"/>
  <c r="K1429" i="1"/>
  <c r="X1428" i="1"/>
  <c r="K1428" i="1"/>
  <c r="X1427" i="1"/>
  <c r="K1427" i="1"/>
  <c r="X1426" i="1"/>
  <c r="K1426" i="1"/>
  <c r="X1425" i="1"/>
  <c r="K1425" i="1"/>
  <c r="X1424" i="1"/>
  <c r="K1424" i="1"/>
  <c r="X1423" i="1"/>
  <c r="K1423" i="1"/>
  <c r="X1422" i="1"/>
  <c r="K1422" i="1"/>
  <c r="X1421" i="1"/>
  <c r="K1421" i="1"/>
  <c r="X1420" i="1"/>
  <c r="K1420" i="1"/>
  <c r="X1419" i="1"/>
  <c r="K1419" i="1"/>
  <c r="X1418" i="1"/>
  <c r="K1418" i="1"/>
  <c r="X1417" i="1"/>
  <c r="K1417" i="1"/>
  <c r="X1416" i="1"/>
  <c r="K1416" i="1"/>
  <c r="X1415" i="1"/>
  <c r="K1415" i="1"/>
  <c r="X1414" i="1"/>
  <c r="K1414" i="1"/>
  <c r="X1413" i="1"/>
  <c r="K1413" i="1"/>
  <c r="X1412" i="1"/>
  <c r="K1412" i="1"/>
  <c r="X1411" i="1"/>
  <c r="K1411" i="1"/>
  <c r="X1410" i="1"/>
  <c r="K1410" i="1"/>
  <c r="X1409" i="1"/>
  <c r="K1409" i="1"/>
  <c r="X1408" i="1"/>
  <c r="K1408" i="1"/>
  <c r="X1407" i="1"/>
  <c r="K1407" i="1"/>
  <c r="X1406" i="1"/>
  <c r="K1406" i="1"/>
  <c r="X1405" i="1"/>
  <c r="K1405" i="1"/>
  <c r="X1404" i="1"/>
  <c r="K1404" i="1"/>
  <c r="X1403" i="1"/>
  <c r="K1403" i="1"/>
  <c r="X1402" i="1"/>
  <c r="K1402" i="1"/>
  <c r="X1401" i="1"/>
  <c r="K1401" i="1"/>
  <c r="X1400" i="1"/>
  <c r="K1400" i="1"/>
  <c r="X1399" i="1"/>
  <c r="K1399" i="1"/>
  <c r="X1398" i="1"/>
  <c r="K1398" i="1"/>
  <c r="X1397" i="1"/>
  <c r="K1397" i="1"/>
  <c r="X1396" i="1"/>
  <c r="K1396" i="1"/>
  <c r="X1395" i="1"/>
  <c r="K1395" i="1"/>
  <c r="X1394" i="1"/>
  <c r="K1394" i="1"/>
  <c r="X1393" i="1"/>
  <c r="K1393" i="1"/>
  <c r="X1392" i="1"/>
  <c r="K1392" i="1"/>
  <c r="X1391" i="1"/>
  <c r="K1391" i="1"/>
  <c r="X1390" i="1"/>
  <c r="K1390" i="1"/>
  <c r="X1389" i="1"/>
  <c r="K1389" i="1"/>
  <c r="X1388" i="1"/>
  <c r="K1388" i="1"/>
  <c r="X1387" i="1"/>
  <c r="K1387" i="1"/>
  <c r="X1386" i="1"/>
  <c r="K1386" i="1"/>
  <c r="X1385" i="1"/>
  <c r="K1385" i="1"/>
  <c r="X1384" i="1"/>
  <c r="K1384" i="1"/>
  <c r="X1383" i="1"/>
  <c r="K1383" i="1"/>
  <c r="X1382" i="1"/>
  <c r="K1382" i="1"/>
  <c r="X1381" i="1"/>
  <c r="K1381" i="1"/>
  <c r="X1380" i="1"/>
  <c r="K1380" i="1"/>
  <c r="X1379" i="1"/>
  <c r="K1379" i="1"/>
  <c r="X1378" i="1"/>
  <c r="K1378" i="1"/>
  <c r="X1377" i="1"/>
  <c r="K1377" i="1"/>
  <c r="X1376" i="1"/>
  <c r="K1376" i="1"/>
  <c r="X1375" i="1"/>
  <c r="K1375" i="1"/>
  <c r="X1374" i="1"/>
  <c r="K1374" i="1"/>
  <c r="X1373" i="1"/>
  <c r="K1373" i="1"/>
  <c r="X1372" i="1"/>
  <c r="K1372" i="1"/>
  <c r="X1371" i="1"/>
  <c r="K1371" i="1"/>
  <c r="X1370" i="1"/>
  <c r="K1370" i="1"/>
  <c r="X1369" i="1"/>
  <c r="K1369" i="1"/>
  <c r="X1368" i="1"/>
  <c r="K1368" i="1"/>
  <c r="X1367" i="1"/>
  <c r="K1367" i="1"/>
  <c r="X1366" i="1"/>
  <c r="K1366" i="1"/>
  <c r="X1365" i="1"/>
  <c r="K1365" i="1"/>
  <c r="X1364" i="1"/>
  <c r="K1364" i="1"/>
  <c r="X1363" i="1"/>
  <c r="K1363" i="1"/>
  <c r="X1362" i="1"/>
  <c r="K1362" i="1"/>
  <c r="X1361" i="1"/>
  <c r="K1361" i="1"/>
  <c r="K1360" i="1"/>
  <c r="X1358" i="1"/>
  <c r="K1358" i="1"/>
  <c r="X1357" i="1"/>
  <c r="K1357" i="1"/>
  <c r="X1356" i="1"/>
  <c r="K1356" i="1"/>
  <c r="X1355" i="1"/>
  <c r="K1355" i="1"/>
  <c r="K1354" i="1"/>
  <c r="X1353" i="1"/>
  <c r="K1353" i="1"/>
  <c r="X1352" i="1"/>
  <c r="K1352" i="1"/>
  <c r="X1351" i="1"/>
  <c r="K1351" i="1"/>
  <c r="X1350" i="1"/>
  <c r="K1350" i="1"/>
  <c r="X1349" i="1"/>
  <c r="K1349" i="1"/>
  <c r="X1348" i="1"/>
  <c r="K1348" i="1"/>
  <c r="X1347" i="1"/>
  <c r="K1347" i="1"/>
  <c r="X1346" i="1"/>
  <c r="K1346" i="1"/>
  <c r="X1345" i="1"/>
  <c r="K1345" i="1"/>
  <c r="X1344" i="1"/>
  <c r="K1344" i="1"/>
  <c r="X1343" i="1"/>
  <c r="K1343" i="1"/>
  <c r="X1342" i="1"/>
  <c r="K1342" i="1"/>
  <c r="X1341" i="1"/>
  <c r="K1341" i="1"/>
  <c r="X1340" i="1"/>
  <c r="K1340" i="1"/>
  <c r="X1339" i="1"/>
  <c r="K1339" i="1"/>
  <c r="X1338" i="1"/>
  <c r="K1338" i="1"/>
  <c r="X1336" i="1"/>
  <c r="K1336" i="1"/>
  <c r="X1335" i="1"/>
  <c r="K1335" i="1"/>
  <c r="X1334" i="1"/>
  <c r="K1334" i="1"/>
  <c r="X1333" i="1"/>
  <c r="X1332" i="1"/>
  <c r="X1331" i="1"/>
  <c r="K1331" i="1"/>
  <c r="X1330" i="1"/>
  <c r="K1330" i="1"/>
  <c r="X1329" i="1"/>
  <c r="K1329" i="1"/>
  <c r="X1328" i="1"/>
  <c r="K1328" i="1"/>
  <c r="X1327" i="1"/>
  <c r="K1327" i="1"/>
  <c r="X1326" i="1"/>
  <c r="K1326" i="1"/>
  <c r="X1325" i="1"/>
  <c r="K1325" i="1"/>
  <c r="X1324" i="1"/>
  <c r="K1324" i="1"/>
  <c r="X1323" i="1"/>
  <c r="K1323" i="1"/>
  <c r="X1322" i="1"/>
  <c r="K1322" i="1"/>
  <c r="X1321" i="1"/>
  <c r="K1321" i="1"/>
  <c r="X1320" i="1"/>
  <c r="K1320" i="1"/>
  <c r="X1319" i="1"/>
  <c r="K1319" i="1"/>
  <c r="X1318" i="1"/>
  <c r="K1318" i="1"/>
  <c r="X1317" i="1"/>
  <c r="K1317" i="1"/>
  <c r="X1316" i="1"/>
  <c r="X1315" i="1"/>
  <c r="X1314" i="1"/>
  <c r="X1313" i="1"/>
  <c r="X1312" i="1"/>
  <c r="X1311" i="1"/>
  <c r="K1311" i="1"/>
  <c r="X1310" i="1"/>
  <c r="K1310" i="1"/>
  <c r="X1309" i="1"/>
  <c r="K1309" i="1"/>
  <c r="X1308" i="1"/>
  <c r="K1308" i="1"/>
  <c r="X1307" i="1"/>
  <c r="K1307" i="1"/>
  <c r="X1306" i="1"/>
  <c r="K1306" i="1"/>
  <c r="X1305" i="1"/>
  <c r="K1305" i="1"/>
  <c r="X1304" i="1"/>
  <c r="K1304" i="1"/>
  <c r="X1303" i="1"/>
  <c r="K1303" i="1"/>
  <c r="X1302" i="1"/>
  <c r="K1302" i="1"/>
  <c r="X1301" i="1"/>
  <c r="K1301" i="1"/>
  <c r="X1300" i="1"/>
  <c r="K1300" i="1"/>
  <c r="X1299" i="1"/>
  <c r="K1299" i="1"/>
  <c r="X1298" i="1"/>
  <c r="K1298" i="1"/>
  <c r="X1297" i="1"/>
  <c r="K1297" i="1"/>
  <c r="X1296" i="1"/>
  <c r="K1296" i="1"/>
  <c r="X1295" i="1"/>
  <c r="K1295" i="1"/>
  <c r="X1294" i="1"/>
  <c r="K1294" i="1"/>
  <c r="X1293" i="1"/>
  <c r="K1293" i="1"/>
  <c r="X1292" i="1"/>
  <c r="K1292" i="1"/>
  <c r="X1291" i="1"/>
  <c r="K1291" i="1"/>
  <c r="X1290" i="1"/>
  <c r="K1290" i="1"/>
  <c r="X1289" i="1"/>
  <c r="K1289" i="1"/>
  <c r="X1288" i="1"/>
  <c r="K1288" i="1"/>
  <c r="X1287" i="1"/>
  <c r="K1287" i="1"/>
  <c r="X1286" i="1"/>
  <c r="K1286" i="1"/>
  <c r="X1285" i="1"/>
  <c r="K1285" i="1"/>
  <c r="X1284" i="1"/>
  <c r="K1284" i="1"/>
  <c r="X1283" i="1"/>
  <c r="K1283" i="1"/>
  <c r="X1282" i="1"/>
  <c r="K1282" i="1"/>
  <c r="X1281" i="1"/>
  <c r="K1281" i="1"/>
  <c r="X1280" i="1"/>
  <c r="K1280" i="1"/>
  <c r="X1279" i="1"/>
  <c r="K1279" i="1"/>
  <c r="X1278" i="1"/>
  <c r="K1278" i="1"/>
  <c r="X1277" i="1"/>
  <c r="K1277" i="1"/>
  <c r="X1276" i="1"/>
  <c r="K1276" i="1"/>
  <c r="X1275" i="1"/>
  <c r="K1275" i="1"/>
  <c r="X1274" i="1"/>
  <c r="K1274" i="1"/>
  <c r="X1273" i="1"/>
  <c r="K1273" i="1"/>
  <c r="X1272" i="1"/>
  <c r="K1272" i="1"/>
  <c r="X1271" i="1"/>
  <c r="K1271" i="1"/>
  <c r="X1270" i="1"/>
  <c r="K1270" i="1"/>
  <c r="X1269" i="1"/>
  <c r="K1269" i="1"/>
  <c r="X1268" i="1"/>
  <c r="K1268" i="1"/>
  <c r="X1267" i="1"/>
  <c r="K1267" i="1"/>
  <c r="X1266" i="1"/>
  <c r="K1266" i="1"/>
  <c r="X1265" i="1"/>
  <c r="K1265" i="1"/>
  <c r="X1264" i="1"/>
  <c r="K1264" i="1"/>
  <c r="X1263" i="1"/>
  <c r="K1263" i="1"/>
  <c r="X1262" i="1"/>
  <c r="K1262" i="1"/>
  <c r="X1261" i="1"/>
  <c r="K1261" i="1"/>
  <c r="X1260" i="1"/>
  <c r="K1260" i="1"/>
  <c r="X1259" i="1"/>
  <c r="K1259" i="1"/>
  <c r="X1258" i="1"/>
  <c r="K1258" i="1"/>
  <c r="X1257" i="1"/>
  <c r="K1257" i="1"/>
  <c r="X1256" i="1"/>
  <c r="K1256" i="1"/>
  <c r="X1255" i="1"/>
  <c r="K1255" i="1"/>
  <c r="X1254" i="1"/>
  <c r="K1254" i="1"/>
  <c r="X1253" i="1"/>
  <c r="K1253" i="1"/>
  <c r="X1252" i="1"/>
  <c r="K1252" i="1"/>
  <c r="X1251" i="1"/>
  <c r="K1251" i="1"/>
  <c r="X1250" i="1"/>
  <c r="K1250" i="1"/>
  <c r="X1249" i="1"/>
  <c r="K1249" i="1"/>
  <c r="X1248" i="1"/>
  <c r="K1248" i="1"/>
  <c r="X1247" i="1"/>
  <c r="K1247" i="1"/>
  <c r="X1246" i="1"/>
  <c r="K1246" i="1"/>
  <c r="X1245" i="1"/>
  <c r="K1245" i="1"/>
  <c r="X1244" i="1"/>
  <c r="K1244" i="1"/>
  <c r="X1243" i="1"/>
  <c r="K1243" i="1"/>
  <c r="X1242" i="1"/>
  <c r="K1242" i="1"/>
  <c r="X1241" i="1"/>
  <c r="K1241" i="1"/>
  <c r="X1240" i="1"/>
  <c r="K1240" i="1"/>
  <c r="X1239" i="1"/>
  <c r="K1239" i="1"/>
  <c r="X1238" i="1"/>
  <c r="K1238" i="1"/>
  <c r="X1237" i="1"/>
  <c r="K1237" i="1"/>
  <c r="X1236" i="1"/>
  <c r="K1236" i="1"/>
  <c r="X1235" i="1"/>
  <c r="K1235" i="1"/>
  <c r="X1234" i="1"/>
  <c r="K1234" i="1"/>
  <c r="X1233" i="1"/>
  <c r="K1233" i="1"/>
  <c r="X1232" i="1"/>
  <c r="K1232" i="1"/>
  <c r="X1231" i="1"/>
  <c r="K1231" i="1"/>
  <c r="X1230" i="1"/>
  <c r="K1230" i="1"/>
  <c r="X1229" i="1"/>
  <c r="K1229" i="1"/>
  <c r="X1228" i="1"/>
  <c r="K1228" i="1"/>
  <c r="X1227" i="1"/>
  <c r="K1227" i="1"/>
  <c r="X1226" i="1"/>
  <c r="K1226" i="1"/>
  <c r="X1225" i="1"/>
  <c r="K1225" i="1"/>
  <c r="X1224" i="1"/>
  <c r="K1224" i="1"/>
  <c r="X1223" i="1"/>
  <c r="K1223" i="1"/>
  <c r="X1222" i="1"/>
  <c r="K1222" i="1"/>
  <c r="K1221" i="1"/>
  <c r="K1220" i="1"/>
  <c r="K1219" i="1"/>
  <c r="K1218" i="1"/>
  <c r="K1217" i="1"/>
  <c r="K1216" i="1"/>
  <c r="K1215" i="1"/>
  <c r="K1214" i="1"/>
  <c r="K1213" i="1"/>
  <c r="K1212" i="1"/>
  <c r="K1211"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X1183" i="1"/>
  <c r="K1183" i="1"/>
  <c r="X1182" i="1"/>
  <c r="K1182" i="1"/>
  <c r="X1181" i="1"/>
  <c r="K1181" i="1"/>
  <c r="X1180" i="1"/>
  <c r="K1180" i="1"/>
  <c r="X1179" i="1"/>
  <c r="K1179" i="1"/>
  <c r="X1178" i="1"/>
  <c r="K1178" i="1"/>
  <c r="X1177" i="1"/>
  <c r="K1177" i="1"/>
  <c r="X1176" i="1"/>
  <c r="K1176" i="1"/>
  <c r="X1175" i="1"/>
  <c r="K1175" i="1"/>
  <c r="X1174" i="1"/>
  <c r="K1174" i="1"/>
  <c r="X1173" i="1"/>
  <c r="K1173" i="1"/>
  <c r="X1172" i="1"/>
  <c r="K1172" i="1"/>
  <c r="X1171" i="1"/>
  <c r="K1171" i="1"/>
  <c r="X1170" i="1"/>
  <c r="K1170" i="1"/>
  <c r="X1169" i="1"/>
  <c r="K1169" i="1"/>
  <c r="X1168" i="1"/>
  <c r="K1168" i="1"/>
  <c r="X1167" i="1"/>
  <c r="K1167" i="1"/>
  <c r="X1166" i="1"/>
  <c r="K1166" i="1"/>
  <c r="K1165" i="1"/>
  <c r="K1164" i="1"/>
  <c r="K1163" i="1"/>
  <c r="K1162" i="1"/>
  <c r="K1161" i="1"/>
  <c r="K1160" i="1"/>
  <c r="K1159" i="1"/>
  <c r="K1158" i="1"/>
  <c r="X1155" i="1"/>
  <c r="X1149" i="1"/>
  <c r="X1145" i="1"/>
  <c r="X1123" i="1"/>
  <c r="X1118" i="1"/>
  <c r="X1107" i="1"/>
  <c r="K1107" i="1"/>
  <c r="X1106" i="1"/>
  <c r="K1106" i="1"/>
  <c r="X1105" i="1"/>
  <c r="K1105" i="1"/>
  <c r="X1104" i="1"/>
  <c r="K1104" i="1"/>
  <c r="X1103" i="1"/>
  <c r="K1103" i="1"/>
  <c r="X1102" i="1"/>
  <c r="K1102" i="1"/>
  <c r="X1101" i="1"/>
  <c r="K1101" i="1"/>
  <c r="X1100" i="1"/>
  <c r="K1100" i="1"/>
  <c r="X1099" i="1"/>
  <c r="K1099" i="1"/>
  <c r="X1098" i="1"/>
  <c r="K1098" i="1"/>
  <c r="X1097" i="1"/>
  <c r="K1097" i="1"/>
  <c r="X1096" i="1"/>
  <c r="K1096" i="1"/>
  <c r="X1095" i="1"/>
  <c r="K1095" i="1"/>
  <c r="X1094" i="1"/>
  <c r="K1094" i="1"/>
  <c r="X1093" i="1"/>
  <c r="K1093" i="1"/>
  <c r="X1092" i="1"/>
  <c r="K1092" i="1"/>
  <c r="X1091" i="1"/>
  <c r="K1091" i="1"/>
  <c r="X1090" i="1"/>
  <c r="K1090" i="1"/>
  <c r="X1089" i="1"/>
  <c r="K1089" i="1"/>
  <c r="X1088" i="1"/>
  <c r="K1088" i="1"/>
  <c r="X1087" i="1"/>
  <c r="K1087" i="1"/>
  <c r="X1086" i="1"/>
  <c r="K1086" i="1"/>
  <c r="X1085" i="1"/>
  <c r="K1085" i="1"/>
  <c r="K1084" i="1"/>
  <c r="X1083" i="1"/>
  <c r="K1083" i="1"/>
  <c r="X1082" i="1"/>
  <c r="K1082" i="1"/>
  <c r="X1081" i="1"/>
  <c r="K1081" i="1"/>
  <c r="X1080" i="1"/>
  <c r="K1080" i="1"/>
  <c r="X1079" i="1"/>
  <c r="K1079" i="1"/>
  <c r="X1078" i="1"/>
  <c r="K1078" i="1"/>
  <c r="X1077" i="1"/>
  <c r="K1077" i="1"/>
  <c r="X1076" i="1"/>
  <c r="K1076" i="1"/>
  <c r="X1075" i="1"/>
  <c r="K1075" i="1"/>
  <c r="X1074" i="1"/>
  <c r="K1074" i="1"/>
  <c r="X1073" i="1"/>
  <c r="K1073" i="1"/>
  <c r="X1072" i="1"/>
  <c r="K1072" i="1"/>
  <c r="X1071" i="1"/>
  <c r="K1071" i="1"/>
  <c r="X1070" i="1"/>
  <c r="K1070" i="1"/>
  <c r="X1069" i="1"/>
  <c r="K1069" i="1"/>
  <c r="X1068" i="1"/>
  <c r="K1068" i="1"/>
  <c r="X1067" i="1"/>
  <c r="K1067" i="1"/>
  <c r="X1066" i="1"/>
  <c r="K1066" i="1"/>
  <c r="X1065" i="1"/>
  <c r="K1065" i="1"/>
  <c r="X1064" i="1"/>
  <c r="K1064" i="1"/>
  <c r="X1063" i="1"/>
  <c r="K1063" i="1"/>
  <c r="X1062" i="1"/>
  <c r="K1062" i="1"/>
  <c r="X1061" i="1"/>
  <c r="K1061" i="1"/>
  <c r="X1060" i="1"/>
  <c r="K1060" i="1"/>
  <c r="X1059" i="1"/>
  <c r="K1059" i="1"/>
  <c r="X1058" i="1"/>
  <c r="K1058" i="1"/>
  <c r="X1057" i="1"/>
  <c r="K1057" i="1"/>
  <c r="X1056" i="1"/>
  <c r="K1056" i="1"/>
  <c r="X1055" i="1"/>
  <c r="K1055" i="1"/>
  <c r="X1054" i="1"/>
  <c r="K1054" i="1"/>
  <c r="X1053" i="1"/>
  <c r="K1053" i="1"/>
  <c r="X1052" i="1"/>
  <c r="K1052" i="1"/>
  <c r="X1051" i="1"/>
  <c r="K1051" i="1"/>
  <c r="X1050" i="1"/>
  <c r="K1050" i="1"/>
  <c r="X1049" i="1"/>
  <c r="K1049" i="1"/>
  <c r="X1048" i="1"/>
  <c r="K1048" i="1"/>
  <c r="X1047" i="1"/>
  <c r="K1047" i="1"/>
  <c r="X1046" i="1"/>
  <c r="K1046" i="1"/>
  <c r="X1045" i="1"/>
  <c r="K1045" i="1"/>
  <c r="X1044" i="1"/>
  <c r="K1044" i="1"/>
  <c r="X1043" i="1"/>
  <c r="K1043" i="1"/>
  <c r="X1042" i="1"/>
  <c r="K1042" i="1"/>
  <c r="X1041" i="1"/>
  <c r="K1041" i="1"/>
  <c r="X1040" i="1"/>
  <c r="K1040" i="1"/>
  <c r="X1039" i="1"/>
  <c r="K1039" i="1"/>
  <c r="X1038" i="1"/>
  <c r="K1038" i="1"/>
  <c r="X1037" i="1"/>
  <c r="K1037" i="1"/>
  <c r="X1036" i="1"/>
  <c r="K1036" i="1"/>
  <c r="X1035" i="1"/>
  <c r="K1035" i="1"/>
  <c r="X1034" i="1"/>
  <c r="K1034" i="1"/>
  <c r="X1033" i="1"/>
  <c r="K1033" i="1"/>
  <c r="X1032" i="1"/>
  <c r="K1032" i="1"/>
  <c r="X1031" i="1"/>
  <c r="K1031" i="1"/>
  <c r="X1030" i="1"/>
  <c r="K1030" i="1"/>
  <c r="X1029" i="1"/>
  <c r="K1029" i="1"/>
  <c r="X1028" i="1"/>
  <c r="K1028" i="1"/>
  <c r="X1027" i="1"/>
  <c r="K1027" i="1"/>
  <c r="X1026" i="1"/>
  <c r="K1026" i="1"/>
  <c r="X1025" i="1"/>
  <c r="K1025" i="1"/>
  <c r="X1024" i="1"/>
  <c r="K1024" i="1"/>
  <c r="X1023" i="1"/>
  <c r="K1023" i="1"/>
  <c r="X1022" i="1"/>
  <c r="K1022" i="1"/>
  <c r="X1021" i="1"/>
  <c r="K1021" i="1"/>
  <c r="X1020" i="1"/>
  <c r="K1020" i="1"/>
  <c r="X1019" i="1"/>
  <c r="K1019" i="1"/>
  <c r="X1018" i="1"/>
  <c r="K1018" i="1"/>
  <c r="X1017" i="1"/>
  <c r="K1017" i="1"/>
  <c r="X1016" i="1"/>
  <c r="K1016" i="1"/>
  <c r="X1015" i="1"/>
  <c r="K1015" i="1"/>
  <c r="X1014" i="1"/>
  <c r="K1014" i="1"/>
  <c r="X1013" i="1"/>
  <c r="K1013" i="1"/>
  <c r="X1012" i="1"/>
  <c r="K1012" i="1"/>
  <c r="X1011" i="1"/>
  <c r="K1011" i="1"/>
  <c r="X1010" i="1"/>
  <c r="K1010" i="1"/>
  <c r="X1009" i="1"/>
  <c r="K1009" i="1"/>
  <c r="X1008" i="1"/>
  <c r="K1008" i="1"/>
  <c r="X1007" i="1"/>
  <c r="K1007" i="1"/>
  <c r="X1006" i="1"/>
  <c r="K1006" i="1"/>
  <c r="X1005" i="1"/>
  <c r="K1005" i="1"/>
  <c r="X1004" i="1"/>
  <c r="K1004" i="1"/>
  <c r="X1003" i="1"/>
  <c r="K1003" i="1"/>
  <c r="X1002" i="1"/>
  <c r="K1002" i="1"/>
  <c r="X1001" i="1"/>
  <c r="K1001" i="1"/>
  <c r="X1000" i="1"/>
  <c r="K1000" i="1"/>
  <c r="X999" i="1"/>
  <c r="K999" i="1"/>
  <c r="X998" i="1"/>
  <c r="K998" i="1"/>
  <c r="X997" i="1"/>
  <c r="K997" i="1"/>
  <c r="X996" i="1"/>
  <c r="K996" i="1"/>
  <c r="X995" i="1"/>
  <c r="K995" i="1"/>
  <c r="X994" i="1"/>
  <c r="K994" i="1"/>
  <c r="X993" i="1"/>
  <c r="K993" i="1"/>
  <c r="X992" i="1"/>
  <c r="K992" i="1"/>
  <c r="X991" i="1"/>
  <c r="K991" i="1"/>
  <c r="X990" i="1"/>
  <c r="K990" i="1"/>
  <c r="X989" i="1"/>
  <c r="K989" i="1"/>
  <c r="X988" i="1"/>
  <c r="K988" i="1"/>
  <c r="X987" i="1"/>
  <c r="K987" i="1"/>
  <c r="X986" i="1"/>
  <c r="K986" i="1"/>
  <c r="X985" i="1"/>
  <c r="K985" i="1"/>
  <c r="X984" i="1"/>
  <c r="K984" i="1"/>
  <c r="X983" i="1"/>
  <c r="K983" i="1"/>
  <c r="X982" i="1"/>
  <c r="K982" i="1"/>
  <c r="X981" i="1"/>
  <c r="K981" i="1"/>
  <c r="X980" i="1"/>
  <c r="K980" i="1"/>
  <c r="X979" i="1"/>
  <c r="K979" i="1"/>
  <c r="X978" i="1"/>
  <c r="K978" i="1"/>
  <c r="X977" i="1"/>
  <c r="K977" i="1"/>
  <c r="X976" i="1"/>
  <c r="K976" i="1"/>
  <c r="X975" i="1"/>
  <c r="K975" i="1"/>
  <c r="X974" i="1"/>
  <c r="K974" i="1"/>
  <c r="X973" i="1"/>
  <c r="K973" i="1"/>
  <c r="X972" i="1"/>
  <c r="K972" i="1"/>
  <c r="X971" i="1"/>
  <c r="K971" i="1"/>
  <c r="X970" i="1"/>
  <c r="K970" i="1"/>
  <c r="X969" i="1"/>
  <c r="K969" i="1"/>
  <c r="X968" i="1"/>
  <c r="K968" i="1"/>
  <c r="X967" i="1"/>
  <c r="K967" i="1"/>
  <c r="K966" i="1"/>
  <c r="K965" i="1"/>
  <c r="X964" i="1"/>
  <c r="K964" i="1"/>
  <c r="X963" i="1"/>
  <c r="K963" i="1"/>
  <c r="X962" i="1"/>
  <c r="K962" i="1"/>
  <c r="X961" i="1"/>
  <c r="K961" i="1"/>
  <c r="X960" i="1"/>
  <c r="K960" i="1"/>
  <c r="X959" i="1"/>
  <c r="K959" i="1"/>
  <c r="X958" i="1"/>
  <c r="K958" i="1"/>
  <c r="X957" i="1"/>
  <c r="K957" i="1"/>
  <c r="X956" i="1"/>
  <c r="K956" i="1"/>
  <c r="X955" i="1"/>
  <c r="K955" i="1"/>
  <c r="X954" i="1"/>
  <c r="K954" i="1"/>
  <c r="X953" i="1"/>
  <c r="K953" i="1"/>
  <c r="X952" i="1"/>
  <c r="K952" i="1"/>
  <c r="X951" i="1"/>
  <c r="K951" i="1"/>
  <c r="X950" i="1"/>
  <c r="K950" i="1"/>
  <c r="X949" i="1"/>
  <c r="K949" i="1"/>
  <c r="X948" i="1"/>
  <c r="K948" i="1"/>
  <c r="X947" i="1"/>
  <c r="K947" i="1"/>
  <c r="X946" i="1"/>
  <c r="K946" i="1"/>
  <c r="X945" i="1"/>
  <c r="K945" i="1"/>
  <c r="X944" i="1"/>
  <c r="K944" i="1"/>
  <c r="X943" i="1"/>
  <c r="K943" i="1"/>
  <c r="X942" i="1"/>
  <c r="K942" i="1"/>
  <c r="X941" i="1"/>
  <c r="K941" i="1"/>
  <c r="X940" i="1"/>
  <c r="K940" i="1"/>
  <c r="X939" i="1"/>
  <c r="K939" i="1"/>
  <c r="X938" i="1"/>
  <c r="K938" i="1"/>
  <c r="X937" i="1"/>
  <c r="K937" i="1"/>
  <c r="X936" i="1"/>
  <c r="K936" i="1"/>
  <c r="X935" i="1"/>
  <c r="K935" i="1"/>
  <c r="X934" i="1"/>
  <c r="K934" i="1"/>
  <c r="X933" i="1"/>
  <c r="K933" i="1"/>
  <c r="X932" i="1"/>
  <c r="K932" i="1"/>
  <c r="X931" i="1"/>
  <c r="K931" i="1"/>
  <c r="X930" i="1"/>
  <c r="K930" i="1"/>
  <c r="X929" i="1"/>
  <c r="K929" i="1"/>
  <c r="X928" i="1"/>
  <c r="K928" i="1"/>
  <c r="X927" i="1"/>
  <c r="K927" i="1"/>
  <c r="X926" i="1"/>
  <c r="K926" i="1"/>
  <c r="X925" i="1"/>
  <c r="K925" i="1"/>
  <c r="X924" i="1"/>
  <c r="K924" i="1"/>
  <c r="X923" i="1"/>
  <c r="K923" i="1"/>
  <c r="X922" i="1"/>
  <c r="K922" i="1"/>
  <c r="X921" i="1"/>
  <c r="K921" i="1"/>
  <c r="X920" i="1"/>
  <c r="K920" i="1"/>
  <c r="X919" i="1"/>
  <c r="K919" i="1"/>
  <c r="X918" i="1"/>
  <c r="K918" i="1"/>
  <c r="X917" i="1"/>
  <c r="K917" i="1"/>
  <c r="X916" i="1"/>
  <c r="K916" i="1"/>
  <c r="X915" i="1"/>
  <c r="K915" i="1"/>
  <c r="X914" i="1"/>
  <c r="K914" i="1"/>
  <c r="X913" i="1"/>
  <c r="K913" i="1"/>
  <c r="X912" i="1"/>
  <c r="K912" i="1"/>
  <c r="X911" i="1"/>
  <c r="K911" i="1"/>
  <c r="X910" i="1"/>
  <c r="K910" i="1"/>
  <c r="X909" i="1"/>
  <c r="K909" i="1"/>
  <c r="X908" i="1"/>
  <c r="K908" i="1"/>
  <c r="X907" i="1"/>
  <c r="K907" i="1"/>
  <c r="X906" i="1"/>
  <c r="K906" i="1"/>
  <c r="X905" i="1"/>
  <c r="K905" i="1"/>
  <c r="X904" i="1"/>
  <c r="K904" i="1"/>
  <c r="X903" i="1"/>
  <c r="K903" i="1"/>
  <c r="X902" i="1"/>
  <c r="K902" i="1"/>
  <c r="X901" i="1"/>
  <c r="K901" i="1"/>
  <c r="X900" i="1"/>
  <c r="K900" i="1"/>
  <c r="X899" i="1"/>
  <c r="K899" i="1"/>
  <c r="X898" i="1"/>
  <c r="K898" i="1"/>
  <c r="X897" i="1"/>
  <c r="K897" i="1"/>
  <c r="X896" i="1"/>
  <c r="K896" i="1"/>
  <c r="X895" i="1"/>
  <c r="K895" i="1"/>
  <c r="X894" i="1"/>
  <c r="K894" i="1"/>
  <c r="X893" i="1"/>
  <c r="K893" i="1"/>
  <c r="X892" i="1"/>
  <c r="K892" i="1"/>
  <c r="X891" i="1"/>
  <c r="K891" i="1"/>
  <c r="X890" i="1"/>
  <c r="K890" i="1"/>
  <c r="X889" i="1"/>
  <c r="K889" i="1"/>
  <c r="X888" i="1"/>
  <c r="K888" i="1"/>
  <c r="X887" i="1"/>
  <c r="K887" i="1"/>
  <c r="X886" i="1"/>
  <c r="K886" i="1"/>
  <c r="X885" i="1"/>
  <c r="K885" i="1"/>
  <c r="X884" i="1"/>
  <c r="K884" i="1"/>
  <c r="X883" i="1"/>
  <c r="K883" i="1"/>
  <c r="X882" i="1"/>
  <c r="K882" i="1"/>
  <c r="X881" i="1"/>
  <c r="K881" i="1"/>
  <c r="X880" i="1"/>
  <c r="K880" i="1"/>
  <c r="X879" i="1"/>
  <c r="K879" i="1"/>
  <c r="X878" i="1"/>
  <c r="X877" i="1"/>
  <c r="X876" i="1"/>
  <c r="X875" i="1"/>
  <c r="X874" i="1"/>
  <c r="X873" i="1"/>
  <c r="X872" i="1"/>
  <c r="K872" i="1"/>
  <c r="X871" i="1"/>
  <c r="K871" i="1"/>
  <c r="X870" i="1"/>
  <c r="K870" i="1"/>
  <c r="X869" i="1"/>
  <c r="K869" i="1"/>
  <c r="X868" i="1"/>
  <c r="K868" i="1"/>
  <c r="X867" i="1"/>
  <c r="K867" i="1"/>
  <c r="X866" i="1"/>
  <c r="K866" i="1"/>
  <c r="X865" i="1"/>
  <c r="K865" i="1"/>
  <c r="X864" i="1"/>
  <c r="K864" i="1"/>
  <c r="X863" i="1"/>
  <c r="K863" i="1"/>
  <c r="X862" i="1"/>
  <c r="K862" i="1"/>
  <c r="X861" i="1"/>
  <c r="K861" i="1"/>
  <c r="X860" i="1"/>
  <c r="K860" i="1"/>
  <c r="X859" i="1"/>
  <c r="K859" i="1"/>
  <c r="X858" i="1"/>
  <c r="K858" i="1"/>
  <c r="X857" i="1"/>
  <c r="K857" i="1"/>
  <c r="X856" i="1"/>
  <c r="K856" i="1"/>
  <c r="X855" i="1"/>
  <c r="K855" i="1"/>
  <c r="X854" i="1"/>
  <c r="K854" i="1"/>
  <c r="X853" i="1"/>
  <c r="K853" i="1"/>
  <c r="X852" i="1"/>
  <c r="K852" i="1"/>
  <c r="X851" i="1"/>
  <c r="K851" i="1"/>
  <c r="X850" i="1"/>
  <c r="K850" i="1"/>
  <c r="X849" i="1"/>
  <c r="K849" i="1"/>
  <c r="X848" i="1"/>
  <c r="X847" i="1"/>
  <c r="X846" i="1"/>
  <c r="X845" i="1"/>
  <c r="X844" i="1"/>
  <c r="X843" i="1"/>
  <c r="X842" i="1"/>
  <c r="X841" i="1"/>
  <c r="X840" i="1"/>
  <c r="X839" i="1"/>
  <c r="X838" i="1"/>
  <c r="X837" i="1"/>
  <c r="X836" i="1"/>
  <c r="X835" i="1"/>
  <c r="X834" i="1"/>
  <c r="X833" i="1"/>
  <c r="X832" i="1"/>
  <c r="K832" i="1"/>
  <c r="X831" i="1"/>
  <c r="K831" i="1"/>
  <c r="X830" i="1"/>
  <c r="K830" i="1"/>
  <c r="X829" i="1"/>
  <c r="K829" i="1"/>
  <c r="X828" i="1"/>
  <c r="K828" i="1"/>
  <c r="X827" i="1"/>
  <c r="K827" i="1"/>
  <c r="X826" i="1"/>
  <c r="K826" i="1"/>
  <c r="X825" i="1"/>
  <c r="K825" i="1"/>
  <c r="X824" i="1"/>
  <c r="K824" i="1"/>
  <c r="X823" i="1"/>
  <c r="K823" i="1"/>
  <c r="X822" i="1"/>
  <c r="K822" i="1"/>
  <c r="X821" i="1"/>
  <c r="K821" i="1"/>
  <c r="X820" i="1"/>
  <c r="K820" i="1"/>
  <c r="X819" i="1"/>
  <c r="K819" i="1"/>
  <c r="X818" i="1"/>
  <c r="K818" i="1"/>
  <c r="X817" i="1"/>
  <c r="K817" i="1"/>
  <c r="X816" i="1"/>
  <c r="K816" i="1"/>
  <c r="X815" i="1"/>
  <c r="K815" i="1"/>
  <c r="X814" i="1"/>
  <c r="K814" i="1"/>
  <c r="X813" i="1"/>
  <c r="K813" i="1"/>
  <c r="X812" i="1"/>
  <c r="K812" i="1"/>
  <c r="X811" i="1"/>
  <c r="K811" i="1"/>
  <c r="X810" i="1"/>
  <c r="K810" i="1"/>
  <c r="X809" i="1"/>
  <c r="K809" i="1"/>
  <c r="X808" i="1"/>
  <c r="K808" i="1"/>
  <c r="X807" i="1"/>
  <c r="K807" i="1"/>
  <c r="X806" i="1"/>
  <c r="K806" i="1"/>
  <c r="X805" i="1"/>
  <c r="K805" i="1"/>
  <c r="X804" i="1"/>
  <c r="K804" i="1"/>
  <c r="X803" i="1"/>
  <c r="K803" i="1"/>
  <c r="X802" i="1"/>
  <c r="K802" i="1"/>
  <c r="X801" i="1"/>
  <c r="K801" i="1"/>
  <c r="X800" i="1"/>
  <c r="K800" i="1"/>
  <c r="X799" i="1"/>
  <c r="K799" i="1"/>
  <c r="X798" i="1"/>
  <c r="K798" i="1"/>
  <c r="X797" i="1"/>
  <c r="K797" i="1"/>
  <c r="X796" i="1"/>
  <c r="K796" i="1"/>
  <c r="X795" i="1"/>
  <c r="K795" i="1"/>
  <c r="X794" i="1"/>
  <c r="K794" i="1"/>
  <c r="X793" i="1"/>
  <c r="K793" i="1"/>
  <c r="X792" i="1"/>
  <c r="K792" i="1"/>
  <c r="X791" i="1"/>
  <c r="K791" i="1"/>
  <c r="X790" i="1"/>
  <c r="K790" i="1"/>
  <c r="X789" i="1"/>
  <c r="K789" i="1"/>
  <c r="X788" i="1"/>
  <c r="K788" i="1"/>
  <c r="X787" i="1"/>
  <c r="K787" i="1"/>
  <c r="X786" i="1"/>
  <c r="K786" i="1"/>
  <c r="X785" i="1"/>
  <c r="K785" i="1"/>
  <c r="X784" i="1"/>
  <c r="K784" i="1"/>
  <c r="X783" i="1"/>
  <c r="K783" i="1"/>
  <c r="X782" i="1"/>
  <c r="K782" i="1"/>
  <c r="X781" i="1"/>
  <c r="K781" i="1"/>
  <c r="X780" i="1"/>
  <c r="K780" i="1"/>
  <c r="X779" i="1"/>
  <c r="K779" i="1"/>
  <c r="X778" i="1"/>
  <c r="K778" i="1"/>
  <c r="X777" i="1"/>
  <c r="K777" i="1"/>
  <c r="X776" i="1"/>
  <c r="K776" i="1"/>
  <c r="X775" i="1"/>
  <c r="K775" i="1"/>
  <c r="X774" i="1"/>
  <c r="K774" i="1"/>
  <c r="X773" i="1"/>
  <c r="K773" i="1"/>
  <c r="X772" i="1"/>
  <c r="K772" i="1"/>
  <c r="X771" i="1"/>
  <c r="K771" i="1"/>
  <c r="X770" i="1"/>
  <c r="K770" i="1"/>
  <c r="X769" i="1"/>
  <c r="K769" i="1"/>
  <c r="X768" i="1"/>
  <c r="K768" i="1"/>
  <c r="X767" i="1"/>
  <c r="K767" i="1"/>
  <c r="X766" i="1"/>
  <c r="K766" i="1"/>
  <c r="X765" i="1"/>
  <c r="K765" i="1"/>
  <c r="X764" i="1"/>
  <c r="K764" i="1"/>
  <c r="X763" i="1"/>
  <c r="K763" i="1"/>
  <c r="X762" i="1"/>
  <c r="K762" i="1"/>
  <c r="X761" i="1"/>
  <c r="K761" i="1"/>
  <c r="X760" i="1"/>
  <c r="K760" i="1"/>
  <c r="X759" i="1"/>
  <c r="K759" i="1"/>
  <c r="X758" i="1"/>
  <c r="K758" i="1"/>
  <c r="X757" i="1"/>
  <c r="K757" i="1"/>
  <c r="X756" i="1"/>
  <c r="K756" i="1"/>
  <c r="X755" i="1"/>
  <c r="K755" i="1"/>
  <c r="X754" i="1"/>
  <c r="K754" i="1"/>
  <c r="X753" i="1"/>
  <c r="K753" i="1"/>
  <c r="X752" i="1"/>
  <c r="K752" i="1"/>
  <c r="X751" i="1"/>
  <c r="K751" i="1"/>
  <c r="X750" i="1"/>
  <c r="K750" i="1"/>
  <c r="X749" i="1"/>
  <c r="K749" i="1"/>
  <c r="X748" i="1"/>
  <c r="K748" i="1"/>
  <c r="X747" i="1"/>
  <c r="K747" i="1"/>
  <c r="X746" i="1"/>
  <c r="K746" i="1"/>
  <c r="X745" i="1"/>
  <c r="K745" i="1"/>
  <c r="X744" i="1"/>
  <c r="K744" i="1"/>
  <c r="X743" i="1"/>
  <c r="K743" i="1"/>
  <c r="X742" i="1"/>
  <c r="K742" i="1"/>
  <c r="X741" i="1"/>
  <c r="K741" i="1"/>
  <c r="X740" i="1"/>
  <c r="K740" i="1"/>
  <c r="X739" i="1"/>
  <c r="K739" i="1"/>
  <c r="X738" i="1"/>
  <c r="K738" i="1"/>
  <c r="X737" i="1"/>
  <c r="K737" i="1"/>
  <c r="X736" i="1"/>
  <c r="K736" i="1"/>
  <c r="X735" i="1"/>
  <c r="K735" i="1"/>
  <c r="X734" i="1"/>
  <c r="K734" i="1"/>
  <c r="X733" i="1"/>
  <c r="K733" i="1"/>
  <c r="X732" i="1"/>
  <c r="K732" i="1"/>
  <c r="X731" i="1"/>
  <c r="K731" i="1"/>
  <c r="X730" i="1"/>
  <c r="K730" i="1"/>
  <c r="X729" i="1"/>
  <c r="K729" i="1"/>
  <c r="X728" i="1"/>
  <c r="K728" i="1"/>
  <c r="X727" i="1"/>
  <c r="K727" i="1"/>
  <c r="X726" i="1"/>
  <c r="K726" i="1"/>
  <c r="X725" i="1"/>
  <c r="K725" i="1"/>
  <c r="K724" i="1"/>
  <c r="X723" i="1"/>
  <c r="U723" i="1"/>
  <c r="K723" i="1"/>
  <c r="X722" i="1"/>
  <c r="U722" i="1"/>
  <c r="K722" i="1"/>
  <c r="X721" i="1"/>
  <c r="U721" i="1"/>
  <c r="K721" i="1"/>
  <c r="X720" i="1"/>
  <c r="U720" i="1"/>
  <c r="K720" i="1"/>
  <c r="X719" i="1"/>
  <c r="U719" i="1"/>
  <c r="K719" i="1"/>
  <c r="X718" i="1"/>
  <c r="U718" i="1"/>
  <c r="K718" i="1"/>
  <c r="X717" i="1"/>
  <c r="U717" i="1"/>
  <c r="K717" i="1"/>
  <c r="X716" i="1"/>
  <c r="U716" i="1"/>
  <c r="K716" i="1"/>
  <c r="X715" i="1"/>
  <c r="U715" i="1"/>
  <c r="K715" i="1"/>
  <c r="X714" i="1"/>
  <c r="U714" i="1"/>
  <c r="K714" i="1"/>
  <c r="X713" i="1"/>
  <c r="U713" i="1"/>
  <c r="K713" i="1"/>
  <c r="X712" i="1"/>
  <c r="U712" i="1"/>
  <c r="K712" i="1"/>
  <c r="X711" i="1"/>
  <c r="U711" i="1"/>
  <c r="K711" i="1"/>
  <c r="X710" i="1"/>
  <c r="U710" i="1"/>
  <c r="K710" i="1"/>
  <c r="X709" i="1"/>
  <c r="U709" i="1"/>
  <c r="K709" i="1"/>
  <c r="X708" i="1"/>
  <c r="K708" i="1"/>
  <c r="X707" i="1"/>
  <c r="K707" i="1"/>
  <c r="X706" i="1"/>
  <c r="K706" i="1"/>
  <c r="X705" i="1"/>
  <c r="K705" i="1"/>
  <c r="X704" i="1"/>
  <c r="K704" i="1"/>
  <c r="X703" i="1"/>
  <c r="K703" i="1"/>
  <c r="X702" i="1"/>
  <c r="K702" i="1"/>
  <c r="X701" i="1"/>
  <c r="K701" i="1"/>
  <c r="X700" i="1"/>
  <c r="K700" i="1"/>
  <c r="X699" i="1"/>
  <c r="K699" i="1"/>
  <c r="X698" i="1"/>
  <c r="K698" i="1"/>
  <c r="X697" i="1"/>
  <c r="K697" i="1"/>
  <c r="X696" i="1"/>
  <c r="K696" i="1"/>
  <c r="X695" i="1"/>
  <c r="K695" i="1"/>
  <c r="X694" i="1"/>
  <c r="K694" i="1"/>
  <c r="X693" i="1"/>
  <c r="K693" i="1"/>
  <c r="X692" i="1"/>
  <c r="K692" i="1"/>
  <c r="X691" i="1"/>
  <c r="K691" i="1"/>
  <c r="X690" i="1"/>
  <c r="K690" i="1"/>
  <c r="X689" i="1"/>
  <c r="K689" i="1"/>
  <c r="X688" i="1"/>
  <c r="K688" i="1"/>
  <c r="X687" i="1"/>
  <c r="K687" i="1"/>
  <c r="X686" i="1"/>
  <c r="K686" i="1"/>
  <c r="X685" i="1"/>
  <c r="K685" i="1"/>
  <c r="X684" i="1"/>
  <c r="K684" i="1"/>
  <c r="X683" i="1"/>
  <c r="K683" i="1"/>
  <c r="X682" i="1"/>
  <c r="K682" i="1"/>
  <c r="X681" i="1"/>
  <c r="K681" i="1"/>
  <c r="X680" i="1"/>
  <c r="K680" i="1"/>
  <c r="X679" i="1"/>
  <c r="K679" i="1"/>
  <c r="X678" i="1"/>
  <c r="K678" i="1"/>
  <c r="X677" i="1"/>
  <c r="K677" i="1"/>
  <c r="X676" i="1"/>
  <c r="K676" i="1"/>
  <c r="X675" i="1"/>
  <c r="K675" i="1"/>
  <c r="X674" i="1"/>
  <c r="K674" i="1"/>
  <c r="X673" i="1"/>
  <c r="K673" i="1"/>
  <c r="X672" i="1"/>
  <c r="K672" i="1"/>
  <c r="X671" i="1"/>
  <c r="K671" i="1"/>
  <c r="X670" i="1"/>
  <c r="K670" i="1"/>
  <c r="X669" i="1"/>
  <c r="K669" i="1"/>
  <c r="X668" i="1"/>
  <c r="K668" i="1"/>
  <c r="X667" i="1"/>
  <c r="K667" i="1"/>
  <c r="X666" i="1"/>
  <c r="K666" i="1"/>
  <c r="X665" i="1"/>
  <c r="K665" i="1"/>
  <c r="X664" i="1"/>
  <c r="K664" i="1"/>
  <c r="X663" i="1"/>
  <c r="K663" i="1"/>
  <c r="X662" i="1"/>
  <c r="K662" i="1"/>
  <c r="X661" i="1"/>
  <c r="K661" i="1"/>
  <c r="X660" i="1"/>
  <c r="K660" i="1"/>
  <c r="X659" i="1"/>
  <c r="K659" i="1"/>
  <c r="X658" i="1"/>
  <c r="K658" i="1"/>
  <c r="X657" i="1"/>
  <c r="K657" i="1"/>
  <c r="X656" i="1"/>
  <c r="K656" i="1"/>
  <c r="X655" i="1"/>
  <c r="K655" i="1"/>
  <c r="X654" i="1"/>
  <c r="K654" i="1"/>
  <c r="X653" i="1"/>
  <c r="K653" i="1"/>
  <c r="X652" i="1"/>
  <c r="K652" i="1"/>
  <c r="X651" i="1"/>
  <c r="K651" i="1"/>
  <c r="X650" i="1"/>
  <c r="K650" i="1"/>
  <c r="X649" i="1"/>
  <c r="K649" i="1"/>
  <c r="X648" i="1"/>
  <c r="K648" i="1"/>
  <c r="X647" i="1"/>
  <c r="K647" i="1"/>
  <c r="X646" i="1"/>
  <c r="K646" i="1"/>
  <c r="X645" i="1"/>
  <c r="K645" i="1"/>
  <c r="X644" i="1"/>
  <c r="K644" i="1"/>
  <c r="X643" i="1"/>
  <c r="K643" i="1"/>
  <c r="X642" i="1"/>
  <c r="K642" i="1"/>
  <c r="X641" i="1"/>
  <c r="K641" i="1"/>
  <c r="X640" i="1"/>
  <c r="K640" i="1"/>
  <c r="X639" i="1"/>
  <c r="K639" i="1"/>
  <c r="X638" i="1"/>
  <c r="K638" i="1"/>
  <c r="X637" i="1"/>
  <c r="K637" i="1"/>
  <c r="X636" i="1"/>
  <c r="K636" i="1"/>
  <c r="X635" i="1"/>
  <c r="K635" i="1"/>
  <c r="X634" i="1"/>
  <c r="K634" i="1"/>
  <c r="X633" i="1"/>
  <c r="K633" i="1"/>
  <c r="X632" i="1"/>
  <c r="K632" i="1"/>
  <c r="X631" i="1"/>
  <c r="K631" i="1"/>
  <c r="X630" i="1"/>
  <c r="K630" i="1"/>
  <c r="X629" i="1"/>
  <c r="K629" i="1"/>
  <c r="X628" i="1"/>
  <c r="K628" i="1"/>
  <c r="X627" i="1"/>
  <c r="K627" i="1"/>
  <c r="X626" i="1"/>
  <c r="K626" i="1"/>
  <c r="X625" i="1"/>
  <c r="K625" i="1"/>
  <c r="X624" i="1"/>
  <c r="K624" i="1"/>
  <c r="X623" i="1"/>
  <c r="K623" i="1"/>
  <c r="X622" i="1"/>
  <c r="K622" i="1"/>
  <c r="X621" i="1"/>
  <c r="K621" i="1"/>
  <c r="X620" i="1"/>
  <c r="K620" i="1"/>
  <c r="X619" i="1"/>
  <c r="K619" i="1"/>
  <c r="X618" i="1"/>
  <c r="K618" i="1"/>
  <c r="X617" i="1"/>
  <c r="K617" i="1"/>
  <c r="K616" i="1"/>
  <c r="K615" i="1"/>
  <c r="K614" i="1"/>
  <c r="K613" i="1"/>
  <c r="K612" i="1"/>
  <c r="K611" i="1"/>
  <c r="K610" i="1"/>
  <c r="K609" i="1"/>
  <c r="K601" i="1"/>
  <c r="K600" i="1"/>
  <c r="K599" i="1"/>
  <c r="K598" i="1"/>
  <c r="K589" i="1"/>
  <c r="K588" i="1"/>
  <c r="K587" i="1"/>
  <c r="K586" i="1"/>
  <c r="K585" i="1"/>
  <c r="K584" i="1"/>
  <c r="K583" i="1"/>
  <c r="U582" i="1"/>
  <c r="K582" i="1"/>
  <c r="U581" i="1"/>
  <c r="K581" i="1"/>
  <c r="U580" i="1"/>
  <c r="K580" i="1"/>
  <c r="U579" i="1"/>
  <c r="K579" i="1"/>
  <c r="U578" i="1"/>
  <c r="K578" i="1"/>
  <c r="U577" i="1"/>
  <c r="K577" i="1"/>
  <c r="U576" i="1"/>
  <c r="K576" i="1"/>
  <c r="U575" i="1"/>
  <c r="K575" i="1"/>
  <c r="U574" i="1"/>
  <c r="K574" i="1"/>
  <c r="U573" i="1"/>
  <c r="K573" i="1"/>
  <c r="U572" i="1"/>
  <c r="K572" i="1"/>
  <c r="U571" i="1"/>
  <c r="K571" i="1"/>
  <c r="U570" i="1"/>
  <c r="K570" i="1"/>
  <c r="U569" i="1"/>
  <c r="K569" i="1"/>
  <c r="U568" i="1"/>
  <c r="K568" i="1"/>
  <c r="U567" i="1"/>
  <c r="K567" i="1"/>
  <c r="U566" i="1"/>
  <c r="K566" i="1"/>
  <c r="U565" i="1"/>
  <c r="K565" i="1"/>
  <c r="U564" i="1"/>
  <c r="K564" i="1"/>
  <c r="U563" i="1"/>
  <c r="K563" i="1"/>
  <c r="U562" i="1"/>
  <c r="K562" i="1"/>
  <c r="U561" i="1"/>
  <c r="K561" i="1"/>
  <c r="U560" i="1"/>
  <c r="K560" i="1"/>
  <c r="K559" i="1"/>
  <c r="K558" i="1"/>
  <c r="K557" i="1"/>
  <c r="K556" i="1"/>
  <c r="K555" i="1"/>
  <c r="K554" i="1"/>
  <c r="K553" i="1"/>
  <c r="X552" i="1"/>
  <c r="K552" i="1"/>
  <c r="X551" i="1"/>
  <c r="K551" i="1"/>
  <c r="X550" i="1"/>
  <c r="K550" i="1"/>
  <c r="X549" i="1"/>
  <c r="K549" i="1"/>
  <c r="X548" i="1"/>
  <c r="K548" i="1"/>
  <c r="X547" i="1"/>
  <c r="K547" i="1"/>
  <c r="X546" i="1"/>
  <c r="K546" i="1"/>
  <c r="X545" i="1"/>
  <c r="K545" i="1"/>
  <c r="X544" i="1"/>
  <c r="K544" i="1"/>
  <c r="X543" i="1"/>
  <c r="K543" i="1"/>
  <c r="X542" i="1"/>
  <c r="K542" i="1"/>
  <c r="X541" i="1"/>
  <c r="K541" i="1"/>
  <c r="X540" i="1"/>
  <c r="K540" i="1"/>
  <c r="X539" i="1"/>
  <c r="K539" i="1"/>
  <c r="X538" i="1"/>
  <c r="K538" i="1"/>
  <c r="X537" i="1"/>
  <c r="K537" i="1"/>
  <c r="X536" i="1"/>
  <c r="K536" i="1"/>
  <c r="X535" i="1"/>
  <c r="K535" i="1"/>
  <c r="X534" i="1"/>
  <c r="K534" i="1"/>
  <c r="X533" i="1"/>
  <c r="K533" i="1"/>
  <c r="X532" i="1"/>
  <c r="K532" i="1"/>
  <c r="X531" i="1"/>
  <c r="K531" i="1"/>
  <c r="X530" i="1"/>
  <c r="K530" i="1"/>
  <c r="X529" i="1"/>
  <c r="K529" i="1"/>
  <c r="X528" i="1"/>
  <c r="K528" i="1"/>
  <c r="X527" i="1"/>
  <c r="K527" i="1"/>
  <c r="X526" i="1"/>
  <c r="K526" i="1"/>
  <c r="X525" i="1"/>
  <c r="K525" i="1"/>
  <c r="X524" i="1"/>
  <c r="K524" i="1"/>
  <c r="X523" i="1"/>
  <c r="K523" i="1"/>
  <c r="X522" i="1"/>
  <c r="K522" i="1"/>
  <c r="X521" i="1"/>
  <c r="K521" i="1"/>
  <c r="X520" i="1"/>
  <c r="K520" i="1"/>
  <c r="X519" i="1"/>
  <c r="K519" i="1"/>
  <c r="X518" i="1"/>
  <c r="K518" i="1"/>
  <c r="X517" i="1"/>
  <c r="K517" i="1"/>
  <c r="X516" i="1"/>
  <c r="K516" i="1"/>
  <c r="X515" i="1"/>
  <c r="K515" i="1"/>
  <c r="X514" i="1"/>
  <c r="K514" i="1"/>
  <c r="X513" i="1"/>
  <c r="K513" i="1"/>
  <c r="X512" i="1"/>
  <c r="K512" i="1"/>
  <c r="X511" i="1"/>
  <c r="K511" i="1"/>
  <c r="X510" i="1"/>
  <c r="K510" i="1"/>
  <c r="X509" i="1"/>
  <c r="K509" i="1"/>
  <c r="X508" i="1"/>
  <c r="K508" i="1"/>
  <c r="X507" i="1"/>
  <c r="K507" i="1"/>
  <c r="X506" i="1"/>
  <c r="K506" i="1"/>
  <c r="X505" i="1"/>
  <c r="K505" i="1"/>
  <c r="X504" i="1"/>
  <c r="K504" i="1"/>
  <c r="X503" i="1"/>
  <c r="K503" i="1"/>
  <c r="X502" i="1"/>
  <c r="K502" i="1"/>
  <c r="X501" i="1"/>
  <c r="K501" i="1"/>
  <c r="X500" i="1"/>
  <c r="K500" i="1"/>
  <c r="X499" i="1"/>
  <c r="K499" i="1"/>
  <c r="X498" i="1"/>
  <c r="K498" i="1"/>
  <c r="X497" i="1"/>
  <c r="K497" i="1"/>
  <c r="X496" i="1"/>
  <c r="K496" i="1"/>
  <c r="X495" i="1"/>
  <c r="K495" i="1"/>
  <c r="X494" i="1"/>
  <c r="K494" i="1"/>
  <c r="X493" i="1"/>
  <c r="K493" i="1"/>
  <c r="X492" i="1"/>
  <c r="K492" i="1"/>
  <c r="X491" i="1"/>
  <c r="K491" i="1"/>
  <c r="X490" i="1"/>
  <c r="K490" i="1"/>
  <c r="X489" i="1"/>
  <c r="K489" i="1"/>
  <c r="X488" i="1"/>
  <c r="K488" i="1"/>
  <c r="X487" i="1"/>
  <c r="K487" i="1"/>
  <c r="X486" i="1"/>
  <c r="K486" i="1"/>
  <c r="X485" i="1"/>
  <c r="K485" i="1"/>
  <c r="X484" i="1"/>
  <c r="K484" i="1"/>
  <c r="X483" i="1"/>
  <c r="K483" i="1"/>
  <c r="X482" i="1"/>
  <c r="K482" i="1"/>
  <c r="X481" i="1"/>
  <c r="K481" i="1"/>
  <c r="X480" i="1"/>
  <c r="K480" i="1"/>
  <c r="X479" i="1"/>
  <c r="K479" i="1"/>
  <c r="X478" i="1"/>
  <c r="K478" i="1"/>
  <c r="X477" i="1"/>
  <c r="K477" i="1"/>
  <c r="X476" i="1"/>
  <c r="K476" i="1"/>
  <c r="X475" i="1"/>
  <c r="K475" i="1"/>
  <c r="X474" i="1"/>
  <c r="K474" i="1"/>
  <c r="X473" i="1"/>
  <c r="K473" i="1"/>
  <c r="X472" i="1"/>
  <c r="K472" i="1"/>
  <c r="X471" i="1"/>
  <c r="K471" i="1"/>
  <c r="X470" i="1"/>
  <c r="K470" i="1"/>
  <c r="X469" i="1"/>
  <c r="K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K413" i="1"/>
  <c r="X412" i="1"/>
  <c r="K412" i="1"/>
  <c r="X411" i="1"/>
  <c r="K411" i="1"/>
  <c r="X410" i="1"/>
  <c r="K410" i="1"/>
  <c r="X409" i="1"/>
  <c r="K409" i="1"/>
  <c r="X408" i="1"/>
  <c r="K408" i="1"/>
  <c r="X407" i="1"/>
  <c r="K407" i="1"/>
  <c r="X406" i="1"/>
  <c r="K406" i="1"/>
  <c r="X405" i="1"/>
  <c r="K405" i="1"/>
  <c r="X404" i="1"/>
  <c r="K404" i="1"/>
  <c r="X403" i="1"/>
  <c r="K403" i="1"/>
  <c r="X402" i="1"/>
  <c r="K402" i="1"/>
  <c r="X401" i="1"/>
  <c r="K401" i="1"/>
  <c r="X400" i="1"/>
  <c r="K400" i="1"/>
  <c r="X399" i="1"/>
  <c r="K399" i="1"/>
  <c r="X398" i="1"/>
  <c r="K398" i="1"/>
  <c r="X397" i="1"/>
  <c r="K397" i="1"/>
  <c r="X396" i="1"/>
  <c r="K396" i="1"/>
  <c r="X395" i="1"/>
  <c r="K395" i="1"/>
  <c r="X394" i="1"/>
  <c r="K394" i="1"/>
  <c r="X393" i="1"/>
  <c r="K393" i="1"/>
  <c r="X392" i="1"/>
  <c r="K392" i="1"/>
  <c r="X391" i="1"/>
  <c r="K391" i="1"/>
  <c r="X390" i="1"/>
  <c r="K390" i="1"/>
  <c r="X389" i="1"/>
  <c r="K389" i="1"/>
  <c r="X388" i="1"/>
  <c r="X387" i="1"/>
  <c r="X386" i="1"/>
  <c r="X384" i="1"/>
  <c r="K384" i="1"/>
  <c r="X383" i="1"/>
  <c r="K383" i="1"/>
  <c r="X382" i="1"/>
  <c r="K382" i="1"/>
  <c r="X381" i="1"/>
  <c r="K381" i="1"/>
  <c r="X380" i="1"/>
  <c r="K380" i="1"/>
  <c r="X379" i="1"/>
  <c r="K379" i="1"/>
  <c r="X378" i="1"/>
  <c r="K378" i="1"/>
  <c r="X377" i="1"/>
  <c r="K377" i="1"/>
  <c r="X376" i="1"/>
  <c r="K376" i="1"/>
  <c r="X375" i="1"/>
  <c r="K375" i="1"/>
  <c r="X374" i="1"/>
  <c r="K374" i="1"/>
  <c r="X373" i="1"/>
  <c r="K373" i="1"/>
  <c r="X372" i="1"/>
  <c r="K372" i="1"/>
  <c r="X371" i="1"/>
  <c r="K371" i="1"/>
  <c r="X370" i="1"/>
  <c r="K370" i="1"/>
  <c r="X369" i="1"/>
  <c r="K369" i="1"/>
  <c r="X368" i="1"/>
  <c r="K368" i="1"/>
  <c r="X367" i="1"/>
  <c r="K367" i="1"/>
  <c r="X366" i="1"/>
  <c r="K366" i="1"/>
  <c r="X365" i="1"/>
  <c r="K365" i="1"/>
  <c r="X364" i="1"/>
  <c r="K364" i="1"/>
  <c r="X363" i="1"/>
  <c r="K363" i="1"/>
  <c r="X362" i="1"/>
  <c r="K362" i="1"/>
  <c r="X361" i="1"/>
  <c r="K361" i="1"/>
  <c r="X360" i="1"/>
  <c r="K360" i="1"/>
  <c r="X359" i="1"/>
  <c r="K359" i="1"/>
  <c r="X358" i="1"/>
  <c r="K358" i="1"/>
  <c r="X357" i="1"/>
  <c r="K357" i="1"/>
  <c r="X356" i="1"/>
  <c r="K356" i="1"/>
  <c r="X355" i="1"/>
  <c r="K355" i="1"/>
  <c r="X354" i="1"/>
  <c r="K354" i="1"/>
  <c r="X353" i="1"/>
  <c r="K353" i="1"/>
  <c r="X352" i="1"/>
  <c r="K352" i="1"/>
  <c r="X351" i="1"/>
  <c r="K351" i="1"/>
  <c r="X350" i="1"/>
  <c r="K350" i="1"/>
  <c r="X349" i="1"/>
  <c r="K349" i="1"/>
  <c r="X348" i="1"/>
  <c r="K348" i="1"/>
  <c r="X347" i="1"/>
  <c r="K347" i="1"/>
  <c r="X346" i="1"/>
  <c r="K346" i="1"/>
  <c r="X345" i="1"/>
  <c r="K345" i="1"/>
  <c r="X344" i="1"/>
  <c r="K344" i="1"/>
  <c r="X343" i="1"/>
  <c r="K343" i="1"/>
  <c r="X342" i="1"/>
  <c r="K342" i="1"/>
  <c r="X341" i="1"/>
  <c r="K341" i="1"/>
  <c r="X340" i="1"/>
  <c r="K340" i="1"/>
  <c r="X339" i="1"/>
  <c r="K339" i="1"/>
  <c r="X338" i="1"/>
  <c r="K338" i="1"/>
  <c r="X337" i="1"/>
  <c r="K337" i="1"/>
  <c r="X336" i="1"/>
  <c r="K336" i="1"/>
  <c r="X335" i="1"/>
  <c r="K335" i="1"/>
  <c r="X334" i="1"/>
  <c r="K334" i="1"/>
  <c r="X333" i="1"/>
  <c r="K333" i="1"/>
  <c r="X332" i="1"/>
  <c r="K332" i="1"/>
  <c r="X331" i="1"/>
  <c r="K331" i="1"/>
  <c r="X330" i="1"/>
  <c r="K330" i="1"/>
  <c r="X329" i="1"/>
  <c r="K329" i="1"/>
  <c r="X328" i="1"/>
  <c r="K328" i="1"/>
  <c r="X327" i="1"/>
  <c r="K327" i="1"/>
  <c r="X326" i="1"/>
  <c r="K326" i="1"/>
  <c r="X325" i="1"/>
  <c r="K325" i="1"/>
  <c r="X324" i="1"/>
  <c r="K324" i="1"/>
  <c r="X323" i="1"/>
  <c r="K323" i="1"/>
  <c r="X322" i="1"/>
  <c r="K322" i="1"/>
  <c r="X321" i="1"/>
  <c r="K321" i="1"/>
  <c r="X320" i="1"/>
  <c r="K320" i="1"/>
  <c r="X319" i="1"/>
  <c r="K319" i="1"/>
  <c r="X318" i="1"/>
  <c r="K318" i="1"/>
  <c r="X317" i="1"/>
  <c r="K317" i="1"/>
  <c r="X316" i="1"/>
  <c r="K316" i="1"/>
  <c r="X315" i="1"/>
  <c r="K315" i="1"/>
  <c r="X314" i="1"/>
  <c r="K314" i="1"/>
  <c r="X313" i="1"/>
  <c r="K313" i="1"/>
  <c r="X312" i="1"/>
  <c r="K312" i="1"/>
  <c r="X311" i="1"/>
  <c r="K311" i="1"/>
  <c r="X310" i="1"/>
  <c r="K310" i="1"/>
  <c r="X309" i="1"/>
  <c r="K309" i="1"/>
  <c r="X308" i="1"/>
  <c r="K308" i="1"/>
  <c r="X307" i="1"/>
  <c r="K307" i="1"/>
  <c r="X306" i="1"/>
  <c r="K306" i="1"/>
  <c r="X305" i="1"/>
  <c r="K305" i="1"/>
  <c r="X304" i="1"/>
  <c r="K304" i="1"/>
  <c r="X303" i="1"/>
  <c r="K303" i="1"/>
  <c r="X302" i="1"/>
  <c r="K302" i="1"/>
  <c r="X301" i="1"/>
  <c r="K301" i="1"/>
  <c r="X300" i="1"/>
  <c r="K300" i="1"/>
  <c r="X299" i="1"/>
  <c r="K299" i="1"/>
  <c r="X298" i="1"/>
  <c r="K298" i="1"/>
  <c r="X297" i="1"/>
  <c r="K297" i="1"/>
  <c r="X296" i="1"/>
  <c r="K296" i="1"/>
  <c r="X295" i="1"/>
  <c r="K295" i="1"/>
  <c r="X294" i="1"/>
  <c r="K294" i="1"/>
  <c r="K293" i="1"/>
  <c r="K292" i="1"/>
  <c r="K291" i="1"/>
  <c r="K290" i="1"/>
  <c r="K289" i="1"/>
  <c r="K288" i="1"/>
  <c r="K287" i="1"/>
  <c r="K286" i="1"/>
  <c r="K285" i="1"/>
  <c r="K283" i="1"/>
  <c r="K282" i="1"/>
  <c r="K281" i="1"/>
  <c r="K280" i="1"/>
  <c r="K279" i="1"/>
  <c r="K278" i="1"/>
  <c r="K277" i="1"/>
  <c r="K276" i="1"/>
  <c r="K275" i="1"/>
  <c r="K274" i="1"/>
  <c r="K273" i="1"/>
  <c r="K272" i="1"/>
  <c r="K271" i="1"/>
  <c r="K270" i="1"/>
  <c r="K269" i="1"/>
  <c r="K268" i="1"/>
  <c r="K267" i="1"/>
  <c r="K266" i="1"/>
  <c r="K265" i="1"/>
  <c r="K264" i="1"/>
  <c r="K263" i="1"/>
  <c r="X262" i="1"/>
  <c r="K262" i="1"/>
  <c r="X261" i="1"/>
  <c r="K261" i="1"/>
  <c r="X260" i="1"/>
  <c r="K260" i="1"/>
  <c r="X259" i="1"/>
  <c r="K259" i="1"/>
  <c r="X258" i="1"/>
  <c r="K258" i="1"/>
  <c r="X257" i="1"/>
  <c r="K257" i="1"/>
  <c r="X256" i="1"/>
  <c r="K256" i="1"/>
  <c r="X255" i="1"/>
  <c r="K255" i="1"/>
  <c r="X254" i="1"/>
  <c r="K254" i="1"/>
  <c r="X253" i="1"/>
  <c r="K253" i="1"/>
  <c r="X252" i="1"/>
  <c r="K252" i="1"/>
  <c r="X251" i="1"/>
  <c r="K251" i="1"/>
  <c r="X250" i="1"/>
  <c r="K250" i="1"/>
  <c r="X249" i="1"/>
  <c r="K249" i="1"/>
  <c r="K248" i="1"/>
  <c r="K247" i="1"/>
  <c r="K246" i="1"/>
  <c r="K245" i="1"/>
  <c r="K244" i="1"/>
  <c r="K243" i="1"/>
  <c r="K242" i="1"/>
  <c r="K241" i="1"/>
  <c r="K240" i="1"/>
  <c r="K239" i="1"/>
  <c r="K238" i="1"/>
  <c r="K237" i="1"/>
  <c r="K236" i="1"/>
  <c r="K235" i="1"/>
  <c r="K234" i="1"/>
  <c r="K233" i="1"/>
  <c r="X232" i="1"/>
  <c r="K232" i="1"/>
  <c r="X231" i="1"/>
  <c r="K231" i="1"/>
  <c r="X230" i="1"/>
  <c r="K230" i="1"/>
  <c r="X229" i="1"/>
  <c r="K229" i="1"/>
  <c r="X228" i="1"/>
  <c r="K228" i="1"/>
  <c r="X227" i="1"/>
  <c r="K227" i="1"/>
  <c r="X226" i="1"/>
  <c r="K226" i="1"/>
  <c r="X225" i="1"/>
  <c r="K225" i="1"/>
  <c r="X224" i="1"/>
  <c r="K224" i="1"/>
  <c r="X223" i="1"/>
  <c r="K223" i="1"/>
  <c r="X222" i="1"/>
  <c r="K222" i="1"/>
  <c r="X221" i="1"/>
  <c r="K221" i="1"/>
  <c r="X220" i="1"/>
  <c r="K220" i="1"/>
  <c r="X219" i="1"/>
  <c r="K219" i="1"/>
  <c r="X218" i="1"/>
  <c r="K218" i="1"/>
  <c r="X217" i="1"/>
  <c r="K217" i="1"/>
  <c r="X216" i="1"/>
  <c r="K216" i="1"/>
  <c r="X215" i="1"/>
  <c r="K215" i="1"/>
  <c r="X214" i="1"/>
  <c r="K214" i="1"/>
  <c r="X213" i="1"/>
  <c r="K213" i="1"/>
  <c r="X212" i="1"/>
  <c r="K212" i="1"/>
  <c r="X211" i="1"/>
  <c r="K211" i="1"/>
  <c r="X210" i="1"/>
  <c r="K210" i="1"/>
  <c r="X209" i="1"/>
  <c r="K209" i="1"/>
  <c r="X208" i="1"/>
  <c r="K208" i="1"/>
  <c r="X207" i="1"/>
  <c r="K207" i="1"/>
  <c r="X206" i="1"/>
  <c r="K206" i="1"/>
  <c r="X205" i="1"/>
  <c r="K205" i="1"/>
  <c r="X204" i="1"/>
  <c r="K204" i="1"/>
  <c r="X203" i="1"/>
  <c r="K203" i="1"/>
  <c r="X202" i="1"/>
  <c r="K202" i="1"/>
  <c r="X201" i="1"/>
  <c r="K201" i="1"/>
  <c r="X200" i="1"/>
  <c r="K200" i="1"/>
  <c r="X199" i="1"/>
  <c r="K199" i="1"/>
  <c r="X198" i="1"/>
  <c r="K198" i="1"/>
  <c r="X197" i="1"/>
  <c r="K197" i="1"/>
  <c r="X196" i="1"/>
  <c r="K196" i="1"/>
  <c r="X195" i="1"/>
  <c r="K195" i="1"/>
  <c r="X194" i="1"/>
  <c r="K194" i="1"/>
  <c r="X193" i="1"/>
  <c r="K193" i="1"/>
  <c r="X192" i="1"/>
  <c r="K192" i="1"/>
  <c r="X191" i="1"/>
  <c r="K191" i="1"/>
  <c r="X190" i="1"/>
  <c r="K190" i="1"/>
  <c r="X189" i="1"/>
  <c r="K189" i="1"/>
  <c r="X188" i="1"/>
  <c r="X187" i="1"/>
  <c r="K187" i="1"/>
  <c r="X186" i="1"/>
  <c r="K186" i="1"/>
  <c r="X185" i="1"/>
  <c r="K185" i="1"/>
  <c r="X184" i="1"/>
  <c r="K184" i="1"/>
  <c r="X183" i="1"/>
  <c r="K183" i="1"/>
  <c r="X182" i="1"/>
  <c r="K182" i="1"/>
  <c r="X181" i="1"/>
  <c r="K181" i="1"/>
  <c r="X180" i="1"/>
  <c r="K180" i="1"/>
  <c r="X179" i="1"/>
  <c r="K179" i="1"/>
  <c r="X178" i="1"/>
  <c r="K178" i="1"/>
  <c r="X177" i="1"/>
  <c r="K177" i="1"/>
  <c r="X176" i="1"/>
  <c r="K176" i="1"/>
  <c r="K175" i="1"/>
  <c r="K174" i="1"/>
  <c r="X173" i="1"/>
  <c r="K173" i="1"/>
  <c r="X172" i="1"/>
  <c r="K172" i="1"/>
  <c r="K171" i="1"/>
  <c r="K170" i="1"/>
  <c r="X169" i="1"/>
  <c r="K169" i="1"/>
  <c r="X168" i="1"/>
  <c r="K168" i="1"/>
  <c r="X167" i="1"/>
  <c r="K167" i="1"/>
  <c r="X166" i="1"/>
  <c r="K166" i="1"/>
  <c r="X165" i="1"/>
  <c r="K165" i="1"/>
  <c r="X164" i="1"/>
  <c r="K164" i="1"/>
  <c r="X163" i="1"/>
  <c r="K163" i="1"/>
  <c r="X162" i="1"/>
  <c r="K162" i="1"/>
  <c r="X161" i="1"/>
  <c r="K161" i="1"/>
  <c r="X160" i="1"/>
  <c r="K160" i="1"/>
  <c r="X159" i="1"/>
  <c r="K159" i="1"/>
  <c r="X158" i="1"/>
  <c r="K158" i="1"/>
  <c r="X157" i="1"/>
  <c r="K157" i="1"/>
  <c r="X156" i="1"/>
  <c r="K156" i="1"/>
  <c r="X155" i="1"/>
  <c r="K155" i="1"/>
  <c r="X154" i="1"/>
  <c r="K154" i="1"/>
  <c r="X153" i="1"/>
  <c r="K153" i="1"/>
  <c r="X152" i="1"/>
  <c r="K152" i="1"/>
  <c r="X151" i="1"/>
  <c r="K151" i="1"/>
  <c r="X150" i="1"/>
  <c r="K150" i="1"/>
  <c r="X149" i="1"/>
  <c r="K149" i="1"/>
  <c r="X148" i="1"/>
  <c r="K148" i="1"/>
  <c r="X147" i="1"/>
  <c r="K147" i="1"/>
  <c r="X146" i="1"/>
  <c r="K146" i="1"/>
  <c r="X145" i="1"/>
  <c r="K145" i="1"/>
  <c r="X144" i="1"/>
  <c r="K144" i="1"/>
  <c r="X143" i="1"/>
  <c r="K143" i="1"/>
  <c r="X142" i="1"/>
  <c r="K142" i="1"/>
  <c r="X141" i="1"/>
  <c r="K141" i="1"/>
  <c r="X140" i="1"/>
  <c r="K140" i="1"/>
  <c r="X139" i="1"/>
  <c r="K139" i="1"/>
  <c r="X138" i="1"/>
  <c r="K138" i="1"/>
  <c r="X137" i="1"/>
  <c r="K137" i="1"/>
  <c r="X136" i="1"/>
  <c r="K136" i="1"/>
  <c r="X135" i="1"/>
  <c r="K135" i="1"/>
  <c r="X134" i="1"/>
  <c r="K134" i="1"/>
  <c r="X133" i="1"/>
  <c r="K133" i="1"/>
  <c r="X132" i="1"/>
  <c r="K132" i="1"/>
  <c r="X131" i="1"/>
  <c r="K131" i="1"/>
  <c r="X130" i="1"/>
  <c r="K130" i="1"/>
  <c r="X129" i="1"/>
  <c r="K129" i="1"/>
  <c r="X128" i="1"/>
  <c r="K128" i="1"/>
  <c r="X127" i="1"/>
  <c r="K127" i="1"/>
  <c r="X126" i="1"/>
  <c r="K126" i="1"/>
  <c r="X125" i="1"/>
  <c r="K125" i="1"/>
  <c r="X124" i="1"/>
  <c r="K124" i="1"/>
  <c r="X123" i="1"/>
  <c r="K123" i="1"/>
  <c r="X122" i="1"/>
  <c r="K122" i="1"/>
  <c r="X121" i="1"/>
  <c r="K121" i="1"/>
  <c r="X120" i="1"/>
  <c r="K120" i="1"/>
  <c r="X119" i="1"/>
  <c r="K119" i="1"/>
  <c r="X118" i="1"/>
  <c r="K118" i="1"/>
  <c r="X117" i="1"/>
  <c r="K117" i="1"/>
  <c r="X116" i="1"/>
  <c r="K116" i="1"/>
  <c r="X115" i="1"/>
  <c r="K115" i="1"/>
  <c r="X114" i="1"/>
  <c r="K114" i="1"/>
  <c r="X113" i="1"/>
  <c r="K113" i="1"/>
  <c r="X112" i="1"/>
  <c r="K112" i="1"/>
  <c r="X111" i="1"/>
  <c r="K111" i="1"/>
  <c r="X110" i="1"/>
  <c r="K110" i="1"/>
  <c r="X109" i="1"/>
  <c r="K109" i="1"/>
  <c r="X108" i="1"/>
  <c r="K108" i="1"/>
  <c r="X107" i="1"/>
  <c r="K107" i="1"/>
  <c r="X106" i="1"/>
  <c r="K106" i="1"/>
  <c r="X105" i="1"/>
  <c r="K105" i="1"/>
  <c r="X104" i="1"/>
  <c r="K104" i="1"/>
  <c r="X103" i="1"/>
  <c r="K103" i="1"/>
  <c r="X102" i="1"/>
  <c r="K102" i="1"/>
  <c r="X101" i="1"/>
  <c r="K101" i="1"/>
  <c r="X100" i="1"/>
  <c r="K100" i="1"/>
  <c r="X99" i="1"/>
  <c r="K99" i="1"/>
  <c r="X98" i="1"/>
  <c r="K98" i="1"/>
  <c r="X97" i="1"/>
  <c r="K97" i="1"/>
  <c r="X96" i="1"/>
  <c r="K96" i="1"/>
  <c r="X95" i="1"/>
  <c r="K95" i="1"/>
  <c r="K94" i="1"/>
  <c r="K93" i="1"/>
  <c r="K92" i="1"/>
  <c r="X91" i="1"/>
  <c r="K91" i="1"/>
  <c r="X90" i="1"/>
  <c r="K90" i="1"/>
  <c r="X89" i="1"/>
  <c r="K89" i="1"/>
  <c r="X88" i="1"/>
  <c r="K88" i="1"/>
  <c r="X87" i="1"/>
  <c r="K87" i="1"/>
  <c r="X86" i="1"/>
  <c r="K86" i="1"/>
  <c r="X85" i="1"/>
  <c r="K85" i="1"/>
  <c r="X84" i="1"/>
  <c r="K84" i="1"/>
  <c r="X83" i="1"/>
  <c r="K83" i="1"/>
  <c r="X82" i="1"/>
  <c r="K82" i="1"/>
  <c r="X81" i="1"/>
  <c r="K81" i="1"/>
  <c r="X80" i="1"/>
  <c r="K80" i="1"/>
  <c r="X79" i="1"/>
  <c r="K79" i="1"/>
  <c r="X78" i="1"/>
  <c r="K78" i="1"/>
  <c r="X77" i="1"/>
  <c r="K77" i="1"/>
  <c r="X76" i="1"/>
  <c r="K76" i="1"/>
  <c r="X75" i="1"/>
  <c r="K75" i="1"/>
  <c r="X74" i="1"/>
  <c r="K74" i="1"/>
  <c r="X73" i="1"/>
  <c r="K73" i="1"/>
  <c r="X72" i="1"/>
  <c r="K72" i="1"/>
  <c r="X71" i="1"/>
  <c r="K71" i="1"/>
  <c r="X70" i="1"/>
  <c r="K70" i="1"/>
  <c r="X69" i="1"/>
  <c r="K69" i="1"/>
  <c r="X68" i="1"/>
  <c r="K68" i="1"/>
  <c r="X67" i="1"/>
  <c r="K67" i="1"/>
  <c r="X66" i="1"/>
  <c r="K66" i="1"/>
  <c r="X65" i="1"/>
  <c r="K65" i="1"/>
  <c r="X64" i="1"/>
  <c r="X63" i="1"/>
  <c r="X62" i="1"/>
  <c r="X61" i="1"/>
  <c r="X60" i="1"/>
  <c r="X59" i="1"/>
  <c r="X58" i="1"/>
  <c r="X57" i="1"/>
  <c r="K57" i="1"/>
  <c r="X56" i="1"/>
  <c r="K56" i="1"/>
  <c r="X55" i="1"/>
  <c r="K55" i="1"/>
  <c r="X54" i="1"/>
  <c r="K54" i="1"/>
  <c r="X53" i="1"/>
  <c r="K53" i="1"/>
  <c r="X52" i="1"/>
  <c r="K52" i="1"/>
  <c r="X51" i="1"/>
  <c r="K51" i="1"/>
  <c r="X50" i="1"/>
  <c r="K50" i="1"/>
  <c r="X49" i="1"/>
  <c r="K49" i="1"/>
  <c r="X48" i="1"/>
  <c r="K48" i="1"/>
  <c r="X47" i="1"/>
  <c r="K47" i="1"/>
  <c r="X46" i="1"/>
  <c r="K46" i="1"/>
  <c r="X45" i="1"/>
  <c r="K45" i="1"/>
  <c r="X44" i="1"/>
  <c r="X43" i="1"/>
  <c r="K43" i="1"/>
  <c r="X42" i="1"/>
  <c r="K42" i="1"/>
  <c r="K40" i="1"/>
  <c r="K39" i="1"/>
  <c r="K38" i="1"/>
  <c r="K37" i="1"/>
  <c r="K36" i="1"/>
  <c r="K35" i="1"/>
  <c r="K34" i="1"/>
  <c r="K33" i="1"/>
  <c r="K32" i="1"/>
  <c r="K31" i="1"/>
  <c r="K30" i="1"/>
  <c r="K29" i="1"/>
  <c r="K28" i="1"/>
  <c r="X27" i="1"/>
  <c r="K27" i="1"/>
  <c r="X26" i="1"/>
  <c r="K26" i="1"/>
  <c r="X25" i="1"/>
  <c r="K25" i="1"/>
  <c r="X24" i="1"/>
  <c r="K24" i="1"/>
  <c r="X23" i="1"/>
  <c r="K23" i="1"/>
  <c r="X22" i="1"/>
  <c r="K22" i="1"/>
  <c r="X21" i="1"/>
  <c r="K21" i="1"/>
  <c r="X20" i="1"/>
  <c r="K20" i="1"/>
  <c r="X19" i="1"/>
  <c r="K19" i="1"/>
  <c r="X18" i="1"/>
  <c r="K18" i="1"/>
  <c r="X17" i="1"/>
  <c r="K17" i="1"/>
  <c r="X16" i="1"/>
  <c r="K16" i="1"/>
  <c r="X15" i="1"/>
  <c r="K15" i="1"/>
  <c r="X14" i="1"/>
  <c r="K14" i="1"/>
  <c r="X13" i="1"/>
  <c r="K13" i="1"/>
  <c r="X12" i="1"/>
  <c r="K12" i="1"/>
  <c r="X11" i="1"/>
  <c r="K11" i="1"/>
  <c r="X10" i="1"/>
  <c r="K10" i="1"/>
  <c r="X9" i="1"/>
  <c r="K9" i="1"/>
  <c r="X8" i="1"/>
  <c r="K8" i="1"/>
  <c r="X7" i="1"/>
  <c r="K7" i="1"/>
  <c r="X6" i="1"/>
  <c r="K6" i="1"/>
  <c r="X5" i="1"/>
  <c r="K5" i="1"/>
  <c r="X4" i="1"/>
  <c r="K4" i="1"/>
  <c r="X3" i="1"/>
  <c r="K3" i="1"/>
  <c r="X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tc={3E39B5CD-0E54-5349-AF74-E96FC2419204}</author>
    <author>tc={090D6F9D-D340-7B47-818B-AD6F8CFFB7FE}</author>
    <author>tc={61191182-543C-5A48-B665-A63D1D301F91}</author>
    <author>tc={CC0764BA-4C3E-714B-A1A7-F95F28ECB2FC}</author>
    <author/>
    <author>tc={092E1FCB-3830-D948-B1E9-B45F7297C683}</author>
    <author>tc={1FD46BD8-738F-AF47-ABA6-265F85637DD1}</author>
    <author>tc={1817A015-5B19-CD4B-B58E-078A427734AD}</author>
    <author>tc={9D649DC3-6389-984E-A9BF-E64A6871354B}</author>
    <author>tc={D6205E2E-DF4F-1A41-81DA-30AA73F5EE69}</author>
    <author>tc={FD3BAB89-1024-4344-942C-6C0C851A5645}</author>
    <author>tc={A5988C50-1C8E-EF4C-8218-C3C40A926766}</author>
    <author>tc={9D9E666E-29DF-DC4C-8787-8F713D1160C0}</author>
    <author>tc={6A88A2EE-457C-F042-84C2-022B0FF07480}</author>
    <author>tc={3BF752AB-8462-A840-BAAA-7F43C0E48744}</author>
    <author>tc={A661E8A9-FE32-3B44-98EA-3419F10514EA}</author>
    <author>tc={555B8918-A069-F74C-AE14-E76CEE37A08D}</author>
    <author>tc={3F2CBB02-E9FB-A44D-81B5-704A07C36031}</author>
    <author>tc={5CC5CA7C-41D2-EF44-9DE7-F5DF2D89F358}</author>
    <author>tc={9B3CF970-DD2D-634A-8F94-D5F40512CCB9}</author>
    <author>tc={4918726B-EAFB-9342-961D-B1BCCC0AD268}</author>
    <author>tc={DB6884B7-9CF2-9A42-B9A2-E4E91C1075ED}</author>
    <author>tc={24F2D3FC-D85B-C24E-87FD-4908983FC035}</author>
    <author>tc={0E4FCFAD-C56F-F34F-A3AB-D59619F511A0}</author>
    <author>tc={76295E77-5092-F640-883E-D41A2D303049}</author>
    <author>tc={CA235324-A94F-404A-8363-C70B90C01515}</author>
    <author>tc={038E695B-FF26-814C-98E2-548123F74FFB}</author>
    <author>tc={A5F265C6-A4DC-BB43-866C-4175882CD5F8}</author>
    <author>tc={47FC0344-6BA9-C347-A84D-3242E0439408}</author>
    <author>tc={7CA4EE3B-9021-7749-B8AD-AD8E546AD261}</author>
    <author>tc={37532158-DD11-5148-AA34-5373A9985FF9}</author>
    <author>tc={7C304A5B-116F-EF46-90AD-B7FF7B34E914}</author>
    <author>tc={02CC558C-34C2-E841-8D42-F426CC3289C7}</author>
    <author>tc={FABEA68D-F3AE-E54A-A25A-8FF22CF7DBD6}</author>
    <author>tc={9F4957BF-148A-3F42-98AB-D89C3DF1E3E9}</author>
    <author>tc={A2B7C1D8-2664-8344-BF31-46BBD1EC23C5}</author>
    <author>tc={1B89AA15-236C-094F-9931-CE4BAB834957}</author>
    <author>tc={9AEFB5D8-6758-B849-B368-888CA6448DAB}</author>
    <author>tc={A164176F-7BD5-2447-BED4-BEFB98C13429}</author>
    <author>tc={D24EA285-1D1D-AE4C-8B32-60E153FC0F62}</author>
    <author>tc={95E575AE-9713-5842-A8F1-3A8D7E55FFA1}</author>
    <author>tc={104BB465-5177-C44E-8EE0-5AAC3183722C}</author>
    <author>tc={C09B8D2E-669C-9B49-86E1-77983FA6113E}</author>
    <author>tc={0DD1F562-57AA-0845-A555-5F171710FB65}</author>
    <author>tc={AF161167-605B-324D-96F7-5F9B2D21BE21}</author>
    <author>tc={3348F545-69E3-8C4F-ADF1-7FEC20D3D88D}</author>
    <author>tc={893433B2-0F0F-A347-A020-DDB343400461}</author>
    <author>tc={8DD6BD6C-7B86-A14D-8309-A276D78A8B35}</author>
    <author>tc={F8C48BE8-48E2-7345-8766-5ED9EF6A6CB9}</author>
    <author>tc={C4FFCEC6-3482-1D47-AFA6-517F9D24FF2F}</author>
    <author>tc={D743B19F-E810-5640-B523-4460BFA1333C}</author>
    <author>tc={B1BE8147-F765-EA40-92EB-07DB87EB3A93}</author>
    <author>tc={482CA20A-7B9D-6D41-843C-CC191F34D607}</author>
    <author>tc={B0038152-D303-C640-B109-04AF96442864}</author>
    <author>tc={59AD860E-AE1A-8A4C-AED8-92C80E83B527}</author>
    <author>tc={E1237277-CEAD-9744-9C63-FFFBB0A16592}</author>
  </authors>
  <commentList>
    <comment ref="S1" authorId="0" shapeId="0" xr:uid="{3E39B5CD-0E54-5349-AF74-E96FC2419204}">
      <text>
        <t>[Threaded comment]
Your version of Excel allows you to read this threaded comment; however, any edits to it will get removed if the file is opened in a newer version of Excel. Learn more: https://go.microsoft.com/fwlink/?linkid=870924
Comment:
    Absolute elevation that came out of ICE-D.</t>
      </text>
    </comment>
    <comment ref="T1" authorId="1" shapeId="0" xr:uid="{090D6F9D-D340-7B47-818B-AD6F8CFFB7FE}">
      <text>
        <t xml:space="preserve">[Threaded comment]
Your version of Excel allows you to read this threaded comment; however, any edits to it will get removed if the file is opened in a newer version of Excel. Learn more: https://go.microsoft.com/fwlink/?linkid=870924
Comment:
    absolute elevation of the ice surface relative to mean sea level
</t>
      </text>
    </comment>
    <comment ref="V1" authorId="2" shapeId="0" xr:uid="{61191182-543C-5A48-B665-A63D1D301F91}">
      <text>
        <t xml:space="preserve">[Threaded comment]
Your version of Excel allows you to read this threaded comment; however, any edits to it will get removed if the file is opened in a newer version of Excel. Learn more: https://go.microsoft.com/fwlink/?linkid=870924
Comment:
    Height of the LGM surface relative to today. </t>
      </text>
    </comment>
    <comment ref="X1" authorId="3" shapeId="0" xr:uid="{CC0764BA-4C3E-714B-A1A7-F95F28ECB2FC}">
      <text>
        <t xml:space="preserve">[Threaded comment]
Your version of Excel allows you to read this threaded comment; however, any edits to it will get removed if the file is opened in a newer version of Excel. Learn more: https://go.microsoft.com/fwlink/?linkid=870924
Comment:
    Relative elevation above local ice surface. </t>
      </text>
    </comment>
    <comment ref="G188" authorId="4" shapeId="0" xr:uid="{00000000-0006-0000-0000-000007000000}">
      <text>
        <r>
          <rPr>
            <sz val="10"/>
            <color rgb="FF000000"/>
            <rFont val="Arial"/>
            <family val="2"/>
          </rPr>
          <t xml:space="preserve">======
</t>
        </r>
        <r>
          <rPr>
            <sz val="10"/>
            <color rgb="FF000000"/>
            <rFont val="Arial"/>
            <family val="2"/>
          </rPr>
          <t xml:space="preserve">ID#AAABPT25dx0
</t>
        </r>
        <r>
          <rPr>
            <sz val="10"/>
            <color rgb="FF000000"/>
            <rFont val="Arial"/>
            <family val="2"/>
          </rPr>
          <t xml:space="preserve">John Schiavo    (2024-06-11 18:39:08)
</t>
        </r>
        <r>
          <rPr>
            <sz val="10"/>
            <color rgb="FF000000"/>
            <rFont val="Arial"/>
            <family val="2"/>
          </rPr>
          <t>Samples in rows 1314 - 1333 are from Framnes Mountain range, which does not directly contain any glaciers. The 2 glaciers listed nearby are contained in seperate regions.</t>
        </r>
      </text>
    </comment>
    <comment ref="U208" authorId="5" shapeId="0" xr:uid="{092E1FCB-3830-D948-B1E9-B45F7297C683}">
      <text>
        <t xml:space="preserve">[Threaded comment]
Your version of Excel allows you to read this threaded comment; however, any edits to it will get removed if the file is opened in a newer version of Excel. Learn more: https://go.microsoft.com/fwlink/?linkid=870924
Comment:
    Fix this. </t>
      </text>
    </comment>
    <comment ref="F259" authorId="4" shapeId="0" xr:uid="{00000000-0006-0000-0000-000006000000}">
      <text>
        <r>
          <rPr>
            <sz val="10"/>
            <color rgb="FF000000"/>
            <rFont val="Arial"/>
            <family val="2"/>
            <scheme val="minor"/>
          </rPr>
          <t>======
ID#AAABPT25dx4
John Schiavo    (2024-06-11 19:13:32)
No DOI associated with samples in rows 346 - 349, but data is available in ICE-D under site DALTON</t>
        </r>
      </text>
    </comment>
    <comment ref="V590" authorId="6" shapeId="0" xr:uid="{1FD46BD8-738F-AF47-ABA6-265F85637DD1}">
      <text>
        <t xml:space="preserve">[Threaded comment]
Your version of Excel allows you to read this threaded comment; however, any edits to it will get removed if the file is opened in a newer version of Excel. Learn more: https://go.microsoft.com/fwlink/?linkid=870924
Comment:
    From Claire Todd’s PhD Thesis. </t>
      </text>
    </comment>
    <comment ref="V591" authorId="7" shapeId="0" xr:uid="{1817A015-5B19-CD4B-B58E-078A427734AD}">
      <text>
        <t xml:space="preserve">[Threaded comment]
Your version of Excel allows you to read this threaded comment; however, any edits to it will get removed if the file is opened in a newer version of Excel. Learn more: https://go.microsoft.com/fwlink/?linkid=870924
Comment:
    From Claire Todd’s PhD Thesis. </t>
      </text>
    </comment>
    <comment ref="V617" authorId="8" shapeId="0" xr:uid="{9D649DC3-6389-984E-A9BF-E64A6871354B}">
      <text>
        <t xml:space="preserve">[Threaded comment]
Your version of Excel allows you to read this threaded comment; however, any edits to it will get removed if the file is opened in a newer version of Excel. Learn more: https://go.microsoft.com/fwlink/?linkid=870924
Comment:
    From Claire Todd’s PhD Thesis. </t>
      </text>
    </comment>
    <comment ref="F712" authorId="4" shapeId="0" xr:uid="{00000000-0006-0000-0000-000009000000}">
      <text>
        <r>
          <rPr>
            <sz val="10"/>
            <color rgb="FF000000"/>
            <rFont val="Arial"/>
            <family val="2"/>
            <scheme val="minor"/>
          </rPr>
          <t>======
ID#AAABPC6AbKw
John Schiavo    (2024-06-10 18:06:02)
Multiple DOIs refrence multiple glaciers, rows 705-710</t>
        </r>
      </text>
    </comment>
    <comment ref="G813" authorId="4" shapeId="0" xr:uid="{00000000-0006-0000-0000-000005000000}">
      <text>
        <r>
          <rPr>
            <sz val="10"/>
            <color rgb="FF000000"/>
            <rFont val="Arial"/>
            <family val="2"/>
            <scheme val="minor"/>
          </rPr>
          <t>======
ID#AAABPyyAR9Y
John Schiavo    (2024-06-12 19:55:18)
These fields are left blank, as the samples are located on the antarctic peninsula with no reasonable proximity to glaciers.
------
ID#AAABPzhEwhM
Ava Nordgren    (2024-06-13 20:21:50)
Using the coordinates I found a glacier that is very close.</t>
        </r>
      </text>
    </comment>
    <comment ref="G859" authorId="4" shapeId="0" xr:uid="{00000000-0006-0000-0000-000003000000}">
      <text>
        <r>
          <rPr>
            <sz val="10"/>
            <color rgb="FF000000"/>
            <rFont val="Arial"/>
            <family val="2"/>
            <scheme val="minor"/>
          </rPr>
          <t>======
ID#AAABPzhEwhg
Ava Nordgren    (2024-06-13 20:44:13)
This needs to be checked but I am relatively certain these are the closest glaciers.</t>
        </r>
      </text>
    </comment>
    <comment ref="G879" authorId="4" shapeId="0" xr:uid="{00000000-0006-0000-0000-000004000000}">
      <text>
        <r>
          <rPr>
            <sz val="10"/>
            <color rgb="FF000000"/>
            <rFont val="Arial"/>
            <family val="2"/>
            <scheme val="minor"/>
          </rPr>
          <t>======
ID#AAABPzhEwhc
Ava Nordgren    (2024-06-13 20:41:38)
This should be checked although I am relatively certain these are the closest glaciers.</t>
        </r>
      </text>
    </comment>
    <comment ref="G947" authorId="4" shapeId="0" xr:uid="{00000000-0006-0000-0000-000008000000}">
      <text>
        <r>
          <rPr>
            <sz val="10"/>
            <color rgb="FF000000"/>
            <rFont val="Arial"/>
            <family val="2"/>
            <scheme val="minor"/>
          </rPr>
          <t>======
ID#AAABPDOoGC0
John Schiavo    (2024-06-10 19:36:33)
3 Glaciers for rows 899-932</t>
        </r>
      </text>
    </comment>
    <comment ref="V981" authorId="9" shapeId="0" xr:uid="{D6205E2E-DF4F-1A41-81DA-30AA73F5EE69}">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82" authorId="10" shapeId="0" xr:uid="{FD3BAB89-1024-4344-942C-6C0C851A5645}">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83" authorId="11" shapeId="0" xr:uid="{A5988C50-1C8E-EF4C-8218-C3C40A926766}">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84" authorId="12" shapeId="0" xr:uid="{9D9E666E-29DF-DC4C-8787-8F713D1160C0}">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85" authorId="13" shapeId="0" xr:uid="{6A88A2EE-457C-F042-84C2-022B0FF07480}">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86" authorId="14" shapeId="0" xr:uid="{3BF752AB-8462-A840-BAAA-7F43C0E48744}">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87" authorId="15" shapeId="0" xr:uid="{A661E8A9-FE32-3B44-98EA-3419F10514EA}">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88" authorId="16" shapeId="0" xr:uid="{555B8918-A069-F74C-AE14-E76CEE37A08D}">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89" authorId="17" shapeId="0" xr:uid="{3F2CBB02-E9FB-A44D-81B5-704A07C36031}">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90" authorId="18" shapeId="0" xr:uid="{5CC5CA7C-41D2-EF44-9DE7-F5DF2D89F358}">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91" authorId="19" shapeId="0" xr:uid="{9B3CF970-DD2D-634A-8F94-D5F40512CCB9}">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92" authorId="20" shapeId="0" xr:uid="{4918726B-EAFB-9342-961D-B1BCCC0AD268}">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93" authorId="21" shapeId="0" xr:uid="{DB6884B7-9CF2-9A42-B9A2-E4E91C1075ED}">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94" authorId="22" shapeId="0" xr:uid="{24F2D3FC-D85B-C24E-87FD-4908983FC035}">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95" authorId="23" shapeId="0" xr:uid="{0E4FCFAD-C56F-F34F-A3AB-D59619F511A0}">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96" authorId="24" shapeId="0" xr:uid="{76295E77-5092-F640-883E-D41A2D303049}">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97" authorId="25" shapeId="0" xr:uid="{CA235324-A94F-404A-8363-C70B90C01515}">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98" authorId="26" shapeId="0" xr:uid="{038E695B-FF26-814C-98E2-548123F74FFB}">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999" authorId="27" shapeId="0" xr:uid="{A5F265C6-A4DC-BB43-866C-4175882CD5F8}">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00" authorId="28" shapeId="0" xr:uid="{47FC0344-6BA9-C347-A84D-3242E0439408}">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01" authorId="29" shapeId="0" xr:uid="{7CA4EE3B-9021-7749-B8AD-AD8E546AD261}">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02" authorId="30" shapeId="0" xr:uid="{37532158-DD11-5148-AA34-5373A9985FF9}">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03" authorId="31" shapeId="0" xr:uid="{7C304A5B-116F-EF46-90AD-B7FF7B34E914}">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04" authorId="32" shapeId="0" xr:uid="{02CC558C-34C2-E841-8D42-F426CC3289C7}">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05" authorId="33" shapeId="0" xr:uid="{FABEA68D-F3AE-E54A-A25A-8FF22CF7DBD6}">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06" authorId="34" shapeId="0" xr:uid="{9F4957BF-148A-3F42-98AB-D89C3DF1E3E9}">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07" authorId="35" shapeId="0" xr:uid="{A2B7C1D8-2664-8344-BF31-46BBD1EC23C5}">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08" authorId="36" shapeId="0" xr:uid="{1B89AA15-236C-094F-9931-CE4BAB834957}">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09" authorId="37" shapeId="0" xr:uid="{9AEFB5D8-6758-B849-B368-888CA6448DAB}">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10" authorId="38" shapeId="0" xr:uid="{A164176F-7BD5-2447-BED4-BEFB98C13429}">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11" authorId="39" shapeId="0" xr:uid="{D24EA285-1D1D-AE4C-8B32-60E153FC0F62}">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12" authorId="40" shapeId="0" xr:uid="{95E575AE-9713-5842-A8F1-3A8D7E55FFA1}">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13" authorId="41" shapeId="0" xr:uid="{104BB465-5177-C44E-8EE0-5AAC3183722C}">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14" authorId="42" shapeId="0" xr:uid="{C09B8D2E-669C-9B49-86E1-77983FA6113E}">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15" authorId="43" shapeId="0" xr:uid="{0DD1F562-57AA-0845-A555-5F171710FB65}">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16" authorId="44" shapeId="0" xr:uid="{AF161167-605B-324D-96F7-5F9B2D21BE21}">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17" authorId="45" shapeId="0" xr:uid="{3348F545-69E3-8C4F-ADF1-7FEC20D3D88D}">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18" authorId="46" shapeId="0" xr:uid="{893433B2-0F0F-A347-A020-DDB343400461}">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19" authorId="47" shapeId="0" xr:uid="{8DD6BD6C-7B86-A14D-8309-A276D78A8B35}">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20" authorId="48" shapeId="0" xr:uid="{F8C48BE8-48E2-7345-8766-5ED9EF6A6CB9}">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21" authorId="49" shapeId="0" xr:uid="{C4FFCEC6-3482-1D47-AFA6-517F9D24FF2F}">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22" authorId="50" shapeId="0" xr:uid="{D743B19F-E810-5640-B523-4460BFA1333C}">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V1023" authorId="51" shapeId="0" xr:uid="{B1BE8147-F765-EA40-92EB-07DB87EB3A93}">
      <text>
        <t xml:space="preserve">[Threaded comment]
Your version of Excel allows you to read this threaded comment; however, any edits to it will get removed if the file is opened in a newer version of Excel. Learn more: https://go.microsoft.com/fwlink/?linkid=870924
Comment:
    One value for the Pensacola Mountains. </t>
      </text>
    </comment>
    <comment ref="U1025" authorId="52" shapeId="0" xr:uid="{482CA20A-7B9D-6D41-843C-CC191F34D607}">
      <text>
        <t xml:space="preserve">[Threaded comment]
Your version of Excel allows you to read this threaded comment; however, any edits to it will get removed if the file is opened in a newer version of Excel. Learn more: https://go.microsoft.com/fwlink/?linkid=870924
Comment:
    Need to find where Roger got this value! If I can’t find, I’ll put values from Nichols et al. (2019). </t>
      </text>
    </comment>
    <comment ref="V1049" authorId="53" shapeId="0" xr:uid="{B0038152-D303-C640-B109-04AF96442864}">
      <text>
        <t>[Threaded comment]
Your version of Excel allows you to read this threaded comment; however, any edits to it will get removed if the file is opened in a newer version of Excel. Learn more: https://go.microsoft.com/fwlink/?linkid=870924
Comment:
    NIchols et al. (2019) says &gt;640</t>
      </text>
    </comment>
    <comment ref="F1158" authorId="4" shapeId="0" xr:uid="{00000000-0006-0000-0000-00000A000000}">
      <text>
        <r>
          <rPr>
            <sz val="10"/>
            <color rgb="FF000000"/>
            <rFont val="Arial"/>
            <family val="2"/>
          </rPr>
          <t xml:space="preserve">======
</t>
        </r>
        <r>
          <rPr>
            <sz val="10"/>
            <color rgb="FF000000"/>
            <rFont val="Arial"/>
            <family val="2"/>
          </rPr>
          <t xml:space="preserve">ID#AAABPC6AbKo
</t>
        </r>
        <r>
          <rPr>
            <sz val="10"/>
            <color rgb="FF000000"/>
            <rFont val="Arial"/>
            <family val="2"/>
          </rPr>
          <t xml:space="preserve">John Schiavo    (2024-06-10 17:30:56)
</t>
        </r>
        <r>
          <rPr>
            <sz val="10"/>
            <color rgb="FF000000"/>
            <rFont val="Arial"/>
            <family val="2"/>
          </rPr>
          <t>Both DOIs refrence same region</t>
        </r>
      </text>
    </comment>
    <comment ref="U1166" authorId="54" shapeId="0" xr:uid="{59AD860E-AE1A-8A4C-AED8-92C80E83B527}">
      <text>
        <t xml:space="preserve">[Threaded comment]
Your version of Excel allows you to read this threaded comment; however, any edits to it will get removed if the file is opened in a newer version of Excel. Learn more: https://go.microsoft.com/fwlink/?linkid=870924
Comment:
    873? Golledge et al. (2012)
</t>
      </text>
    </comment>
    <comment ref="U1174" authorId="55" shapeId="0" xr:uid="{E1237277-CEAD-9744-9C63-FFFBB0A16592}">
      <text>
        <t>[Threaded comment]
Your version of Excel allows you to read this threaded comment; however, any edits to it will get removed if the file is opened in a newer version of Excel. Learn more: https://go.microsoft.com/fwlink/?linkid=870924
Comment:
    909 m? Golledge et al. (2012)</t>
      </text>
    </comment>
    <comment ref="M1222" authorId="4" shapeId="0" xr:uid="{00000000-0006-0000-0000-000002000000}">
      <text>
        <r>
          <rPr>
            <sz val="10"/>
            <color rgb="FF000000"/>
            <rFont val="Arial"/>
            <family val="2"/>
            <scheme val="minor"/>
          </rPr>
          <t>======
ID#AAABPjqOhho
John Schiavo    (2024-06-18 19:46:01)
Repeated from rows 221-230</t>
        </r>
      </text>
    </comment>
    <comment ref="M1263" authorId="4" shapeId="0" xr:uid="{00000000-0006-0000-0000-000001000000}">
      <text>
        <r>
          <rPr>
            <sz val="10"/>
            <color rgb="FF000000"/>
            <rFont val="Arial"/>
            <family val="2"/>
            <scheme val="minor"/>
          </rPr>
          <t>======
ID#AAABPjqOhh8
John Schiavo    (2024-06-18 20:08:16)
Some of these had an age of 0, included to be safe</t>
        </r>
      </text>
    </comment>
    <comment ref="O1312" authorId="4" shapeId="0" xr:uid="{00000000-0006-0000-0000-00000B000000}">
      <text>
        <r>
          <rPr>
            <sz val="10"/>
            <color rgb="FF000000"/>
            <rFont val="Arial"/>
            <family val="2"/>
            <scheme val="minor"/>
          </rPr>
          <t>======
ID#AAABPC6AbKY
John Schiavo    (2024-06-10 16:23:37)
Found DOI in ICE-D for the MGM site</t>
        </r>
      </text>
    </comment>
  </commentList>
  <extLst>
    <ext xmlns:r="http://schemas.openxmlformats.org/officeDocument/2006/relationships" uri="GoogleSheetsCustomDataVersion2">
      <go:sheetsCustomData xmlns:go="http://customooxmlschemas.google.com/" r:id="rId1" roundtripDataSignature="AMtx7miDLBd85/XVC9nPu08Lk+EDHzWwFg=="/>
    </ext>
  </extLst>
</comments>
</file>

<file path=xl/sharedStrings.xml><?xml version="1.0" encoding="utf-8"?>
<sst xmlns="http://schemas.openxmlformats.org/spreadsheetml/2006/main" count="18403" uniqueCount="2467">
  <si>
    <t>name</t>
  </si>
  <si>
    <t>local_name</t>
  </si>
  <si>
    <t>Group</t>
  </si>
  <si>
    <t>upper bound LGM ice extent?</t>
  </si>
  <si>
    <t>Best guess at when thickness reaches present</t>
  </si>
  <si>
    <t>subregion_name</t>
  </si>
  <si>
    <t>Glacier nearest?</t>
  </si>
  <si>
    <t>Region</t>
  </si>
  <si>
    <t>Transantarctic Mountains?</t>
  </si>
  <si>
    <t>cosmo_type</t>
  </si>
  <si>
    <t>ICE-D Link</t>
  </si>
  <si>
    <t>Missing data?</t>
  </si>
  <si>
    <t>Links to missing data?</t>
  </si>
  <si>
    <t xml:space="preserve">Is missing data post-LGM / useable? </t>
  </si>
  <si>
    <t>DOI</t>
  </si>
  <si>
    <t>lat_DD</t>
  </si>
  <si>
    <t>lon_DD</t>
  </si>
  <si>
    <t>elv_m_err_1std</t>
  </si>
  <si>
    <t>elv_m</t>
  </si>
  <si>
    <t>surf_ice_elv_m</t>
  </si>
  <si>
    <t>rel_elv_LGM_m</t>
  </si>
  <si>
    <t>rel_elv_m</t>
  </si>
  <si>
    <t>thick_cm</t>
  </si>
  <si>
    <t>density</t>
  </si>
  <si>
    <t>what</t>
  </si>
  <si>
    <t>t_LSDn</t>
  </si>
  <si>
    <t>dtint_LSDn</t>
  </si>
  <si>
    <t>dtext_LSDn</t>
  </si>
  <si>
    <t>N10_atoms_g</t>
  </si>
  <si>
    <t>delN10_atoms_g</t>
  </si>
  <si>
    <t>N26_atoms_g</t>
  </si>
  <si>
    <t>delN26_atoms_g</t>
  </si>
  <si>
    <t>date_collected</t>
  </si>
  <si>
    <t>date_collected_1isreported_0isinferred</t>
  </si>
  <si>
    <t>Reject</t>
  </si>
  <si>
    <t>Notes-1</t>
  </si>
  <si>
    <t>Notes-2</t>
  </si>
  <si>
    <t>W2014-CHL-2b</t>
  </si>
  <si>
    <t>Lower Condon Hills</t>
  </si>
  <si>
    <t>NO</t>
  </si>
  <si>
    <t>Enderby Land</t>
  </si>
  <si>
    <t>Rayner Glacier</t>
  </si>
  <si>
    <t>East Antarctica</t>
  </si>
  <si>
    <t>Be</t>
  </si>
  <si>
    <t>-</t>
  </si>
  <si>
    <t>10.1002/ 2013JF002870</t>
  </si>
  <si>
    <t>Erratic clast</t>
  </si>
  <si>
    <t>W2014-CHL-2c</t>
  </si>
  <si>
    <t>W2014-CHL-2d</t>
  </si>
  <si>
    <t>W2014-CHU-1b</t>
  </si>
  <si>
    <t>Upper Condon Hills</t>
  </si>
  <si>
    <t>Erratic boulder</t>
  </si>
  <si>
    <t>W2014-CHU-1c</t>
  </si>
  <si>
    <t>W2014-CHU-1d</t>
  </si>
  <si>
    <t>W2014-DDI-1</t>
  </si>
  <si>
    <t>Demidov Island</t>
  </si>
  <si>
    <t>W2014-DDI-2</t>
  </si>
  <si>
    <t>W2014-DDI-3</t>
  </si>
  <si>
    <t>Bedrock</t>
  </si>
  <si>
    <t>K2020-16012201</t>
  </si>
  <si>
    <t>Skarvsnes</t>
  </si>
  <si>
    <t>Lützow-Holm Bay, Soya Coast</t>
  </si>
  <si>
    <t>Honör Glacier</t>
  </si>
  <si>
    <t>10.1016/j.quascirev.2020.106540</t>
  </si>
  <si>
    <t>Al</t>
  </si>
  <si>
    <t>K2020-16012301</t>
  </si>
  <si>
    <t>K2020-16012401</t>
  </si>
  <si>
    <t>K2020-16012402</t>
  </si>
  <si>
    <t>K2020-16012403</t>
  </si>
  <si>
    <t>K2020-16012404</t>
  </si>
  <si>
    <t>K2020-16012501</t>
  </si>
  <si>
    <t>K2020-16012503</t>
  </si>
  <si>
    <t>K2020-17121703</t>
  </si>
  <si>
    <t>Erratic cobble</t>
  </si>
  <si>
    <t>K2020-17121801</t>
  </si>
  <si>
    <t>K2020-17121804</t>
  </si>
  <si>
    <t>Y2011-SV3-1</t>
  </si>
  <si>
    <t>10.1002/jqs.1465</t>
  </si>
  <si>
    <t>Y2011-SV4-2</t>
  </si>
  <si>
    <t>Y2011-SV7-2</t>
  </si>
  <si>
    <t>Y2011-SV9-2</t>
  </si>
  <si>
    <t>K2020-16010901</t>
  </si>
  <si>
    <t>Telen</t>
  </si>
  <si>
    <t>Telen Glacier</t>
  </si>
  <si>
    <t>Erratic</t>
  </si>
  <si>
    <t>K2020-16010902</t>
  </si>
  <si>
    <t>K2020-16011201</t>
  </si>
  <si>
    <t xml:space="preserve">This datum placed as its own site because authors argue that glaciers hit present levels by 3 ka then readvanced after 3 in the late holocene.  </t>
  </si>
  <si>
    <t>K2020-16011202</t>
  </si>
  <si>
    <t>K2020-15123101</t>
  </si>
  <si>
    <t>Skallen-A</t>
  </si>
  <si>
    <t>Skallen Glacier</t>
  </si>
  <si>
    <t>skall: these sites were further split up based on which side of the nunatak they were on because each side has a different exposure history</t>
  </si>
  <si>
    <t>K2020-15123102</t>
  </si>
  <si>
    <t>K2020-16010601</t>
  </si>
  <si>
    <t>K2020-18012805</t>
  </si>
  <si>
    <t>K2020-18012812</t>
  </si>
  <si>
    <t>K2020-17122702</t>
  </si>
  <si>
    <t>Skallen-B</t>
  </si>
  <si>
    <t>K2020-18012706</t>
  </si>
  <si>
    <t>K2020-18012709</t>
  </si>
  <si>
    <t xml:space="preserve">This datum placed as its own site because authors argue that glaciers hit present levels by 3 ka then readvanced from 3 to 1.5.  </t>
  </si>
  <si>
    <t>Y2011-SK2</t>
  </si>
  <si>
    <t>Mount Himi</t>
  </si>
  <si>
    <t>Shirase Glacier</t>
  </si>
  <si>
    <t>https://www.ice-d.org/antarctica/sample/Y2011-SK2/</t>
  </si>
  <si>
    <t>Skallen</t>
  </si>
  <si>
    <t>Y2011-SV11</t>
  </si>
  <si>
    <t>https://www.ice-d.org/antarctica/sample/Y2011-SV11/</t>
  </si>
  <si>
    <t>Authors note inherited cosmogenic nuclides from previous exposure</t>
  </si>
  <si>
    <t>K2020-18010904</t>
  </si>
  <si>
    <t>North Skarvsnes</t>
  </si>
  <si>
    <t>YES medium amount of missing information!</t>
  </si>
  <si>
    <t>nskarv</t>
  </si>
  <si>
    <t>K2020-18010906</t>
  </si>
  <si>
    <t>K2020-18010911</t>
  </si>
  <si>
    <t>K2020-18010914</t>
  </si>
  <si>
    <t>K2020-18010916</t>
  </si>
  <si>
    <t>K2020-18010919</t>
  </si>
  <si>
    <t>K2020-18010924</t>
  </si>
  <si>
    <t>K2020-18010929</t>
  </si>
  <si>
    <t>MDML-KUL03</t>
  </si>
  <si>
    <t>Viddalskollen</t>
  </si>
  <si>
    <t>Western Dronning Maud Land</t>
  </si>
  <si>
    <t>Jutulstraumen Glacier</t>
  </si>
  <si>
    <t>10.1016/j.quascirev.2020.106636</t>
  </si>
  <si>
    <t>MDML-MID05</t>
  </si>
  <si>
    <t xml:space="preserve">Midbresrabben nunatak </t>
  </si>
  <si>
    <t>He</t>
  </si>
  <si>
    <t>Rejecting helium 3 as of lower quality</t>
  </si>
  <si>
    <t>MDML-MOT01</t>
  </si>
  <si>
    <t>Penck Trough Assemblage</t>
  </si>
  <si>
    <t>Cl</t>
  </si>
  <si>
    <t>Consider rejecting b/c of complicated calibration</t>
  </si>
  <si>
    <t>MDML-VID03</t>
  </si>
  <si>
    <t>Yes confusing information that is also not in ICE-D</t>
  </si>
  <si>
    <t>MDML-VID04</t>
  </si>
  <si>
    <t>Rejecting He 3 because of lower quality</t>
  </si>
  <si>
    <t>MDML-SVE03</t>
  </si>
  <si>
    <t>Sverdrupfjella</t>
  </si>
  <si>
    <t>K2009-LH-10-97</t>
  </si>
  <si>
    <t>Stornes, Larsemann Hills</t>
  </si>
  <si>
    <t>Prydz Bay</t>
  </si>
  <si>
    <t>Dålk Glacier</t>
  </si>
  <si>
    <t>10.1017/S0954102009002028</t>
  </si>
  <si>
    <t>K2009-LH-11-97</t>
  </si>
  <si>
    <t>H2010-I02</t>
  </si>
  <si>
    <t>Amery Ice Shelf</t>
  </si>
  <si>
    <t>YES small amount of missing information!</t>
  </si>
  <si>
    <t>https://version2.ice-d.org/antarctica/sample/H2010-I03/</t>
  </si>
  <si>
    <t>10.1111/j.1755-6724.2010.00271.x</t>
  </si>
  <si>
    <t>W2022-RI-007B</t>
  </si>
  <si>
    <t>Filla Island, Rauer Group</t>
  </si>
  <si>
    <t>Lambert Glacier, Amery Ice Shelf</t>
  </si>
  <si>
    <t>YES there are samples in this set that are not in ICE-D</t>
  </si>
  <si>
    <t>10.1016/j.quascirev.2022.107401</t>
  </si>
  <si>
    <t>Authors note that sample is stratigraphically inconsistent and also produces discordant Be-10 and Al-26 ages likely because of prior exposure</t>
  </si>
  <si>
    <t>W2022-RI-112A</t>
  </si>
  <si>
    <t>Mather Peninsula, Rauer Group</t>
  </si>
  <si>
    <t>W2022-RI-112B</t>
  </si>
  <si>
    <t>W2022-RI-113A</t>
  </si>
  <si>
    <t>W2022-RI-113B</t>
  </si>
  <si>
    <t>W2022-RI-113D</t>
  </si>
  <si>
    <t>W2022-RI-117A</t>
  </si>
  <si>
    <t>W2022-RI-41A</t>
  </si>
  <si>
    <t>W2022-RI-35B</t>
  </si>
  <si>
    <t>Hop Island, Rauer Group</t>
  </si>
  <si>
    <t>W2022-RI-35C</t>
  </si>
  <si>
    <t>W2022-RI-38A</t>
  </si>
  <si>
    <t>Mosquito Island, Rauer Group</t>
  </si>
  <si>
    <t>W2022-RI-38B</t>
  </si>
  <si>
    <t>W2022-VH-669b</t>
  </si>
  <si>
    <t>Vestfold Hills</t>
  </si>
  <si>
    <t>W2022-VH-670b</t>
  </si>
  <si>
    <t>L2008-VH22-1</t>
  </si>
  <si>
    <t>Zvezda Ridge</t>
  </si>
  <si>
    <t>Vestfold Hills, eastern Prydz Bay</t>
  </si>
  <si>
    <t>L2008-VH22-2</t>
  </si>
  <si>
    <t>L2008-VH27-3</t>
  </si>
  <si>
    <t>L2008-VH30</t>
  </si>
  <si>
    <t>L2008-VH32-1</t>
  </si>
  <si>
    <t>L2008-VH32-3</t>
  </si>
  <si>
    <t>L2008-VH33-1</t>
  </si>
  <si>
    <t>W2022-C-26</t>
  </si>
  <si>
    <t>W2022-C-15</t>
  </si>
  <si>
    <t>Long Peninsula</t>
  </si>
  <si>
    <t>Authors do not include this datum in their discussion of the local trends</t>
  </si>
  <si>
    <t>W2022-C-22</t>
  </si>
  <si>
    <t>95-VHANT-C-19</t>
  </si>
  <si>
    <t>95-VHANT-C-20</t>
  </si>
  <si>
    <t>95-VHANT-C-29</t>
  </si>
  <si>
    <t>95-VHANT-C-24</t>
  </si>
  <si>
    <t>95-VHANT-C-35</t>
  </si>
  <si>
    <t>95-VHANT-C-36</t>
  </si>
  <si>
    <t>G06</t>
  </si>
  <si>
    <t>Grotfjellet</t>
  </si>
  <si>
    <t>YES</t>
  </si>
  <si>
    <t>Gjelsvik Mountains, New Schwabenland, Dronning Maud Land</t>
  </si>
  <si>
    <t>Fjellimellom Glacier, Svea Glacier</t>
  </si>
  <si>
    <t>https://version2.ice-d.org/antarctica/sample/G11/</t>
  </si>
  <si>
    <t>10.1038/s43247-022-00599-z</t>
  </si>
  <si>
    <t>erratic</t>
  </si>
  <si>
    <t>NB: elevation of ice not reported in ICE-D so inferred from manuscript figure 4b</t>
  </si>
  <si>
    <t>G10</t>
  </si>
  <si>
    <t>G14</t>
  </si>
  <si>
    <t>G15</t>
  </si>
  <si>
    <t>G16</t>
  </si>
  <si>
    <t>G17</t>
  </si>
  <si>
    <t>G18</t>
  </si>
  <si>
    <t>G19</t>
  </si>
  <si>
    <t>G20</t>
  </si>
  <si>
    <t>G22</t>
  </si>
  <si>
    <t>G23</t>
  </si>
  <si>
    <t>G24</t>
  </si>
  <si>
    <t>G25</t>
  </si>
  <si>
    <t>Bee</t>
  </si>
  <si>
    <t>G26</t>
  </si>
  <si>
    <t>J07</t>
  </si>
  <si>
    <t>Rabben</t>
  </si>
  <si>
    <t>YES, medium/large amount of missing information!</t>
  </si>
  <si>
    <t>https://version2.ice-d.org/antarctica/sample/J06/</t>
  </si>
  <si>
    <t>Authors do not include in manuscript</t>
  </si>
  <si>
    <t>R06</t>
  </si>
  <si>
    <t>Authors consider this sample an outlier and don't include it in analysis</t>
  </si>
  <si>
    <t>R09</t>
  </si>
  <si>
    <t>Authors consider these samples to be recycled/rolled</t>
  </si>
  <si>
    <t>R01</t>
  </si>
  <si>
    <t>NB: elevation of ice not reported in ICE-D so inferred from manuscript figure 4d</t>
  </si>
  <si>
    <t>R03</t>
  </si>
  <si>
    <t>R04</t>
  </si>
  <si>
    <t>R05</t>
  </si>
  <si>
    <t>R07</t>
  </si>
  <si>
    <t>R08</t>
  </si>
  <si>
    <t>FM-Hend-14-3</t>
  </si>
  <si>
    <t>Mount Henderson</t>
  </si>
  <si>
    <t>Mac. Robertson Land</t>
  </si>
  <si>
    <t>Robert Glacier, Scylla Glacier</t>
  </si>
  <si>
    <t>10.1130/g23503a.1</t>
  </si>
  <si>
    <t>FM-Hend-27-2</t>
  </si>
  <si>
    <t>FM-NMas-1-2</t>
  </si>
  <si>
    <t>North Masson Range</t>
  </si>
  <si>
    <t>Authors reject this datum in th original manuscript because of stratigraphic inconsistency</t>
  </si>
  <si>
    <t>FM-NMas-23-6</t>
  </si>
  <si>
    <t>10.1130/g23503a.1, 10.1016/j.quageo.2011.03.004</t>
  </si>
  <si>
    <t>Authors discount this sample as anomalous relative to the thinning history as told by other samples at the site</t>
  </si>
  <si>
    <t>FM-NMas-18-3</t>
  </si>
  <si>
    <t>FM-NMas-20-7</t>
  </si>
  <si>
    <t>C</t>
  </si>
  <si>
    <t>FM-NMas-21-8</t>
  </si>
  <si>
    <t>FM-NMas-24-5</t>
  </si>
  <si>
    <t>FM-NMas-4B-1</t>
  </si>
  <si>
    <t>FM-Brown-20-5</t>
  </si>
  <si>
    <t>Brown Range</t>
  </si>
  <si>
    <t>FM-Brown-29-3</t>
  </si>
  <si>
    <t>FM-Brown-43-4</t>
  </si>
  <si>
    <t>FM-Cmas-7-1</t>
  </si>
  <si>
    <t>Dalice Peak, Central Masson Range</t>
  </si>
  <si>
    <t>FM-Dun-11-2</t>
  </si>
  <si>
    <t>Dunlop Peak</t>
  </si>
  <si>
    <t>R2019-JBG026</t>
  </si>
  <si>
    <t>Campbell Glacier, Jangbogo hills</t>
  </si>
  <si>
    <t>Terra Nova Bay, Victoria Land</t>
  </si>
  <si>
    <t>Campbell Glacier</t>
  </si>
  <si>
    <t>Ross Sea Sector</t>
  </si>
  <si>
    <t>10.1016/j.quascirev.2019.105897</t>
  </si>
  <si>
    <t>Authors reject this point as outlier</t>
  </si>
  <si>
    <t>R2019-JBG024</t>
  </si>
  <si>
    <t xml:space="preserve">NB: this region had ~69 m of downwasting continuously from MIS-4.  That datum is outside our time window of interest, so we assume that rate was linear and estimate ~10 m of downwasting between 20 ka and our first datum </t>
  </si>
  <si>
    <t>R2019-JBG028</t>
  </si>
  <si>
    <t>R2019-JBG029</t>
  </si>
  <si>
    <t>R2019-JBG030</t>
  </si>
  <si>
    <t>R2019-JBG031</t>
  </si>
  <si>
    <t>R2019-JBG032</t>
  </si>
  <si>
    <t>R2019-JBG033</t>
  </si>
  <si>
    <t>R2019-JBG034</t>
  </si>
  <si>
    <t>R2019-JBG035</t>
  </si>
  <si>
    <t>Authors reject datum as outlier</t>
  </si>
  <si>
    <t>R2019-JBG038</t>
  </si>
  <si>
    <t>R2019-JBG039</t>
  </si>
  <si>
    <t>R2019-JBG040</t>
  </si>
  <si>
    <t>R2019-JBG041</t>
  </si>
  <si>
    <t>R2019-JBG042</t>
  </si>
  <si>
    <t>R2019-JBG043</t>
  </si>
  <si>
    <t>JS2017-HB-TC-01</t>
  </si>
  <si>
    <t>Hughes Bluff, David Glacier</t>
  </si>
  <si>
    <t>Victoria Land</t>
  </si>
  <si>
    <t>David Glacier</t>
  </si>
  <si>
    <t>10.5194/tc-15-5447-2021</t>
  </si>
  <si>
    <t>JS2017-HB-TC-03</t>
  </si>
  <si>
    <t>JS2017-HB-TC-05</t>
  </si>
  <si>
    <t>JS2017-HB-TC-06</t>
  </si>
  <si>
    <t>JS2017-HB-TC-07</t>
  </si>
  <si>
    <t>JS2017-HB-TC-11</t>
  </si>
  <si>
    <t>JS2017-HB-TC-13</t>
  </si>
  <si>
    <t>JS2017-HB-TC-15</t>
  </si>
  <si>
    <t>JS2017-HB-TC-16</t>
  </si>
  <si>
    <t>JS2017-HB-TE-01</t>
  </si>
  <si>
    <t>JS2017-HB-TE-09</t>
  </si>
  <si>
    <t>JS2017-HB-TE-11</t>
  </si>
  <si>
    <t>JS2017-HB-TE-12</t>
  </si>
  <si>
    <t>JS2017-HB-TE-13</t>
  </si>
  <si>
    <t>JS2017-HB-TE-14</t>
  </si>
  <si>
    <t>JS2017-HB-TE-BR-02</t>
  </si>
  <si>
    <t>JS2017-MK-16</t>
  </si>
  <si>
    <t>Mt. Kring, David Glacier</t>
  </si>
  <si>
    <t>YES medium missing amount of information!</t>
  </si>
  <si>
    <t>JS2017-MK-19</t>
  </si>
  <si>
    <t>JS2017-MK-20</t>
  </si>
  <si>
    <t>JS2017-MK-01</t>
  </si>
  <si>
    <t>JS2017-MK-08</t>
  </si>
  <si>
    <t>JS2017-MK-15</t>
  </si>
  <si>
    <t>JS2017-MK-21</t>
  </si>
  <si>
    <t>L2008-DALT07</t>
  </si>
  <si>
    <t>Mawson Escarpment</t>
  </si>
  <si>
    <t>Lambert Glacier</t>
  </si>
  <si>
    <t>n/a</t>
  </si>
  <si>
    <t>not published</t>
  </si>
  <si>
    <t>JS2022-GPS01A</t>
  </si>
  <si>
    <t>GPS Nunataks</t>
  </si>
  <si>
    <t>Churchill Mountains</t>
  </si>
  <si>
    <t>Byrd Glacier</t>
  </si>
  <si>
    <t>10.1002/esp.5701</t>
  </si>
  <si>
    <t>JS2022-GPS03C</t>
  </si>
  <si>
    <t>JS2022-LW2Ro</t>
  </si>
  <si>
    <t>LW2 Nunataks</t>
  </si>
  <si>
    <t>JS2022-T01A</t>
  </si>
  <si>
    <t>Tiger Nunataks</t>
  </si>
  <si>
    <t>JS2022-T01C</t>
  </si>
  <si>
    <t>JS2022-T01D</t>
  </si>
  <si>
    <t>JS2022-T02</t>
  </si>
  <si>
    <t>JS2022-OT01</t>
  </si>
  <si>
    <t>LW1 Nunatak</t>
  </si>
  <si>
    <t>JS2022-OT02</t>
  </si>
  <si>
    <t>JS2022-OT03</t>
  </si>
  <si>
    <t>JS2022-OT04A</t>
  </si>
  <si>
    <t>JS2022-OT05A</t>
  </si>
  <si>
    <t>JS2022-OT05c</t>
  </si>
  <si>
    <t>JS2022-OT07</t>
  </si>
  <si>
    <t>JS2022-OT09</t>
  </si>
  <si>
    <t>JS2022-OT10</t>
  </si>
  <si>
    <t>JS2022-OT14A</t>
  </si>
  <si>
    <t>JS2022-OT15</t>
  </si>
  <si>
    <t>JS2022-OT17</t>
  </si>
  <si>
    <t>JS2022-R3-6</t>
  </si>
  <si>
    <t>Mount Tadpole</t>
  </si>
  <si>
    <t>https://version2.ice-d.org/antarctica/sample/JS2022-R3-5/</t>
  </si>
  <si>
    <t>JA2019-EP01H03</t>
  </si>
  <si>
    <t>Escalade Peak</t>
  </si>
  <si>
    <t>Royal Society Range</t>
  </si>
  <si>
    <t>Skelton Glacier</t>
  </si>
  <si>
    <t>https://version2.ice-d.org/antarctica/sample/JA2019-EP10P20/</t>
  </si>
  <si>
    <t>10.1016/j.quascirev.2020.106305</t>
  </si>
  <si>
    <t>Authors argue that samples do not provide independent constraints on ice surface elevation changes</t>
  </si>
  <si>
    <t>JA2019-EP01P01</t>
  </si>
  <si>
    <t>https://version2.ice-d.org/antarctica/sample/JA2019-EP01P01/</t>
  </si>
  <si>
    <t>JA2019-EP01P02</t>
  </si>
  <si>
    <t>JA2019-EP02H04</t>
  </si>
  <si>
    <t>JA2019-EP02P05</t>
  </si>
  <si>
    <t>JA2019-EP02P06</t>
  </si>
  <si>
    <t>JA2019-EP04P09</t>
  </si>
  <si>
    <t>JA2019-EP07P14</t>
  </si>
  <si>
    <t>JA2019-EP09P18</t>
  </si>
  <si>
    <t>JA2019-EP17H28</t>
  </si>
  <si>
    <t>J2015-HN36</t>
  </si>
  <si>
    <t>Halfway Nunatak</t>
  </si>
  <si>
    <t>10.1016/j.epsl.2017.09.014</t>
  </si>
  <si>
    <t>JA2016-A005</t>
  </si>
  <si>
    <t>Mount Discovery</t>
  </si>
  <si>
    <t>Southern Mcmurdo sound</t>
  </si>
  <si>
    <t>Koettlitz Glacier</t>
  </si>
  <si>
    <t>10.1016/j.quascirev.2016.12.007</t>
  </si>
  <si>
    <t>Authors reject as inconsistent, possibly b/c of different facies or postdepositional movement from melting of ice cored moraine</t>
  </si>
  <si>
    <t>JA2016-E100</t>
  </si>
  <si>
    <t>JA2016-H004</t>
  </si>
  <si>
    <t xml:space="preserve">Authors reject b/c stratigraphically inconsistent and not on same transect axis for sampling. </t>
  </si>
  <si>
    <t>JA2016-A004</t>
  </si>
  <si>
    <t>JA2016-D180</t>
  </si>
  <si>
    <t>JA2016-D183</t>
  </si>
  <si>
    <t>JA2016-D186</t>
  </si>
  <si>
    <t>JA2016-D193</t>
  </si>
  <si>
    <t>JA2016-D195</t>
  </si>
  <si>
    <t>JA2016-E121</t>
  </si>
  <si>
    <t>JA2016-E122</t>
  </si>
  <si>
    <t>JA2016-BI10</t>
  </si>
  <si>
    <t>Black Island</t>
  </si>
  <si>
    <t>JA2016-BI20</t>
  </si>
  <si>
    <t>W2011-Ruk-235C</t>
  </si>
  <si>
    <t>Mt. Ruker</t>
  </si>
  <si>
    <t>Prince Charles Mountains</t>
  </si>
  <si>
    <t>Fisher Glacier</t>
  </si>
  <si>
    <t xml:space="preserve">Ross Sea Sector </t>
  </si>
  <si>
    <t>10.1130/G31591.1</t>
  </si>
  <si>
    <t>Authors reject this datum in th original manuscript because of differential weathering</t>
  </si>
  <si>
    <t>W2011-Ruk-199A</t>
  </si>
  <si>
    <t>W2011-Ruk-201</t>
  </si>
  <si>
    <t>W2011-Ruk-235A</t>
  </si>
  <si>
    <t>W2011-Ruk-261b</t>
  </si>
  <si>
    <t>W2011-Stin-117</t>
  </si>
  <si>
    <t>Mt. Stinear</t>
  </si>
  <si>
    <t>Authors discount as most likly suptraglacially transported and likely having complex exposure</t>
  </si>
  <si>
    <t>W2011-Stin-139</t>
  </si>
  <si>
    <t>W2011-Stin-140</t>
  </si>
  <si>
    <t>W2011-Stin-147b</t>
  </si>
  <si>
    <t>W2011-Stin-147c</t>
  </si>
  <si>
    <t>W2011-Stin-148a</t>
  </si>
  <si>
    <t>W2011-Stin-154a</t>
  </si>
  <si>
    <t>W2011-Stin-154b</t>
  </si>
  <si>
    <t>W2011-Stin-164a</t>
  </si>
  <si>
    <t>W2011-Stin-164b</t>
  </si>
  <si>
    <t>W2011-Stin-6a</t>
  </si>
  <si>
    <t>W2011-Stin-8a</t>
  </si>
  <si>
    <t>W2011-Stin-8b</t>
  </si>
  <si>
    <t>W2011-LM-C12a</t>
  </si>
  <si>
    <t>Loewe Massif</t>
  </si>
  <si>
    <t>Charybdis Glacier</t>
  </si>
  <si>
    <t>10.1130/G31591.2</t>
  </si>
  <si>
    <t>10.1130/G31591.3</t>
  </si>
  <si>
    <t>W2011-LM-C8b</t>
  </si>
  <si>
    <t>10.1130/G31591.4</t>
  </si>
  <si>
    <t>10.1130/G31591.5</t>
  </si>
  <si>
    <t>W2011-LM-C3</t>
  </si>
  <si>
    <t>10.1130/G31591.6</t>
  </si>
  <si>
    <t>10.1130/G31591.7</t>
  </si>
  <si>
    <t>W2011-LM-C14b</t>
  </si>
  <si>
    <t>10.1130/G31591.8</t>
  </si>
  <si>
    <t>10.1130/G31591.9</t>
  </si>
  <si>
    <t>R2020-IEI013</t>
  </si>
  <si>
    <t>Inexpressible Island</t>
  </si>
  <si>
    <t>Priestley Glacier</t>
  </si>
  <si>
    <t>10.1016/j.quascirev.2020.106595</t>
  </si>
  <si>
    <t>Authors reject because of likely inheritancee</t>
  </si>
  <si>
    <t>R2020-IEI017</t>
  </si>
  <si>
    <t>R2020-IEI022</t>
  </si>
  <si>
    <t>R2020-IEI056</t>
  </si>
  <si>
    <t>R2020-IEI009</t>
  </si>
  <si>
    <t>R2020-IEI012</t>
  </si>
  <si>
    <t>R2020-IEI018</t>
  </si>
  <si>
    <t>R2020-IEI021</t>
  </si>
  <si>
    <t>R2020-IEI026</t>
  </si>
  <si>
    <t>R2020-IEI029</t>
  </si>
  <si>
    <t>R2020-IEI033</t>
  </si>
  <si>
    <t>R2020-IEI039</t>
  </si>
  <si>
    <t>R2020-IEI041</t>
  </si>
  <si>
    <t>R2020-IEI044</t>
  </si>
  <si>
    <t>R2020-IEI046</t>
  </si>
  <si>
    <t>R2020-IEI047</t>
  </si>
  <si>
    <t>R2020-IEI049</t>
  </si>
  <si>
    <t>R2020-IEI050</t>
  </si>
  <si>
    <t>R2020-IEI048</t>
  </si>
  <si>
    <t>R2020-IEI052</t>
  </si>
  <si>
    <t>S2017-T11-8-2</t>
  </si>
  <si>
    <t>Harrow Peaks</t>
  </si>
  <si>
    <t>Terra Nova Bay</t>
  </si>
  <si>
    <t>Tinker Glacier</t>
  </si>
  <si>
    <t>https://version2.ice-d.org/antarctica/sample/S2017-T11-8-1/</t>
  </si>
  <si>
    <t>10.1007/s00445-017-1185-x</t>
  </si>
  <si>
    <t>nd</t>
  </si>
  <si>
    <t>DN2009-BROW10</t>
  </si>
  <si>
    <t>Italian Mario Zucchelli Station</t>
  </si>
  <si>
    <t>Tucker Glacier</t>
  </si>
  <si>
    <t>https://www.ice-d.org/antarctica/sample/DN2009-BROW10/</t>
  </si>
  <si>
    <t>10.1016/j.yqres.2008.07.004</t>
  </si>
  <si>
    <t>Authors cite inheritance and complex exposure history</t>
  </si>
  <si>
    <t>DN2009-BROW11</t>
  </si>
  <si>
    <t>https://www.ice-d.org/antarctica/sample/DN2009-BROW11/</t>
  </si>
  <si>
    <t>14-BTN-001-MZS</t>
  </si>
  <si>
    <t>Tucker Glacier, Whitehall Glacier, Aviator Glacier</t>
  </si>
  <si>
    <t>10.1130/G45413.1</t>
  </si>
  <si>
    <t>14-BTN-002-MZS</t>
  </si>
  <si>
    <t>14-BTN-003-MZS</t>
  </si>
  <si>
    <t>14-AVG-001-RDF</t>
  </si>
  <si>
    <t>Aviator Glacier, Ridge F</t>
  </si>
  <si>
    <t>Southern Cross Mountains, Terra Nova Bay</t>
  </si>
  <si>
    <t>Tucker Glacier, Whitehall Glacier</t>
  </si>
  <si>
    <t>10.2475/04.2019.01</t>
  </si>
  <si>
    <t>14-AVG-002-RDF</t>
  </si>
  <si>
    <t>14-AVG-003-RDF</t>
  </si>
  <si>
    <t>14-AVG-004-RDF-A</t>
  </si>
  <si>
    <t>14-AVG-004-RDF-B</t>
  </si>
  <si>
    <t>14-AVG-005-RDF</t>
  </si>
  <si>
    <t>13-HAT-006-LW</t>
  </si>
  <si>
    <t>Lake Wellman</t>
  </si>
  <si>
    <t>Cook Mountains</t>
  </si>
  <si>
    <t>Darwin Glacier, Hatherton Glacier</t>
  </si>
  <si>
    <t>10.1130/G47297.1</t>
  </si>
  <si>
    <t>13-HAT-009-LW</t>
  </si>
  <si>
    <t>13-HAT-010-LW</t>
  </si>
  <si>
    <t>13-HAT-018-LW</t>
  </si>
  <si>
    <t>13-HAT-020-LW</t>
  </si>
  <si>
    <t>13-HAT-031-LW</t>
  </si>
  <si>
    <t>13-HAT-041-LW</t>
  </si>
  <si>
    <t>13-HAT-049a-LW</t>
  </si>
  <si>
    <t>13-HAT-058-LW</t>
  </si>
  <si>
    <t>S2010-LW14-3</t>
  </si>
  <si>
    <t xml:space="preserve"> Darwin glacier, Hatherton glacier</t>
  </si>
  <si>
    <t>https://www.ice-d.org/antarctica/sample/S2010-LW14-3/</t>
  </si>
  <si>
    <t>https://www.ice-d.org/antarctica/sample/S2010-LW2-2/</t>
  </si>
  <si>
    <t>10.1130/G47297.1, 10.1017/S0954102010000799</t>
  </si>
  <si>
    <t>Authors reject as discordant with other ages from same site -- likely inheritance</t>
  </si>
  <si>
    <t>S2010-LW23-1</t>
  </si>
  <si>
    <t>https://www.ice-d.org/antarctica/sample/S2010-LW23-1/</t>
  </si>
  <si>
    <t>10.1130/G47297.1, 10.1017/S0954102010000800</t>
  </si>
  <si>
    <t>Cf later work by https://doi.org/10.1130/G47297.1 for interpretation</t>
  </si>
  <si>
    <t>10.1130/G47297.1, 10.1017/S0954102010000801</t>
  </si>
  <si>
    <t>S2010-LW23-2</t>
  </si>
  <si>
    <t>https://www.ice-d.org/antarctica/sample/S2010-LW23-2/</t>
  </si>
  <si>
    <t>10.1130/G47297.1, 10.1017/S0954102010000802</t>
  </si>
  <si>
    <t>S2010-LW24-2</t>
  </si>
  <si>
    <t>https://www.ice-d.org/antarctica/sample/S2010-LW24-2/</t>
  </si>
  <si>
    <t>10.1130/G47297.1, 10.1017/S0954102010000803</t>
  </si>
  <si>
    <t>10.1130/G47297.1, 10.1017/S0954102010000804</t>
  </si>
  <si>
    <t>S2010-LW25-1</t>
  </si>
  <si>
    <t>https://www.ice-d.org/antarctica/sample/S2010-LW25-1/</t>
  </si>
  <si>
    <t>10.1130/G47297.1, 10.1017/S0954102010000805</t>
  </si>
  <si>
    <t>10.1130/G47297.1, 10.1017/S0954102010000806</t>
  </si>
  <si>
    <t>S2010-LW25-2</t>
  </si>
  <si>
    <t>https://www.ice-d.org/antarctica/sample/S2010-LW25-2/</t>
  </si>
  <si>
    <t>10.1130/G47297.1, 10.1017/S0954102010000807</t>
  </si>
  <si>
    <t>10.1130/G47297.1, 10.1017/S0954102010000808</t>
  </si>
  <si>
    <t>These samples not in ICE-D because not exposure ages</t>
  </si>
  <si>
    <t>NO LINK</t>
  </si>
  <si>
    <t xml:space="preserve">
-</t>
  </si>
  <si>
    <t>NB these data are radiocarbon dates on subfossil lacustrine cyanobacteria used to date the retreat of Hatherton glacier.  See https://gsapubs.figshare.com/articles/journal_contribution/Supplemental_Material_Delayed_maximum_and_recession_of_an_East_Antarctic_outlet_glacier/12542918 for more info</t>
  </si>
  <si>
    <t xml:space="preserve">NB these data are radiocarbon dates on subfossil lacustrine cyanobacteria used to date the retreat of Hatherton glacier.  See https://gsapubs.figshare.com/articles/journal_contribution/Supplemental_Material_Delayed_maximum_and_recession_of_an_East_Antarctic_outlet_glacier/12542918 for more info.  The original elevation of this datum is 936, but the indicative meaning according to authors is 1020 m because that is the elevation Hatherton glacier had to achieve to contribute meltwater. </t>
  </si>
  <si>
    <t>Avoiding numerical instabilities</t>
  </si>
  <si>
    <t>Authors argue datum is an outlier</t>
  </si>
  <si>
    <t>Avoiding numerical instabilities from a datum older and lower than highest Holocene age</t>
  </si>
  <si>
    <t xml:space="preserve">NB these data are radiocarbon dates on subfossil lacustrine cyanobacteria used to date the retreat of Hatherton glacier.  See https://gsapubs.figshare.com/articles/journal_contribution/Supplemental_Material_Delayed_maximum_and_recession_of_an_East_Antarctic_outlet_glacier/12542918 for more info.  The original elevation of this datum is 947, but the indicative meaning according to authors is 1020 m because that is the elevation Hatherton glacier had to achieve to contribute meltwater. </t>
  </si>
  <si>
    <t xml:space="preserve">NB these data are radiocarbon dates on subfossil lacustrine cyanobacteria used to date the retreat of Hatherton glacier.  See https://gsapubs.figshare.com/articles/journal_contribution/Supplemental_Material_Delayed_maximum_and_recession_of_an_East_Antarctic_outlet_glacier/12542918 for more info.  The original elevation of this datum is 945, but the indicative meaning according to authors is 1020 m because that is the elevation Hatherton glacier had to achieve to contribute meltwater. </t>
  </si>
  <si>
    <t>RJ2020-BP-16-06</t>
  </si>
  <si>
    <t>Bruce Point</t>
  </si>
  <si>
    <t>Scott Coast</t>
  </si>
  <si>
    <t>Mackay Glacier, Mawson Glacier</t>
  </si>
  <si>
    <t>10.1130/G48347.1</t>
  </si>
  <si>
    <t>Authors identify this as an outlier and do not include it in their analysis</t>
  </si>
  <si>
    <t>RJ2020-BP-16-25</t>
  </si>
  <si>
    <t>RJ2020-BP-16-01</t>
  </si>
  <si>
    <t>RJ2020-BP-16-02</t>
  </si>
  <si>
    <t>RJ2020-BP-16-03</t>
  </si>
  <si>
    <t>RJ2020-BP-16-04</t>
  </si>
  <si>
    <t>RJ2020-BP-16-05</t>
  </si>
  <si>
    <t>RJ2020-BP-16-07</t>
  </si>
  <si>
    <t>RJ2020-BP-16-08</t>
  </si>
  <si>
    <t>RJ2020-BP-16-09</t>
  </si>
  <si>
    <t>RJ2020-BP-16-10</t>
  </si>
  <si>
    <t>RJ2020-BP-16-11</t>
  </si>
  <si>
    <t>RJ2020-BP-16-12</t>
  </si>
  <si>
    <t>RJ2020-BP-16-13</t>
  </si>
  <si>
    <t>RJ2020-BP-16-14</t>
  </si>
  <si>
    <t>RJ2020-BP-16-15</t>
  </si>
  <si>
    <t>RJ2020-BP-16-16</t>
  </si>
  <si>
    <t>RJ2020-BP-16-17</t>
  </si>
  <si>
    <t>RJ2020-BP-16-18</t>
  </si>
  <si>
    <t>RJ2020-BP-16-19</t>
  </si>
  <si>
    <t>RJ2020-BP-16-20</t>
  </si>
  <si>
    <t>RJ2020-BP-16-21</t>
  </si>
  <si>
    <t>RJ2020-BP-16-22</t>
  </si>
  <si>
    <t>RJ2020-BP-16-23</t>
  </si>
  <si>
    <t>RJ2020-BP-16-24</t>
  </si>
  <si>
    <t>RW2020-MM-16-01</t>
  </si>
  <si>
    <t>Mount Murray</t>
  </si>
  <si>
    <t>RW2020-MM-16-03</t>
  </si>
  <si>
    <t>RW2020-MM-16-04</t>
  </si>
  <si>
    <t>RW2020-MM-16-05</t>
  </si>
  <si>
    <t>RW2020-MM-16-06</t>
  </si>
  <si>
    <t>RW2020-MM-16-07</t>
  </si>
  <si>
    <t>RW2020-MM-16-08</t>
  </si>
  <si>
    <t>RW2020-MM-16-26</t>
  </si>
  <si>
    <t>RW2020-MM-16-29</t>
  </si>
  <si>
    <t>RW2020-MM-16-09</t>
  </si>
  <si>
    <t>RW2020-MM-16-12</t>
  </si>
  <si>
    <t>RW2020-MM-16-23</t>
  </si>
  <si>
    <t>RW2020-MM-16-10</t>
  </si>
  <si>
    <t>RW2020-MM-16-17</t>
  </si>
  <si>
    <t>04-DW-046-ERR</t>
  </si>
  <si>
    <t>Mount DeWitt</t>
  </si>
  <si>
    <t>McMurdo Dry Valleys</t>
  </si>
  <si>
    <t>Mackay Glacier</t>
  </si>
  <si>
    <t>10.1017/S0954102014000261</t>
  </si>
  <si>
    <t>NB: ice elevation not reported in paper or ICE-D; this elevation inferred from photos of lowest sample, which say that the sample is "near present ice margin"</t>
  </si>
  <si>
    <t>04-DW-043-BR</t>
  </si>
  <si>
    <t>04-DW-047-BR</t>
  </si>
  <si>
    <t>J2015-CC93</t>
  </si>
  <si>
    <t>Low Ridge</t>
  </si>
  <si>
    <t>10.1038/ncomms9910</t>
  </si>
  <si>
    <t>J2015-CC86</t>
  </si>
  <si>
    <t>J2015-CC87</t>
  </si>
  <si>
    <t>J2015-CC89</t>
  </si>
  <si>
    <t>J2015-CC90</t>
  </si>
  <si>
    <t>J2015-CC91</t>
  </si>
  <si>
    <t>J2015-CC92</t>
  </si>
  <si>
    <t>J2015-CC95</t>
  </si>
  <si>
    <t>J2015-CC98</t>
  </si>
  <si>
    <t>J2015-CC99</t>
  </si>
  <si>
    <t>J2015-GR37</t>
  </si>
  <si>
    <t>Gondola Ridge (mid-lower)</t>
  </si>
  <si>
    <t>Some not in ICE-D</t>
  </si>
  <si>
    <t>Potential outlier</t>
  </si>
  <si>
    <t>J2015-GR40</t>
  </si>
  <si>
    <t>J2015-GR83</t>
  </si>
  <si>
    <t>J2015-GR68</t>
  </si>
  <si>
    <t>J2015-GR69</t>
  </si>
  <si>
    <t>J2015-GR34</t>
  </si>
  <si>
    <t>J2015-GR35</t>
  </si>
  <si>
    <t>J2015-GR36</t>
  </si>
  <si>
    <t>J2015-GR38</t>
  </si>
  <si>
    <t>J2015-GR41</t>
  </si>
  <si>
    <t>J2015-GR44a</t>
  </si>
  <si>
    <t>J2015-GR45</t>
  </si>
  <si>
    <t>J2015-GR46</t>
  </si>
  <si>
    <t>J2015-GR47</t>
  </si>
  <si>
    <t>Mount Suess / Gondola Ridge (upper)</t>
  </si>
  <si>
    <t>Using the 260 m elevation from GR51 as an LGM constraint rather than as a datum for the spline fit because includin it caused the espline to underestimate rates of thinning</t>
  </si>
  <si>
    <t>J2015-GR48</t>
  </si>
  <si>
    <t>J2015-GR51</t>
  </si>
  <si>
    <t>J2015-GR53a</t>
  </si>
  <si>
    <t>J2015-GR54</t>
  </si>
  <si>
    <t>J2015-GR55</t>
  </si>
  <si>
    <t>J2015-GR56</t>
  </si>
  <si>
    <t>J2015-GR58</t>
  </si>
  <si>
    <t>J2015-GR59</t>
  </si>
  <si>
    <t>J2015-GR62a</t>
  </si>
  <si>
    <t>J2015-GR62b</t>
  </si>
  <si>
    <t>J2015-GR63</t>
  </si>
  <si>
    <t>J2015-GR64</t>
  </si>
  <si>
    <t>J2015-GR67</t>
  </si>
  <si>
    <t>J2015-GR77</t>
  </si>
  <si>
    <t>Gondola Ridge (lower)</t>
  </si>
  <si>
    <t>J2015-GR78</t>
  </si>
  <si>
    <t>J2015-GR79</t>
  </si>
  <si>
    <t>J2015-GR80</t>
  </si>
  <si>
    <t>J2015-GR82</t>
  </si>
  <si>
    <t>07-SCT-196-HOP</t>
  </si>
  <si>
    <t>Mount Hope East Knoll</t>
  </si>
  <si>
    <t>Transantarctic Mountains</t>
  </si>
  <si>
    <t>Beardmore Glacier</t>
  </si>
  <si>
    <t>10.1002/2017GL074216</t>
  </si>
  <si>
    <t>07-SCT-197-HOP</t>
  </si>
  <si>
    <t>07-SCT-198-HOP</t>
  </si>
  <si>
    <t>10-BDM-079-HOP</t>
  </si>
  <si>
    <t>10-BDM-080-HOP</t>
  </si>
  <si>
    <t>10-BDM-082-HOP</t>
  </si>
  <si>
    <t>10-BDM-083-HOP</t>
  </si>
  <si>
    <t>07-SCT-190-HOP</t>
  </si>
  <si>
    <t>07-SCT-192-HOP</t>
  </si>
  <si>
    <t>07-SCT-194-HOP</t>
  </si>
  <si>
    <t>07-SCT-195-HOP</t>
  </si>
  <si>
    <t>10-BDM-046-HOP</t>
  </si>
  <si>
    <t>07-SCT-188-HOP</t>
  </si>
  <si>
    <t>Mount Hope Southeast Ridge</t>
  </si>
  <si>
    <t>07-SCT-189-HOP</t>
  </si>
  <si>
    <t>07-SCT-185-HOP</t>
  </si>
  <si>
    <t>10-BDM-050-HOP</t>
  </si>
  <si>
    <t>10-BDM-052-HOP</t>
  </si>
  <si>
    <t>10-BDM-054-HOP</t>
  </si>
  <si>
    <t>10-BDM-056-HOP</t>
  </si>
  <si>
    <t>10-BDM-075-HOP</t>
  </si>
  <si>
    <t>10-BDM-077-HOP</t>
  </si>
  <si>
    <t>10-BDM-072-HOP</t>
  </si>
  <si>
    <t>10-BDM-074-HOP</t>
  </si>
  <si>
    <t>10-BDM-068-HOP</t>
  </si>
  <si>
    <t>10-BDM-067-HOP</t>
  </si>
  <si>
    <t>10-BDM-064-HOP</t>
  </si>
  <si>
    <t>10-BDM-062-HOP</t>
  </si>
  <si>
    <t>10-BDM-060-HOP</t>
  </si>
  <si>
    <t>10-BDM-030-KYF</t>
  </si>
  <si>
    <t>Mt. Kyffin</t>
  </si>
  <si>
    <t>10-BDM-033-KYF</t>
  </si>
  <si>
    <t>10-BDM-042-KYF</t>
  </si>
  <si>
    <t>10-BDM-087-GEM</t>
  </si>
  <si>
    <t>Gemini Nunataks</t>
  </si>
  <si>
    <t>Shackleton Glacier</t>
  </si>
  <si>
    <t>10-BDM-089-GEM</t>
  </si>
  <si>
    <t>10-BDM-090-GEM</t>
  </si>
  <si>
    <t>10-BDM-091-GEM</t>
  </si>
  <si>
    <t>04-RDY-043-KRO</t>
  </si>
  <si>
    <t>Karo Hills</t>
  </si>
  <si>
    <t>Reedy Glacier</t>
  </si>
  <si>
    <t>https://www.ice-d.org/antarctica/sample/04-RDY-043-KRO/</t>
  </si>
  <si>
    <t>04-RDY-044-KRO</t>
  </si>
  <si>
    <t>https://www.ice-d.org/antarctica/sample/04-RDY-044-KRO/</t>
  </si>
  <si>
    <t>04-RDY-047-KRO</t>
  </si>
  <si>
    <t>https://www.ice-d.org/antarctica/sample/04-RDY-047-KRO/</t>
  </si>
  <si>
    <t>04-RDY-048-KRO</t>
  </si>
  <si>
    <t>https://www.ice-d.org/antarctica/sample/04-RDY-048-KRO/</t>
  </si>
  <si>
    <t>04-RDY-049-KRO</t>
  </si>
  <si>
    <t>https://www.ice-d.org/antarctica/sample/04-RDY-049-KRO/</t>
  </si>
  <si>
    <t>04-RDY-050-KRO</t>
  </si>
  <si>
    <t>https://www.ice-d.org/antarctica/sample/04-RDY-050-KRO/</t>
  </si>
  <si>
    <t>04-RDY-052-KRO</t>
  </si>
  <si>
    <t>https://www.ice-d.org/antarctica/sample/04-RDY-052-KRO/</t>
  </si>
  <si>
    <t>07-SCT-103-KHL</t>
  </si>
  <si>
    <t>Scott Glacier</t>
  </si>
  <si>
    <t>07-SCT-105-KHL</t>
  </si>
  <si>
    <t>07-SCT-106-KHL</t>
  </si>
  <si>
    <t>07-SCT-109-KHL</t>
  </si>
  <si>
    <t>07-SCT-004-RGB</t>
  </si>
  <si>
    <t>Mt. Rigby</t>
  </si>
  <si>
    <t>https://www.ice-d.org/antarctica/sample/07-SCT-004-RGB/</t>
  </si>
  <si>
    <t>Authors write: During the LGM, Scott Glacier ice descending from 1200 m at Taylor Ridge must have covered Mount Rigby (893 m), located at the glacier mouth (Figure 1b) by significantly less than 300 m. We conservatively place LGM maximum at 1100 m at 20 ka</t>
  </si>
  <si>
    <t>07-SCT-005-RGB</t>
  </si>
  <si>
    <t>https://www.ice-d.org/antarctica/sample/07-SCT-005-RGB/</t>
  </si>
  <si>
    <t>07-SCT-007-RGB</t>
  </si>
  <si>
    <t>https://www.ice-d.org/antarctica/sample/07-SCT-007-RGB/</t>
  </si>
  <si>
    <t>07-SCT-008-RGB</t>
  </si>
  <si>
    <t>https://www.ice-d.org/antarctica/sample/07-SCT-008-RGB/</t>
  </si>
  <si>
    <t>07-SCT-010-RGB</t>
  </si>
  <si>
    <t>https://www.ice-d.org/antarctica/sample/07-SCT-010-RGB/</t>
  </si>
  <si>
    <t>07-SCT-014-RGB</t>
  </si>
  <si>
    <t>https://www.ice-d.org/antarctica/sample/07-SCT-014-RGB/</t>
  </si>
  <si>
    <t>07-SCT-018-RGB</t>
  </si>
  <si>
    <t>07-SCT-022-RGB</t>
  </si>
  <si>
    <t>07-SCT-023-RGB</t>
  </si>
  <si>
    <t>07-SCT-025-RGB</t>
  </si>
  <si>
    <t>07-SCT-026-RGB</t>
  </si>
  <si>
    <t>07-SCT-029-RGB</t>
  </si>
  <si>
    <t>07-SCT-041-RGB</t>
  </si>
  <si>
    <t>07-SCT-043-RGB</t>
  </si>
  <si>
    <t>07-SCT-046-RGB</t>
  </si>
  <si>
    <t>03-RDY-007-QZH</t>
  </si>
  <si>
    <t>Quartz Hills</t>
  </si>
  <si>
    <t>Horlick Mountains</t>
  </si>
  <si>
    <t>10.1016/j.quascirev.2010.02.001</t>
  </si>
  <si>
    <t>03-RDY-009-QZH</t>
  </si>
  <si>
    <t>03-RDY-019-QZH</t>
  </si>
  <si>
    <t>03-RDY-024-QZH</t>
  </si>
  <si>
    <t>03-RDY-027-QZH</t>
  </si>
  <si>
    <t>03-RDY-029-QZH</t>
  </si>
  <si>
    <t>03-RDY-030-QZH</t>
  </si>
  <si>
    <t>03-RDY-032-QZH</t>
  </si>
  <si>
    <t>03-RDY-033-QZH</t>
  </si>
  <si>
    <t>03-RDY-037-QZH</t>
  </si>
  <si>
    <t>03-RDY-038-QZH</t>
  </si>
  <si>
    <t>03-RDY-042-QZH</t>
  </si>
  <si>
    <t>03-RDY-043-QZH</t>
  </si>
  <si>
    <t>03-RDY-045-QZH</t>
  </si>
  <si>
    <t>03-RDY-046-QZH</t>
  </si>
  <si>
    <t>03-RDY-048-QZH</t>
  </si>
  <si>
    <t>03-RDY-052-QZH</t>
  </si>
  <si>
    <t>03-RDY-055-QZH</t>
  </si>
  <si>
    <t>03-RDY-056-QZH</t>
  </si>
  <si>
    <t>03-RDY-057-QZH</t>
  </si>
  <si>
    <t>03-RDY-058-QZH</t>
  </si>
  <si>
    <t>03-RDY-077-QZH</t>
  </si>
  <si>
    <t>04-RDY-003-JGN</t>
  </si>
  <si>
    <t>Outcrop along Reedy margin</t>
  </si>
  <si>
    <t>Authors note that these data are complex b/c peaks from which they are sampled are set back at different distances from the margin</t>
  </si>
  <si>
    <t>04-RDY-031-BRK</t>
  </si>
  <si>
    <t>04-RDY-032-BRK</t>
  </si>
  <si>
    <t>04-RDY-015-SKL</t>
  </si>
  <si>
    <t>04-RDY-016-SKL</t>
  </si>
  <si>
    <t>04-RDY-022-SKL</t>
  </si>
  <si>
    <t>03-RDY-153-CHN</t>
  </si>
  <si>
    <t>Cohen Nunatak</t>
  </si>
  <si>
    <t>03-RDY-154-CHN</t>
  </si>
  <si>
    <t>03-RDY-139-CHN</t>
  </si>
  <si>
    <t>10.1016/j.quascirev.2010.02.001, 10.1002/2017GL074216</t>
  </si>
  <si>
    <t>03-RDY-141-CHN</t>
  </si>
  <si>
    <t>03-RDY-142-CHN</t>
  </si>
  <si>
    <t>03-RDY-146-CHN</t>
  </si>
  <si>
    <t>03-RDY-151-CHN</t>
  </si>
  <si>
    <t>04-RDY-103-QZHL</t>
  </si>
  <si>
    <t>Recessional deposits on bluff</t>
  </si>
  <si>
    <t>Authors don't include this age because indicative of prior exposure</t>
  </si>
  <si>
    <t>04-RDY-104-QZHL</t>
  </si>
  <si>
    <t xml:space="preserve">NB: Ice surface elevation is not reported in ICE-D, but in Bromley et al. 2010 (https://pdf.sciencedirectassets.com/271861/1-s2.0-S0277379109X0017X/1-s2.0-S0277379109002303/main.pdf?X-Amz-Security-Token=IQoJb3JpZ2luX2VjEH8aCXVzLWVhc3QtMSJHMEUCIQCG19vYwwRdNxDYUrUc8l6pL%2BnEyZeBxMw1Wd1SUs0rhwIgCe7draGKJ1%2FjOXcT9bAoroTq7BMjYN3YODFzZHY%2Bd1UqvAUI%2BP%2F%2F%2F%2F%2F%2F%2F%2F%2F%2FARAFGgwwNTkwMDM1NDY4NjUiDM7khVO8VPPaIUs3ECqQBfRQtN4TveI8WJ8SWY6AcKLvd6maiJvIC9fF7GZSLeBkxA71I6c%2BxnlFtcXSy9J5Y7m2e52B32aZfdqSGaKbpAewikemNJJYZHQdRQJfNofx%2FgMx%2BKuus6dJ9sf%2FvdAkH14XWUhM47cY2xjZUazWxM6Viad3dgfkibJooqstSq%2F7HZnqtFFsPWhKmx6py%2FcVaFb4NDq4ShfzBhJSIEaFUj37G5fgSW7bE3rKBT%2Bn4ClSQMP7iHfvodaLEDAu4aBEEzXkpwZ%2FTNxtSi5B5GLC%2BgHjklw%2BVcrcvLOxjy4Jfwrh6SXsoE8k%2FxWmyPhp%2BzI%2B81zA9OgsMMxKOCzjQIZMjhiPGSy5gqHrHqBv6dvCAAZ9iWHQRaKtZkiRTA0hj6As2uB9Oxj42Rxs9qTJMj6nC873L8am%2Fh3mgdzRTGZnPKO3NiCSrKOVqd6m3r1JwTnjnjKAUABHHPBJ%2B71DgNsM1oOcvDZ1tDPdLE%2B8QIDZTrk%2Bhyp2msIG03mcdh8HK9qgFq83YrCXMl7awIm7vtucsq8e8iEuiaQDen4qIrZAIa%2BTJ0GCd4mSUqDxeTTIGta0V%2Fh74ZF3QIcX7Z3NXgLDWr4wfiCJQ%2F2IVjuGJ6qN%2BJYn0pwYrYg7%2Fl0kPxiO%2B56j9rX%2FLi3bn1irIxA0hLC13goFGa9JYbMqrbiCd9axmhlvaQC09EI9Lpvm8w8YFw4RmUj64wA%2BEp64dGaX3UBXGwH%2BZBNIU%2FZW%2BrTpE34Ympwi4y4lDAWVefAXvYnloSCakxvIeD7ZWItc01%2F2gzLISxywJAQiiGo19l2evYHYG9wC3k5%2FkMhHOPISHpLNo0jpnBZcWRMN76u2bIXNZvD%2BlpS1o3iiNDSawC4FCWnyPdcIMMm62bIGOrEB25GktOhaF2Y5rCDdLuIUAAQ7J7oOnjl3h%2F%2FNgF%2FTo2Yr0wLe2Ff8L%2BgqhVBMCdQr94f1gMupuN2PrDHM0NtBHGc7MsmuQn7yDk%2Bx3GvCDGydc8WOyI0OOJQyJVu844Rhit9Fs91yEVB4eyqSQcXC2SsGNzfbwQj5daR20ejl%2F18JTnB6pVT1Hy2ERFRSUkM1UVG6sCCHHrOit0OEvM1aVr7j7aWxCWhHKNK5Mfez%2BbGV&amp;X-Amz-Algorithm=AWS4-HMAC-SHA256&amp;X-Amz-Date=20240528T234704Z&amp;X-Amz-SignedHeaders=host&amp;X-Amz-Expires=300&amp;X-Amz-Credential=ASIAQ3PHCVTY5G32WWGV%2F20240528%2Fus-east-1%2Fs3%2Faws4_request&amp;X-Amz-Signature=1b61be70700a08cf1acd4cf2795ca5483ea78beb7e1cc1066568474a03f5dd3f&amp;hash=f2862b875fdc6d501c0852c8b94a17734c9aab482ac13ecd1c67c054c6d3780a&amp;host=68042c943591013ac2b2430a89b270f6af2c76d8dfd086a07176afe7c76c2c61&amp;pii=S0277379109002303&amp;tid=spdf-1449d2e8-774b-4ead-8582-828705d44ca7&amp;sid=2e8072222622a74c4f5847e56683e885613egxrqa&amp;type=client&amp;tsoh=d3d3LnNjaWVuY2VkaXJlY3QuY29t&amp;ua=1317575705545c5f0204&amp;rr=88b220ae8a284d10&amp;cc=us) these samples are described as being ~300m above the ice surface.  </t>
  </si>
  <si>
    <t>04-RDY-105-QZHL</t>
  </si>
  <si>
    <t>04-RDY-035-UNN</t>
  </si>
  <si>
    <t>Pip's Peak</t>
  </si>
  <si>
    <t>04-RDY-036-UNN</t>
  </si>
  <si>
    <t>04-RDY-037-UNN</t>
  </si>
  <si>
    <t>04-RDY-038-UNN</t>
  </si>
  <si>
    <t>04-RDY-039-UNN</t>
  </si>
  <si>
    <t>04-RDY-040-UNN</t>
  </si>
  <si>
    <t>04-RDY-041-UNN</t>
  </si>
  <si>
    <t>04-RDY-042-UNN</t>
  </si>
  <si>
    <t>04-RDY-059-RCN</t>
  </si>
  <si>
    <t>Racine Nunatak</t>
  </si>
  <si>
    <t>04-RDY-061-RCN</t>
  </si>
  <si>
    <t>04-RDY-064-RCN</t>
  </si>
  <si>
    <t>04-RDY-074-LNG</t>
  </si>
  <si>
    <t>Langford Peak</t>
  </si>
  <si>
    <t>04-RDY-076-LNG</t>
  </si>
  <si>
    <t>04-RDY-157-PGN</t>
  </si>
  <si>
    <t>Polygon Spur</t>
  </si>
  <si>
    <t>https://version2.ice-d.org/antarctica/sample/04-RDY-154-PGN/</t>
  </si>
  <si>
    <t>04-RDY-160-PGN</t>
  </si>
  <si>
    <t>04-RDY-168-MIM</t>
  </si>
  <si>
    <t>Mim's Spur</t>
  </si>
  <si>
    <t>10.1016/j.quascirev.2010.02.001, 10.1177/0959683616652708</t>
  </si>
  <si>
    <t>04-RDY-169-MIM</t>
  </si>
  <si>
    <t>04-RDY-170-MIM</t>
  </si>
  <si>
    <t>04-RDY-174-MIM</t>
  </si>
  <si>
    <t>04-RDY-178-MIM</t>
  </si>
  <si>
    <t>04-RDY-179-MIM</t>
  </si>
  <si>
    <t>04-RDY-181-MIM</t>
  </si>
  <si>
    <t>04-RDY-183-MIM</t>
  </si>
  <si>
    <t>Authors flag this age as recessional and imply that it precedes deglaciation</t>
  </si>
  <si>
    <t>14-TUG-013-SKF</t>
  </si>
  <si>
    <t>Sharkfin Nunatak, Daniell Peninsula</t>
  </si>
  <si>
    <t>YES small/medium amount of missing information!</t>
  </si>
  <si>
    <t>https://version2.ice-d.org/antarctica/sample/14-TUG-027-SKF/</t>
  </si>
  <si>
    <t>He-3 dates, therefore less reliable</t>
  </si>
  <si>
    <t>14-TUG-019-SKF</t>
  </si>
  <si>
    <t>14-TUG-020-SKF</t>
  </si>
  <si>
    <t>14-TUG-022-SKF</t>
  </si>
  <si>
    <t>14-TUG-024-SKF</t>
  </si>
  <si>
    <t>14-TUG-025-SKF</t>
  </si>
  <si>
    <t>14-TUG-026-SKF</t>
  </si>
  <si>
    <t>14-TUG-028-SKF</t>
  </si>
  <si>
    <t>14-TUG-029-SKF</t>
  </si>
  <si>
    <t>14-TUG-014-SKF</t>
  </si>
  <si>
    <t>14-TUG-021-SKF</t>
  </si>
  <si>
    <t>14-TUG-010-SKB</t>
  </si>
  <si>
    <t>Skua Basin</t>
  </si>
  <si>
    <t xml:space="preserve">Authors argue that LGM ice thickness reached no more than 390 m </t>
  </si>
  <si>
    <t>14-TUG-011-SKB</t>
  </si>
  <si>
    <t>Not in ICE-D</t>
  </si>
  <si>
    <t>14-TUG-040-SKB</t>
  </si>
  <si>
    <t xml:space="preserve">Authors argue that LGM ice thickness reached no more than 390 m; this sample is pre-LGM or has interitance </t>
  </si>
  <si>
    <t>14-TUG-033-CCR</t>
  </si>
  <si>
    <t>Crater Cirque</t>
  </si>
  <si>
    <t>10.2475/04.2019.01, 10.1130/G45413.1</t>
  </si>
  <si>
    <t xml:space="preserve">Authors argue that LGM ice thickness reached no more than 300 m </t>
  </si>
  <si>
    <t>Authors argue that site reaches present by 5 ka, but that leads to unrealistically fast rates, so we use 4 ka as a more realistic arrival.</t>
  </si>
  <si>
    <t>14-TUG-034-CCR</t>
  </si>
  <si>
    <t>14-TUG-035-CCR</t>
  </si>
  <si>
    <t>10.2475/04.2019.01, 10.1130/G45413.2</t>
  </si>
  <si>
    <t>14-TUG-036-CCR</t>
  </si>
  <si>
    <t>10.2475/04.2019.01, 10.1130/G45413.3</t>
  </si>
  <si>
    <t>10.2475/04.2019.01, 10.1130/G45413.4</t>
  </si>
  <si>
    <t>10.2475/04.2019.01, 10.1130/G45413.5</t>
  </si>
  <si>
    <t>14-TUG-037-CCR</t>
  </si>
  <si>
    <t>10.2475/04.2019.01, 10.1130/G45413.6</t>
  </si>
  <si>
    <t>14-TUG-038-CCR</t>
  </si>
  <si>
    <t>10.2475/04.2019.01, 10.1130/G45413.7</t>
  </si>
  <si>
    <t>J2008-T5-31-3</t>
  </si>
  <si>
    <t>Pennell Coast</t>
  </si>
  <si>
    <t>10.1017/S0954102008001417</t>
  </si>
  <si>
    <t>R2021-DVD025</t>
  </si>
  <si>
    <t>Mount Priestley, Bench D</t>
  </si>
  <si>
    <t>10.1016/j.quageo.2021.101233</t>
  </si>
  <si>
    <t>Be-10 is 70 ka, outside this database, but very discordant with this Al datee.</t>
  </si>
  <si>
    <t>R2021-DVD030</t>
  </si>
  <si>
    <t>R2021-DVD033</t>
  </si>
  <si>
    <t>R2021-DVD034</t>
  </si>
  <si>
    <t>R2021-DVD036</t>
  </si>
  <si>
    <t>14-HAT-012-DH</t>
  </si>
  <si>
    <t>Darwin Glacier</t>
  </si>
  <si>
    <t>Darwin-Hatherton Glacier System</t>
  </si>
  <si>
    <t>10.5194/tc-15-3329-2021</t>
  </si>
  <si>
    <t>14-HAT-014-DH</t>
  </si>
  <si>
    <t>14-HAT-015-DH</t>
  </si>
  <si>
    <t>14-HAT-016-DH</t>
  </si>
  <si>
    <t>14-HAT-017-DH</t>
  </si>
  <si>
    <t>14-HAT-022-DH</t>
  </si>
  <si>
    <t>14-HAT-024-DH</t>
  </si>
  <si>
    <t>14-HAT-026-DH</t>
  </si>
  <si>
    <t>14-HAT-032-DH</t>
  </si>
  <si>
    <t>14-HAT-033-DH</t>
  </si>
  <si>
    <t>14-HAT-030-DH</t>
  </si>
  <si>
    <t>Diamond Hill - South</t>
  </si>
  <si>
    <t>Diamond Glacier</t>
  </si>
  <si>
    <t xml:space="preserve">30-DH and 11-DH are on the same face of Diamond Mountain and have a consistent thinning history that is distinct from the thinning rate from samples closer to Darwin Glacier -- see Fig 5 in original pub </t>
  </si>
  <si>
    <t>14-HAT-011-DH</t>
  </si>
  <si>
    <t>14-HAT-035-DH</t>
  </si>
  <si>
    <t>Diamond Hill - North</t>
  </si>
  <si>
    <t>35-DH, 36-DH, and 39-DH aree all on the same side of the saddle and opposite 30-DH and 11-DH; these three samples also have a consistent thinning history</t>
  </si>
  <si>
    <t>Rejecting these data because authors show with modeling that this transect is less probable than a scenario with continuously gradual thinning throughout the Holocene from 9 ka</t>
  </si>
  <si>
    <t>14-HAT-036-DH</t>
  </si>
  <si>
    <t>14-HAT-039-DH</t>
  </si>
  <si>
    <t>13-HAT-067-DV</t>
  </si>
  <si>
    <t>Dubris Valley</t>
  </si>
  <si>
    <t>Hatherton Glacier</t>
  </si>
  <si>
    <t>13-HAT-068-DV</t>
  </si>
  <si>
    <t>13-HAT-069-DV</t>
  </si>
  <si>
    <t>13-HAT-063-DV</t>
  </si>
  <si>
    <t>13-HAT-060-DV</t>
  </si>
  <si>
    <t>13-HAT-061-DV</t>
  </si>
  <si>
    <t>13-HAT-059-DV</t>
  </si>
  <si>
    <t>13-HAT-099-BV</t>
  </si>
  <si>
    <t>Bibra Valley</t>
  </si>
  <si>
    <t>13-HAT-082-BV</t>
  </si>
  <si>
    <t>13-HAT-083-BV</t>
  </si>
  <si>
    <t>13-HAT-081-BV</t>
  </si>
  <si>
    <t>13-HAT-100-BV</t>
  </si>
  <si>
    <t>13-HAT-102-BV</t>
  </si>
  <si>
    <t>13-HAT-106-BV</t>
  </si>
  <si>
    <t>13-HAT-111-BV</t>
  </si>
  <si>
    <t>13-HAT-120-DAN</t>
  </si>
  <si>
    <t>Danum Platform</t>
  </si>
  <si>
    <t>13-HAT-118-DAN</t>
  </si>
  <si>
    <t>13-HAT-121-DAN</t>
  </si>
  <si>
    <t>13-HAT-119-DAN</t>
  </si>
  <si>
    <t>13-HAT-125-DAN</t>
  </si>
  <si>
    <t>13-HAT-127-DAN</t>
  </si>
  <si>
    <t>13-HAT-128-DAN</t>
  </si>
  <si>
    <t>13-HAT-129-DAN</t>
  </si>
  <si>
    <t>13-HAT-130-DAN</t>
  </si>
  <si>
    <t>13-HAT-132-DAN</t>
  </si>
  <si>
    <t>13-HAT-140-UM</t>
  </si>
  <si>
    <t>Updog Mountain</t>
  </si>
  <si>
    <t>13-HAT-138-UM</t>
  </si>
  <si>
    <t>13-HAT-137-UM</t>
  </si>
  <si>
    <t>14-HAT-044-MV</t>
  </si>
  <si>
    <t>Magnis Valley floor</t>
  </si>
  <si>
    <t>14-HAT-042-MV</t>
  </si>
  <si>
    <t>14-HAT-041-MV</t>
  </si>
  <si>
    <t>14-HAT-040-MV</t>
  </si>
  <si>
    <t>14-HAT-046-MV</t>
  </si>
  <si>
    <t>14-HAT-050-MV</t>
  </si>
  <si>
    <t>14-HAT-052-MV</t>
  </si>
  <si>
    <t>14-HAT-053-MV</t>
  </si>
  <si>
    <t>14-HAT-056-MV</t>
  </si>
  <si>
    <t>14-HAT-057-MV</t>
  </si>
  <si>
    <t>14-HAT-059-MV</t>
  </si>
  <si>
    <t>Authors reject datum as contaminated with prior inheritance</t>
  </si>
  <si>
    <t>14-HAT-048-MV</t>
  </si>
  <si>
    <t>Magnis Valley walls west</t>
  </si>
  <si>
    <t>14-HAT-060-MV</t>
  </si>
  <si>
    <t>14-HAT-063-MV</t>
  </si>
  <si>
    <t>14-HAT-065-MV</t>
  </si>
  <si>
    <t>14-HAT-066-MV</t>
  </si>
  <si>
    <t>14-HAT-067-MV</t>
  </si>
  <si>
    <t>14-HAT-070-MV</t>
  </si>
  <si>
    <t>Magnis Valley east</t>
  </si>
  <si>
    <t>14-HAT-068-MV</t>
  </si>
  <si>
    <t>14-HAT-069-MV</t>
  </si>
  <si>
    <t>B2022-Fildes1</t>
  </si>
  <si>
    <t>Fildes Peninsula</t>
  </si>
  <si>
    <t>King George Island, South Shetland Islands</t>
  </si>
  <si>
    <t>Bellingshausen Ice Cap</t>
  </si>
  <si>
    <t>Antarctic Peninsula</t>
  </si>
  <si>
    <t>10.1177/09596836231157059</t>
  </si>
  <si>
    <t>B2022-Fildes2</t>
  </si>
  <si>
    <t>B2022-Fildes3</t>
  </si>
  <si>
    <t>J2018-F007</t>
  </si>
  <si>
    <t>Cape Framnes</t>
  </si>
  <si>
    <t>Larsen B embayment</t>
  </si>
  <si>
    <t>10.1016/j.quascirev.2018.04.011</t>
  </si>
  <si>
    <t>J2018-F008</t>
  </si>
  <si>
    <t>Flask Glacier, Crane Glacier</t>
  </si>
  <si>
    <t>J2018-F009</t>
  </si>
  <si>
    <t>J2018-F010</t>
  </si>
  <si>
    <t>J2018-F011</t>
  </si>
  <si>
    <t>J2018-F012</t>
  </si>
  <si>
    <t>J2018-F014</t>
  </si>
  <si>
    <t>J2018-F015</t>
  </si>
  <si>
    <t>J2018-R001</t>
  </si>
  <si>
    <t>Cape Marsh, Robertson Island</t>
  </si>
  <si>
    <t>J2018-R002</t>
  </si>
  <si>
    <t>J2018-R003</t>
  </si>
  <si>
    <t>J2018-R004</t>
  </si>
  <si>
    <t>J2018-R005</t>
  </si>
  <si>
    <t>J2018-R006</t>
  </si>
  <si>
    <t>Authors reject because of complex exposure</t>
  </si>
  <si>
    <t>CWM-38</t>
  </si>
  <si>
    <t>Clearwater Mesa</t>
  </si>
  <si>
    <t>James Ross Island</t>
  </si>
  <si>
    <t>Blancmage Glacier</t>
  </si>
  <si>
    <t>https://doi.org/10.1016/j.epsl.2024.118803</t>
  </si>
  <si>
    <t>CWM-80</t>
  </si>
  <si>
    <t>VL-37</t>
  </si>
  <si>
    <t>Cape Lamb, Vega Island</t>
  </si>
  <si>
    <t>B</t>
  </si>
  <si>
    <t>TH12</t>
  </si>
  <si>
    <t>Terrapin Hill</t>
  </si>
  <si>
    <t>DM-1</t>
  </si>
  <si>
    <t>Sykes Cliffs</t>
  </si>
  <si>
    <t>Croft Glacier</t>
  </si>
  <si>
    <t>CWM-59</t>
  </si>
  <si>
    <t>CWM-66</t>
  </si>
  <si>
    <t>VL-38</t>
  </si>
  <si>
    <t>TH13</t>
  </si>
  <si>
    <t>TH samples record ice retreating up hill</t>
  </si>
  <si>
    <t>G2014-JRI-26</t>
  </si>
  <si>
    <t>San Jose Pass</t>
  </si>
  <si>
    <t>Rhum Glacier, Alpha Glacier</t>
  </si>
  <si>
    <t>10.1016/j.quascirev.2013.11.012</t>
  </si>
  <si>
    <t>G2014-JRI-29</t>
  </si>
  <si>
    <t>St. Martha Cove</t>
  </si>
  <si>
    <t>G2014-JRI-50</t>
  </si>
  <si>
    <t>Lachman Mesa</t>
  </si>
  <si>
    <t>G2014-JRI-49</t>
  </si>
  <si>
    <t>J2011-JOH-04</t>
  </si>
  <si>
    <t>Johnson Mesa</t>
  </si>
  <si>
    <t>10.1016/j.quascirev.2011.10.011</t>
  </si>
  <si>
    <t>J2011-JOH-02</t>
  </si>
  <si>
    <t>J2011-LAC-02</t>
  </si>
  <si>
    <t>Cape Lachman</t>
  </si>
  <si>
    <t>J2011-LAC-03</t>
  </si>
  <si>
    <t>J2011-LAC-04</t>
  </si>
  <si>
    <t>J2011-LAC-05</t>
  </si>
  <si>
    <t>G2014-JRI-35</t>
  </si>
  <si>
    <t>J2011-SEY-01</t>
  </si>
  <si>
    <t>Seymour Islands</t>
  </si>
  <si>
    <t>erratic cobble</t>
  </si>
  <si>
    <t>J2011-SEY-02</t>
  </si>
  <si>
    <t>J2011-SEY-03</t>
  </si>
  <si>
    <t>J2011-TER-04</t>
  </si>
  <si>
    <t>J2011-TER-05</t>
  </si>
  <si>
    <t>J2011-TER-07</t>
  </si>
  <si>
    <t>J2011-TER-08</t>
  </si>
  <si>
    <t>LI-1</t>
  </si>
  <si>
    <t>Long Island</t>
  </si>
  <si>
    <t>LI-5</t>
  </si>
  <si>
    <t>LI-2</t>
  </si>
  <si>
    <t>K2020-LI-13-01</t>
  </si>
  <si>
    <t>10.1016/j.epsl.2020.116077</t>
  </si>
  <si>
    <t>K2020-LI-13-02</t>
  </si>
  <si>
    <t>K2020-LI-13-03</t>
  </si>
  <si>
    <t>K2020-LI-13-04</t>
  </si>
  <si>
    <t>K2020-LI-13-05</t>
  </si>
  <si>
    <t>K2020-LI-13-06</t>
  </si>
  <si>
    <t>K2020-SEY-13-01</t>
  </si>
  <si>
    <t>Seymour Island</t>
  </si>
  <si>
    <t>K2020-SEY-13-02</t>
  </si>
  <si>
    <t>K2020-SEY-13-04</t>
  </si>
  <si>
    <t>K2020-JRQ-13-08</t>
  </si>
  <si>
    <t>Lagrelius Peninsula</t>
  </si>
  <si>
    <t>K2020-JRQ-13-09</t>
  </si>
  <si>
    <t>K2020-JRQ-13-10</t>
  </si>
  <si>
    <t>K2020-JRQ-13-24</t>
  </si>
  <si>
    <t>K2020-JRQ-13-25</t>
  </si>
  <si>
    <t>K2020-JRQ-13-27</t>
  </si>
  <si>
    <t>G2014-JRI-01</t>
  </si>
  <si>
    <t>San Carlos Hill</t>
  </si>
  <si>
    <t>G2014-JRI-03</t>
  </si>
  <si>
    <t>G2014-JRI-09</t>
  </si>
  <si>
    <t>Sharp Valley</t>
  </si>
  <si>
    <t>G2014-JRI-62</t>
  </si>
  <si>
    <t>Kaa Bluff</t>
  </si>
  <si>
    <t>F2021-NUN-1</t>
  </si>
  <si>
    <t>Napier Peak</t>
  </si>
  <si>
    <t>Hurd Peninsula, South Shetland Islands</t>
  </si>
  <si>
    <t>Johnsons Glacier</t>
  </si>
  <si>
    <t>10.1016/j.quascirev.2021.107029</t>
  </si>
  <si>
    <t>F2021-NUN-2</t>
  </si>
  <si>
    <t>F2021-SO-1</t>
  </si>
  <si>
    <t>Sofia Peak</t>
  </si>
  <si>
    <t>F2021-SO-2</t>
  </si>
  <si>
    <t>F2021-SO-5</t>
  </si>
  <si>
    <t>F2021-SO-9</t>
  </si>
  <si>
    <t>B2011-BER-01</t>
  </si>
  <si>
    <t>Berthelot Islands</t>
  </si>
  <si>
    <t xml:space="preserve"> Marguerite Bay</t>
  </si>
  <si>
    <t>Marguerite Trough Ice Stream</t>
  </si>
  <si>
    <t>10.1016/j.quascirev.2011.09.002</t>
  </si>
  <si>
    <t>B2011-BER-02</t>
  </si>
  <si>
    <t>B2011-PRI-01</t>
  </si>
  <si>
    <t>Primavera Station</t>
  </si>
  <si>
    <t>erratic boulder</t>
  </si>
  <si>
    <t>B2011-PRI-02</t>
  </si>
  <si>
    <t>B2011-PRI-03</t>
  </si>
  <si>
    <t>B2011-PRI-05</t>
  </si>
  <si>
    <t>B2011-URU-02</t>
  </si>
  <si>
    <t>Uruguay Island</t>
  </si>
  <si>
    <t>B2011-URU-03</t>
  </si>
  <si>
    <t>B2011-PQP-01</t>
  </si>
  <si>
    <t>Pourquoi-Pas Island</t>
  </si>
  <si>
    <t>B2011-PQP-02</t>
  </si>
  <si>
    <t>B2011-PQP-03</t>
  </si>
  <si>
    <t>B2011-PQP-06</t>
  </si>
  <si>
    <t>B2011-PQP-07</t>
  </si>
  <si>
    <t>J2012-L7-1-1</t>
  </si>
  <si>
    <t>Mount Holt</t>
  </si>
  <si>
    <t>Alexander Island</t>
  </si>
  <si>
    <t>Palestrina Glacier</t>
  </si>
  <si>
    <t>10.1016/j.yqres.2011.11.012</t>
  </si>
  <si>
    <t>J2012-L7-2-2</t>
  </si>
  <si>
    <t>Overton Peak</t>
  </si>
  <si>
    <t>Rothschild Island</t>
  </si>
  <si>
    <t>J2012-L7-2-4</t>
  </si>
  <si>
    <t>J2012-L7-2-5</t>
  </si>
  <si>
    <t>J2012-L7-201-3</t>
  </si>
  <si>
    <t>BFKS2006-BAT-4</t>
  </si>
  <si>
    <t>MacLaughlin Cliffs</t>
  </si>
  <si>
    <t>Batterbee Mountains, George VI Sound</t>
  </si>
  <si>
    <t>Conchie Glacier</t>
  </si>
  <si>
    <t>10.1130/B25735.1</t>
  </si>
  <si>
    <t>BFKS2006-BAT-5</t>
  </si>
  <si>
    <t>BFKS2006-BAT-6</t>
  </si>
  <si>
    <t>BFKS2006-BEH-1</t>
  </si>
  <si>
    <t>Behrendt Mountains</t>
  </si>
  <si>
    <t>Drewry Ice Stream</t>
  </si>
  <si>
    <t>ice surface info not in ICE-D, but authors write "The exception to these old dates is the Behrendt Mountains, where we obtained three dates
in the range 7.2–12.4 ka from erratics of the same
granitic lithology on the same nunatak, all lying
250–300 m above the present ice surface."</t>
  </si>
  <si>
    <t>BFKS2006-BEH-2</t>
  </si>
  <si>
    <t>BFKS2006-BEH-3</t>
  </si>
  <si>
    <t>BFKS2006-ABL-1</t>
  </si>
  <si>
    <t>Palmer Land</t>
  </si>
  <si>
    <t>10.1130/B25735.1, 10.1016/j.quascirev.2011.09.002</t>
  </si>
  <si>
    <t>Be age is 37 ka, so rejecting Al as discordant</t>
  </si>
  <si>
    <t>BFKS2006-MV1</t>
  </si>
  <si>
    <t>Moutonnée Valley</t>
  </si>
  <si>
    <t>https://version2.ice-d.org/antarctica/sample/BFKS2006-MV2/</t>
  </si>
  <si>
    <t>BFKS2006-MV5</t>
  </si>
  <si>
    <t>BFKS2006-TSC-1</t>
  </si>
  <si>
    <t>Two Step Cliffs</t>
  </si>
  <si>
    <t>Ice height not explicitly mentioned by authors; we assume it is the same as Moutonnée Valley</t>
  </si>
  <si>
    <t>BFKS2006-TSC-2</t>
  </si>
  <si>
    <t>10-LAR-018-SJO</t>
  </si>
  <si>
    <t>unnamed nunatak, near Boydell Glacier grounding line, north side</t>
  </si>
  <si>
    <t>Sjogren/Boydell fjord</t>
  </si>
  <si>
    <t>Sjögren Glacier, Boydell Glacier, Drygalski Glacier</t>
  </si>
  <si>
    <t>YES some samples not in ICE-D</t>
  </si>
  <si>
    <t>10.1016/j.quascirev.2012.10.022</t>
  </si>
  <si>
    <t>Authors only discuss Be-10 ages</t>
  </si>
  <si>
    <t>10-LAR-019-SJO</t>
  </si>
  <si>
    <t>Authors note this is likely  produced by readvance</t>
  </si>
  <si>
    <t>10-LAR-020-SJO</t>
  </si>
  <si>
    <t>BB</t>
  </si>
  <si>
    <t>10-LAR-021-SJO</t>
  </si>
  <si>
    <t>10-LAR-022-SJO</t>
  </si>
  <si>
    <t>10-LAR-023-SJO</t>
  </si>
  <si>
    <t>10-LAR-024-SJO</t>
  </si>
  <si>
    <t>10-LAR-008-SJO</t>
  </si>
  <si>
    <t>unnamed nunatak, south side of fjord</t>
  </si>
  <si>
    <t>10-LAR-009-SJO</t>
  </si>
  <si>
    <t>10-LAR-013-SJO</t>
  </si>
  <si>
    <t>10-LAR-017-SJO</t>
  </si>
  <si>
    <t>10-LAR-005-SJO</t>
  </si>
  <si>
    <t>Downham Peak</t>
  </si>
  <si>
    <t>10-LAR-006-SJO</t>
  </si>
  <si>
    <t>10-LAR-029-DRY</t>
  </si>
  <si>
    <t>Sentinel Nunatak</t>
  </si>
  <si>
    <t>Graham Land</t>
  </si>
  <si>
    <t>Drygalski Glacier</t>
  </si>
  <si>
    <t>Erratic 2 m boulder</t>
  </si>
  <si>
    <t>10-LAR-025-DRY</t>
  </si>
  <si>
    <t>Sampled erratic was disturbed or covered after emplacement</t>
  </si>
  <si>
    <t>10-LAR-030-DRY</t>
  </si>
  <si>
    <t>10-LAR-031-DRY</t>
  </si>
  <si>
    <t>10-LAR-032-DRY</t>
  </si>
  <si>
    <t>10-LAR-033-DRY</t>
  </si>
  <si>
    <t xml:space="preserve">Preferencing 14C ages over Be-10 </t>
  </si>
  <si>
    <t>10-LAR-034-DRY</t>
  </si>
  <si>
    <t>10-LAR-035-DRY</t>
  </si>
  <si>
    <t>10-LAR-036-DRY</t>
  </si>
  <si>
    <t>B2016-HAR-10</t>
  </si>
  <si>
    <t>Mount Harper, Neptune Range</t>
  </si>
  <si>
    <t>Pensacola Mountains</t>
  </si>
  <si>
    <t>Foundation Ice Stream, Academy Glacier</t>
  </si>
  <si>
    <t>Weddell Sea Embayment</t>
  </si>
  <si>
    <t>10.1016/j.quascirev.2016.09.028</t>
  </si>
  <si>
    <t>analysed samples include a component of older material, suggesting a complex exposure history with at least one period of burial</t>
  </si>
  <si>
    <t>B2016-HAR-11</t>
  </si>
  <si>
    <t>B2016-BRG-1</t>
  </si>
  <si>
    <t>Mount Bragg, Neptune Range</t>
  </si>
  <si>
    <t>B2016-BRG-14</t>
  </si>
  <si>
    <t>B2016-BRG-2</t>
  </si>
  <si>
    <t>B2016-BRG-20</t>
  </si>
  <si>
    <t>B2016-BRG-26</t>
  </si>
  <si>
    <t>B2016-BRG-27</t>
  </si>
  <si>
    <t>B2016-BRG-4</t>
  </si>
  <si>
    <t>B2016-HAR-1</t>
  </si>
  <si>
    <t>B2016-HAR-2</t>
  </si>
  <si>
    <t>B2016-HAR-3</t>
  </si>
  <si>
    <t>B2016-HAR-4</t>
  </si>
  <si>
    <t>B2016-HAR-5</t>
  </si>
  <si>
    <t>B2016-HAR-6</t>
  </si>
  <si>
    <t>B2016-HAR-7</t>
  </si>
  <si>
    <t>B2016-HAR-8</t>
  </si>
  <si>
    <t>B2016-THN-10</t>
  </si>
  <si>
    <t>Bentley Peak, Patuxent Range</t>
  </si>
  <si>
    <t>B2016-WIL-13</t>
  </si>
  <si>
    <t>McConnachie Rock, Williams Hills</t>
  </si>
  <si>
    <t>B2016-WIL-15</t>
  </si>
  <si>
    <t>B2016-WIL-17</t>
  </si>
  <si>
    <t>B2016-WIL-8</t>
  </si>
  <si>
    <t>B2016-WIL-26</t>
  </si>
  <si>
    <t>B2016-WIL-28</t>
  </si>
  <si>
    <t>B2016-WIL-32</t>
  </si>
  <si>
    <t>B2016-WIL-33</t>
  </si>
  <si>
    <t>B2016-WIL-1</t>
  </si>
  <si>
    <t>B2016-WIL-18</t>
  </si>
  <si>
    <t>B2016-WIL-19</t>
  </si>
  <si>
    <t>B2016-WIL-20</t>
  </si>
  <si>
    <t>B2016-WIL-21</t>
  </si>
  <si>
    <t>B2016-WIL-3</t>
  </si>
  <si>
    <t>B2016-WIL-4</t>
  </si>
  <si>
    <t>B2016-WIL-5</t>
  </si>
  <si>
    <t>B2016-WIL-6</t>
  </si>
  <si>
    <t>JJ2011-P11-11-4</t>
  </si>
  <si>
    <t>Bowman Peninsula</t>
  </si>
  <si>
    <t>Lassiter Coast</t>
  </si>
  <si>
    <t>Johnston Glacier</t>
  </si>
  <si>
    <t>10.1016/j.epsl.2019.05.002, 10.5194/tc-13-2935-2019</t>
  </si>
  <si>
    <t>Using P11-17-4 from Mt. Light as LGM constraint</t>
  </si>
  <si>
    <t>JJ2011-P11-12-1</t>
  </si>
  <si>
    <t>10.1016/j.epsl.2019.05.002, 10.5194/tc-13-2935-2020</t>
  </si>
  <si>
    <t>JJ2011-P11-12-2</t>
  </si>
  <si>
    <t>JJ2011-P11-12-6</t>
  </si>
  <si>
    <t>JJ2011-P11-13-3</t>
  </si>
  <si>
    <t>Bowman Peninsula (Mt. Lampert)</t>
  </si>
  <si>
    <t>JJ2011-P11-13-5</t>
  </si>
  <si>
    <t>JJ2011-P11-13-6</t>
  </si>
  <si>
    <t>JJ2011-P11-14-1</t>
  </si>
  <si>
    <t>JJ2011-P11-17-4</t>
  </si>
  <si>
    <t>Smith Peninsula (Mt. Light)</t>
  </si>
  <si>
    <t>10.1016/j.epsl.2019.05.002</t>
  </si>
  <si>
    <t>Using this as LGM constraint rather than as datum to avoid numerical instabilities</t>
  </si>
  <si>
    <t>FLO-01</t>
  </si>
  <si>
    <t>Flower Hills</t>
  </si>
  <si>
    <t>Ellsworth Mountains</t>
  </si>
  <si>
    <t>Rutford Ice Stream</t>
  </si>
  <si>
    <t>10.1017/S0954102014000613</t>
  </si>
  <si>
    <t>NB: Rutford ice stream elevation inferred from authors' Fig. 4</t>
  </si>
  <si>
    <t>FLO-02</t>
  </si>
  <si>
    <t>FLO-03</t>
  </si>
  <si>
    <t>FLO-05</t>
  </si>
  <si>
    <t>FLO-06</t>
  </si>
  <si>
    <t>FLO-09</t>
  </si>
  <si>
    <t>FLO-10</t>
  </si>
  <si>
    <t>FLO-17-CJF</t>
  </si>
  <si>
    <t>FLO-18-CJF</t>
  </si>
  <si>
    <t>FLO-19-CJF</t>
  </si>
  <si>
    <t>F2014-UG-16</t>
  </si>
  <si>
    <t>Meyer Hills</t>
  </si>
  <si>
    <t>Union Glacier</t>
  </si>
  <si>
    <t>Authors do not include this datum in their estimation of Rutford ice stream behavior. NB: Rutford ice stream elevation inferred from authors' Fig. 4</t>
  </si>
  <si>
    <t>F2014-UG-27</t>
  </si>
  <si>
    <t>F2014-UG-30</t>
  </si>
  <si>
    <t>IH12-06</t>
  </si>
  <si>
    <t>Independence Hills</t>
  </si>
  <si>
    <t>Horseshoe Glacier</t>
  </si>
  <si>
    <t>https://version2.ice-d.org/antarctica/sample/IH12-02/</t>
  </si>
  <si>
    <t>10.1038/ncomms12511, 10.1016/j.epsl.2017.04.006</t>
  </si>
  <si>
    <t>IH12-33</t>
  </si>
  <si>
    <t>IH12-36</t>
  </si>
  <si>
    <t>Authors treat this datum as an outlier</t>
  </si>
  <si>
    <t>MH12-06</t>
  </si>
  <si>
    <t>Marble Hills</t>
  </si>
  <si>
    <t>https://version2.ice-d.org/antarctica/sample/MH12-55/
https://version2.ice-d.org/antarctica/sample/MH12-14/
https://version2.ice-d.org/antarctica/sample/MH12-66/</t>
  </si>
  <si>
    <t>MH12-07</t>
  </si>
  <si>
    <t>MH12-13</t>
  </si>
  <si>
    <t>MH12-16</t>
  </si>
  <si>
    <t>MH12-20</t>
  </si>
  <si>
    <t>MH12-24</t>
  </si>
  <si>
    <t>MH12-56</t>
  </si>
  <si>
    <t>MH12-59</t>
  </si>
  <si>
    <t>MH12-62</t>
  </si>
  <si>
    <t>MH12-63</t>
  </si>
  <si>
    <t>MAR-05-MJB</t>
  </si>
  <si>
    <t>Institute Ice Stream, Ruthford Ice Stream</t>
  </si>
  <si>
    <t>10.1130/G30754.1, 10.1017/S0954102014000613, 10.1038/ncomms12511, 10.1016/j.epsl.2017.04.006</t>
  </si>
  <si>
    <t xml:space="preserve">NB: Institute Ice Stream elevation inferred from authors' figure 4. </t>
  </si>
  <si>
    <t>MAR-06-MJB</t>
  </si>
  <si>
    <t>MAR-08-MJB</t>
  </si>
  <si>
    <t>MAR-09-CJF</t>
  </si>
  <si>
    <t>10.1130/G30754.1, 10.1016/j.palaeo.2011.01.027, 10.1017/S0954102014000613</t>
  </si>
  <si>
    <t>MAR-10-MJB</t>
  </si>
  <si>
    <t>10.1130/G30754.1, 10.1017/S0954102014000613</t>
  </si>
  <si>
    <t>MAR-11-CJF</t>
  </si>
  <si>
    <t>MAR-26-CJF</t>
  </si>
  <si>
    <t>CF-231-08</t>
  </si>
  <si>
    <t>Outside the time interval of interest</t>
  </si>
  <si>
    <t>CF-228-08</t>
  </si>
  <si>
    <t>CF-229-08</t>
  </si>
  <si>
    <t>CF-230-08</t>
  </si>
  <si>
    <t>MH14-10</t>
  </si>
  <si>
    <t>10.1016/j.epsl.2017.04.006</t>
  </si>
  <si>
    <t>MH14-11</t>
  </si>
  <si>
    <t>MH14-25</t>
  </si>
  <si>
    <t>MH14-26</t>
  </si>
  <si>
    <t>MH14-35</t>
  </si>
  <si>
    <t>CF-24-08</t>
  </si>
  <si>
    <t>Patriot Hills</t>
  </si>
  <si>
    <t>10.1130/G30754.1, 10.1016/j.palaeo.2011.01.027, 10.1017/S0954102014000613, 10.1038/ncomms12511, 10.1016/j.epsl.2017.04.006, 10.1016/j.epsl.2017.04.006</t>
  </si>
  <si>
    <t xml:space="preserve">Hein et al. 2016 plot LGM trimline as ~250 m, but the highest datum at this transect is 322. </t>
  </si>
  <si>
    <t>CF-21-08</t>
  </si>
  <si>
    <t>CF-19-08</t>
  </si>
  <si>
    <t>Be is 22.3 ka and not concordant</t>
  </si>
  <si>
    <t>CF-31-08</t>
  </si>
  <si>
    <t>10.1130/G30754.1, 10.1016/j.palaeo.2011.01.027,  10.1017/S0954102014000613</t>
  </si>
  <si>
    <t>Hein et al. 2016 plot LGM trimline as ~250 m, but the highest datum at this transect is 322.  Reaching present-day ice elevation at 3.5 ka following Hein et al. 2016</t>
  </si>
  <si>
    <t>PH12-40</t>
  </si>
  <si>
    <t>YES medium/large missing amount of information!</t>
  </si>
  <si>
    <t xml:space="preserve">10.1016/j.epsl.2017.04.006, 10.1038/ncomms12511, 10.1130/G30754.1, 10.1017/S0954102014000613, </t>
  </si>
  <si>
    <t>Reaching present-day ice elevation at 3.5 ka following Hein et al. 2016</t>
  </si>
  <si>
    <t>PH12-28</t>
  </si>
  <si>
    <t>PAT-01-MJB</t>
  </si>
  <si>
    <t>PAT-03-MJB</t>
  </si>
  <si>
    <t>PAT-04-MJB</t>
  </si>
  <si>
    <t>PAT-05-MJB</t>
  </si>
  <si>
    <t>PH12-48</t>
  </si>
  <si>
    <t>PH12-53</t>
  </si>
  <si>
    <t>PH12-54</t>
  </si>
  <si>
    <t>PH12-57</t>
  </si>
  <si>
    <t>PH12-113</t>
  </si>
  <si>
    <t>PH12-114</t>
  </si>
  <si>
    <t>PH12-123</t>
  </si>
  <si>
    <t>PH12-71</t>
  </si>
  <si>
    <t>YES large amount of missing information!</t>
  </si>
  <si>
    <t>Ice is locally at 922 m at 35 kyr; linear thinning places ice at ~120m at 20 ka</t>
  </si>
  <si>
    <t>PH12-72</t>
  </si>
  <si>
    <t>10-MPS-006-COU</t>
  </si>
  <si>
    <t>Mount Coulter main massif</t>
  </si>
  <si>
    <t>Pensacola Mountains, Shackleton Range, Lassiter Coast</t>
  </si>
  <si>
    <t>Foundation ice stream, Slessor Glacier,  Ronne Ice Shelf</t>
  </si>
  <si>
    <t>https://www.ice-d.org/antarctica/sample/10-MPS-006-COU/</t>
  </si>
  <si>
    <t>10.2475/06.2016.02, 10.5194/tc-13-2935-2019</t>
  </si>
  <si>
    <t xml:space="preserve">Discordant ages on same sample, and authors reject </t>
  </si>
  <si>
    <t>He-3 exposure age used only as a screening technique</t>
  </si>
  <si>
    <t>10-MPS-008-NNS</t>
  </si>
  <si>
    <t>No Name Spur</t>
  </si>
  <si>
    <t>https://www.ice-d.org/antarctica/sample/10-MPS-008-NNS/</t>
  </si>
  <si>
    <t>Authors note unrecognized analytical error of ~25% in 14C ages</t>
  </si>
  <si>
    <t>10-MPS-011-NNS</t>
  </si>
  <si>
    <t>Foundation Ice Stream</t>
  </si>
  <si>
    <t>https://www.ice-d.org/antarctica/sample/10-MPS-011-NNS/</t>
  </si>
  <si>
    <t>10.2475/06.2016.02</t>
  </si>
  <si>
    <t>10-MPS-012-NNS</t>
  </si>
  <si>
    <t>https://www.ice-d.org/antarctica/sample/10-MPS-012-NNS/</t>
  </si>
  <si>
    <t>10-MPS-037-NNS</t>
  </si>
  <si>
    <t>https://www.ice-d.org/antarctica/sample/10-MPS-037-NNS/</t>
  </si>
  <si>
    <t>10-MPS-038-NNS</t>
  </si>
  <si>
    <t>https://www.ice-d.org/antarctica/sample/10-MPS-038-NNS/</t>
  </si>
  <si>
    <t>10-MPS-040-NNS</t>
  </si>
  <si>
    <t>https://www.ice-d.org/antarctica/sample/10-MPS-040-NNS/</t>
  </si>
  <si>
    <t>10-MPS-043-NNS</t>
  </si>
  <si>
    <t>https://www.ice-d.org/antarctica/sample/10-MPS-043-NNS/</t>
  </si>
  <si>
    <t>10-MPS-046-NNS</t>
  </si>
  <si>
    <t>https://www.ice-d.org/antarctica/sample/10-MPS-046-NNS/</t>
  </si>
  <si>
    <t>10-MPS-015-CSP</t>
  </si>
  <si>
    <t>Mount Coulter South Peak</t>
  </si>
  <si>
    <t>https://www.ice-d.org/antarctica/sample/10-MPS-015-CSP/</t>
  </si>
  <si>
    <t>10-MPS-024-CSP</t>
  </si>
  <si>
    <t>https://www.ice-d.org/antarctica/sample/10-MPS-024-CSP/</t>
  </si>
  <si>
    <t>10-MPS-027-CSP</t>
  </si>
  <si>
    <t>https://www.ice-d.org/antarctica/sample/10-MPS-027-CSP/</t>
  </si>
  <si>
    <t>10-MPS-031-CSP</t>
  </si>
  <si>
    <t>https://www.ice-d.org/antarctica/sample/10-MPS-031-CSP/</t>
  </si>
  <si>
    <t>10-MPS-035-CSP</t>
  </si>
  <si>
    <t>https://www.ice-d.org/antarctica/sample/10-MPS-035-CSP/</t>
  </si>
  <si>
    <t>OBN-05-122</t>
  </si>
  <si>
    <t>Bennett Nunataks</t>
  </si>
  <si>
    <t>Ohio Range</t>
  </si>
  <si>
    <t>Horlick Ice Stream, Reedy Glacier</t>
  </si>
  <si>
    <t>10.1016/j.epsl.2011.04.015</t>
  </si>
  <si>
    <t>Authors note that "There are no obvious systematic trends with regard to age, altitude or distance from the ice margin"</t>
  </si>
  <si>
    <t>ODR-05-030A</t>
  </si>
  <si>
    <t>Darling Ridge</t>
  </si>
  <si>
    <t>ODR-05-030B</t>
  </si>
  <si>
    <t>10.1016/j.epsl.2011.04.015, 10.1029/2007GL031412</t>
  </si>
  <si>
    <t>ODY-05-016</t>
  </si>
  <si>
    <t>Discovery Ridge</t>
  </si>
  <si>
    <t>CF_182_08</t>
  </si>
  <si>
    <t>Mount Provender</t>
  </si>
  <si>
    <t>10.1016/j.epsl.2011.04.037, 10.1016/j.quageo.2013.03.008</t>
  </si>
  <si>
    <t>CF_185_08</t>
  </si>
  <si>
    <t>CF_184_08</t>
  </si>
  <si>
    <t>10.1016/j.epsl.2011.04.037, 10.1016/j.quageo.2013.03.008, 10.5194/tc-13-2935-2019</t>
  </si>
  <si>
    <t>CF_215A_08</t>
  </si>
  <si>
    <t>Mount Sheffield</t>
  </si>
  <si>
    <t>CF_216_08</t>
  </si>
  <si>
    <t>CF_104_08</t>
  </si>
  <si>
    <t>Mount Skidmore</t>
  </si>
  <si>
    <t>CF_108_08</t>
  </si>
  <si>
    <t>CF_119_08</t>
  </si>
  <si>
    <t>CF_120_08</t>
  </si>
  <si>
    <t>CF_143_08</t>
  </si>
  <si>
    <t>CF_36_08</t>
  </si>
  <si>
    <t>CF_44_08</t>
  </si>
  <si>
    <t>CF_58A_08</t>
  </si>
  <si>
    <t>CF_58B_08</t>
  </si>
  <si>
    <t>CF_60_08</t>
  </si>
  <si>
    <t>10-MPS-073-CRK</t>
  </si>
  <si>
    <t>Camp Rocks</t>
  </si>
  <si>
    <t>Williams Hills, Pensacola Mountains</t>
  </si>
  <si>
    <t>10-MPS-075-CRK</t>
  </si>
  <si>
    <t>10-MPS-077-CRK</t>
  </si>
  <si>
    <t>10.2475/06.2016.02, 10.1016/j.epsl.2014.05.040</t>
  </si>
  <si>
    <t>Authors recommend not trusting these 3He samples because "3He-in-quartz exposure dating is fast and cheap, but generally not accurate."</t>
  </si>
  <si>
    <t>10.2475/06.2016.02, 10.1016/j.epsl.2014.05.041</t>
  </si>
  <si>
    <t>10-MPS-090-CRK</t>
  </si>
  <si>
    <t>10-MPS-095-CRK</t>
  </si>
  <si>
    <t>10.2475/06.2016.02, 10.1016/j.epsl.2014.05.042</t>
  </si>
  <si>
    <t>10-MPS-099-CRK</t>
  </si>
  <si>
    <t>10.2475/06.2016.02, 10.1016/j.epsl.2014.05.043</t>
  </si>
  <si>
    <t>10.2475/06.2016.02, 10.1016/j.epsl.2014.05.044</t>
  </si>
  <si>
    <t>10.2475/06.2016.02, 10.1016/j.epsl.2014.05.045</t>
  </si>
  <si>
    <t>10-MPS-120-IBR</t>
  </si>
  <si>
    <t xml:space="preserve">Itsy Bitsy Rock </t>
  </si>
  <si>
    <t>10.2475/06.2016.02, 10.1016/j.epsl.2014.05.046</t>
  </si>
  <si>
    <t>10.2475/06.2016.02, 10.1016/j.epsl.2014.05.047</t>
  </si>
  <si>
    <t>10.2475/06.2016.02, 10.1016/j.epsl.2014.05.048</t>
  </si>
  <si>
    <t>10-MPS-123-HBS</t>
  </si>
  <si>
    <t>Mt. Hobbs</t>
  </si>
  <si>
    <t>10.2475/06.2016.02, 10.1016/j.epsl.2014.05.049</t>
  </si>
  <si>
    <t>10.2475/06.2016.02, 10.1016/j.epsl.2014.05.050</t>
  </si>
  <si>
    <t>10-MPS-124-LNK</t>
  </si>
  <si>
    <t>Last Nunatak</t>
  </si>
  <si>
    <t>YES small missing amount of information!</t>
  </si>
  <si>
    <t>10.2475/06.2016.02, 10.1016/j.epsl.2014.05.051</t>
  </si>
  <si>
    <t>10.2475/06.2016.02, 10.1016/j.epsl.2014.05.052</t>
  </si>
  <si>
    <t>10-MPS-126-LNK</t>
  </si>
  <si>
    <t>10.2475/06.2016.02, 10.1016/j.epsl.2014.05.053</t>
  </si>
  <si>
    <t>10.2475/06.2016.02, 10.1016/j.epsl.2014.05.054</t>
  </si>
  <si>
    <t>10.2475/06.2016.02, 10.1016/j.epsl.2014.05.055</t>
  </si>
  <si>
    <t>10-MPS-128-LNK</t>
  </si>
  <si>
    <t>10.2475/06.2016.02, 10.1016/j.epsl.2014.05.056</t>
  </si>
  <si>
    <t>10.2475/06.2016.02, 10.1016/j.epsl.2014.05.057</t>
  </si>
  <si>
    <t>10-MPS-129-LNK</t>
  </si>
  <si>
    <t>10.2475/06.2016.02, 10.1016/j.epsl.2014.05.058</t>
  </si>
  <si>
    <t>10.2475/06.2016.02, 10.1016/j.epsl.2014.05.059</t>
  </si>
  <si>
    <t>10.2475/06.2016.02, 10.1016/j.epsl.2014.05.060</t>
  </si>
  <si>
    <t>11-ATH-204-WNR</t>
  </si>
  <si>
    <t>Mt. Warnke</t>
  </si>
  <si>
    <t>North Thomas Hills, Pensacola Mountains</t>
  </si>
  <si>
    <t>11-ATH-205-WNR</t>
  </si>
  <si>
    <t>11-ATH-211-WNR</t>
  </si>
  <si>
    <t>11-ATH-214-WNR</t>
  </si>
  <si>
    <t>11-ATH-218-CRN</t>
  </si>
  <si>
    <t>Clapperton Ridge</t>
  </si>
  <si>
    <t>11-ATH-222-CRN</t>
  </si>
  <si>
    <t>11-ATH-224-CRN</t>
  </si>
  <si>
    <t>11-ATH-225-CRN</t>
  </si>
  <si>
    <t>11-ATH-226-CRN</t>
  </si>
  <si>
    <t>11-ATH-228-CRN</t>
  </si>
  <si>
    <t>11-ATH-235-CRN</t>
  </si>
  <si>
    <t>Authors do not discuss 14C in their manuscript, and radiocarbon older than Be indicating alteration</t>
  </si>
  <si>
    <t>10.2475/06.2016.02, 10.1016/j.epsl.2014.05.061</t>
  </si>
  <si>
    <t>10.2475/06.2016.02, 10.1016/j.epsl.2014.05.062</t>
  </si>
  <si>
    <t>10.2475/06.2016.02, 10.1016/j.epsl.2014.05.063</t>
  </si>
  <si>
    <t>10.2475/06.2016.02, 10.1016/j.epsl.2014.05.064</t>
  </si>
  <si>
    <t>10.2475/06.2016.02, 10.1016/j.epsl.2014.05.065</t>
  </si>
  <si>
    <t>10.2475/06.2016.02, 10.1016/j.epsl.2014.05.066</t>
  </si>
  <si>
    <t>10.2475/06.2016.02, 10.1016/j.epsl.2014.05.067</t>
  </si>
  <si>
    <t>11-ATH-295-NAN</t>
  </si>
  <si>
    <t>Nance Ridge</t>
  </si>
  <si>
    <t>Southern Thomas Hills, Pensacola Mountains</t>
  </si>
  <si>
    <t>Ice elevation not reported, so using the lowest sample elevation measured by Balco and colleagues during their 2011-2012 expedition as a conservative estimate of ice elevation (from BalcoEtAl_Pensacola_field_data_2011_2012.xlsx, accessed from ICE-D)</t>
  </si>
  <si>
    <t>11-ATH-297-NAN</t>
  </si>
  <si>
    <t>11-ATH-300-NAN</t>
  </si>
  <si>
    <t>11-ATH-268-SML</t>
  </si>
  <si>
    <t>South Mainland</t>
  </si>
  <si>
    <t>11-ATH-271-SML</t>
  </si>
  <si>
    <t>11-ATH-273-SML</t>
  </si>
  <si>
    <t>11-ATH-274-SML</t>
  </si>
  <si>
    <t>11-ATH-276-SML</t>
  </si>
  <si>
    <t>11-ATH-278-SML</t>
  </si>
  <si>
    <t>11-ATH-279-SML</t>
  </si>
  <si>
    <t>11-ATH-290-SML</t>
  </si>
  <si>
    <t>11-ATH-294-SML</t>
  </si>
  <si>
    <t>11-ATH-303-SML</t>
  </si>
  <si>
    <t>11-ATH-304-SML</t>
  </si>
  <si>
    <t>11-ATH-306-SML</t>
  </si>
  <si>
    <t>13-NTK-013-PRT</t>
  </si>
  <si>
    <t>Mt. Axtell</t>
  </si>
  <si>
    <t>Pirritt Hills</t>
  </si>
  <si>
    <t>10.5194/tc-13-3061-2019</t>
  </si>
  <si>
    <t>13-NTK-019-PRT</t>
  </si>
  <si>
    <t>13-NTK-020-PRT</t>
  </si>
  <si>
    <t>Mt. Tidd</t>
  </si>
  <si>
    <t>13-NTK-022-PRT</t>
  </si>
  <si>
    <t>13-NTK-025-PRT</t>
  </si>
  <si>
    <t>From satellite view in Fig. 2 of paper, this datum is on a different plane of mountain and likely experienced distinct thinning history; age supports this likely difference from other Mt. Axtell data</t>
  </si>
  <si>
    <t>16-PRT-007-TCR</t>
  </si>
  <si>
    <t>Mt. Turcotte</t>
  </si>
  <si>
    <t>13-NTK-036-WHT</t>
  </si>
  <si>
    <t>Mt. Seelig</t>
  </si>
  <si>
    <t>Whitmore Mountains</t>
  </si>
  <si>
    <t>WAIS Interior</t>
  </si>
  <si>
    <t>10.5194/tc-13-3061-2019, 10.2475/10.2020.01</t>
  </si>
  <si>
    <t>13-NTK-037-WHT</t>
  </si>
  <si>
    <t>13-NTK-038-WHT</t>
  </si>
  <si>
    <t>13-NTK-041-WHT</t>
  </si>
  <si>
    <t>13-NTK-042-WHT</t>
  </si>
  <si>
    <t>01-MBL-002-VVB</t>
  </si>
  <si>
    <t>Mt. Van Valkenburg</t>
  </si>
  <si>
    <t>Sarnoff Mountains</t>
  </si>
  <si>
    <t>Boyd Glacier</t>
  </si>
  <si>
    <t>Marie Byrd Land</t>
  </si>
  <si>
    <t>10.1126/science.1077998</t>
  </si>
  <si>
    <t>01-MBL-005-VVB</t>
  </si>
  <si>
    <t>01-MBL-007-VVB</t>
  </si>
  <si>
    <t>01-MBL-008-VVB</t>
  </si>
  <si>
    <t>01-MBL-168-GAP</t>
  </si>
  <si>
    <t>Mt. Rea</t>
  </si>
  <si>
    <t>Arthur Glacier, Boyd Glacier</t>
  </si>
  <si>
    <t>10.1016/j.geomorph.2004.10.007</t>
  </si>
  <si>
    <t>Authors do not discuss 14C in their manuscript</t>
  </si>
  <si>
    <t>01-MBL-169-GAP</t>
  </si>
  <si>
    <t>Authors discount because of discordant Be/Al ages and very low Al/Be ratio indicating extensive cover of the samples by ice</t>
  </si>
  <si>
    <t xml:space="preserve">Reject because discordant radiocarbon age vs. Be/Al ages? </t>
  </si>
  <si>
    <t>01-MBL-144-REA</t>
  </si>
  <si>
    <t>01-MBL-150-REA</t>
  </si>
  <si>
    <t>01-MBL-154-REA</t>
  </si>
  <si>
    <t>01-MBL-167-REA</t>
  </si>
  <si>
    <t>01-MBL-143-REA</t>
  </si>
  <si>
    <t>10.1126/science.1077998, 10.1016/j.geomorph.2004.10.007</t>
  </si>
  <si>
    <t>01-MBL-146-REA</t>
  </si>
  <si>
    <t>01-MBL-151-REA</t>
  </si>
  <si>
    <t>01-MBL-153-REA</t>
  </si>
  <si>
    <t>01-MBL-161A-REA</t>
  </si>
  <si>
    <t>01-MBL-163-REA</t>
  </si>
  <si>
    <t>99-MBL-056-BBD</t>
  </si>
  <si>
    <t>The Billboard</t>
  </si>
  <si>
    <t>99-MBL-061-REA</t>
  </si>
  <si>
    <t>99-MBL-062-REA</t>
  </si>
  <si>
    <t>99-MBL-066-REA</t>
  </si>
  <si>
    <t>99-MBL-069-BLD</t>
  </si>
  <si>
    <t>Mt. Blades</t>
  </si>
  <si>
    <t>99-MBL-073-BLD</t>
  </si>
  <si>
    <t>99-MBL-076-BLD</t>
  </si>
  <si>
    <t>01-MBL-157-3-GAP</t>
  </si>
  <si>
    <t>Mt. Rea / Mt. Dolber col.</t>
  </si>
  <si>
    <t>99-MBL-080-GAP</t>
  </si>
  <si>
    <t>99-MBL-081-GAP</t>
  </si>
  <si>
    <t>99-MBL-083-3-GAP</t>
  </si>
  <si>
    <t>99-MBL-084-GAP</t>
  </si>
  <si>
    <t>01-MBL-039-SPC</t>
  </si>
  <si>
    <t>Mt. Spencer / Mt. Darling</t>
  </si>
  <si>
    <t>pre-exposed clast from the foot of Mount Spencer</t>
  </si>
  <si>
    <t>01-MBL-041-SPC</t>
  </si>
  <si>
    <t>01-MBL-055-DAR</t>
  </si>
  <si>
    <t>01-MBL-058-DAR</t>
  </si>
  <si>
    <t>01-MBL-064-DAR</t>
  </si>
  <si>
    <t>01-MBL-070-DAR</t>
  </si>
  <si>
    <t>01-MBL-073-DAR</t>
  </si>
  <si>
    <t>99-MBL-010-MGM</t>
  </si>
  <si>
    <t>Migmatite Ridge</t>
  </si>
  <si>
    <t>Fosdick Mountains</t>
  </si>
  <si>
    <t xml:space="preserve"> Boyd and Aurthur Glacier</t>
  </si>
  <si>
    <t>https://www.ice-d.org/antarctica/sample/99-MBL-010-MGM/</t>
  </si>
  <si>
    <t>Yes medium amount of missing information!</t>
  </si>
  <si>
    <t>99-MBL-017-MGM</t>
  </si>
  <si>
    <t>https://www.ice-d.org/antarctica/sample/99-MBL-017-MGM/</t>
  </si>
  <si>
    <t>99-MBL-020-MGM</t>
  </si>
  <si>
    <t>Crevasse Valley Glacier, Balchen Glacier</t>
  </si>
  <si>
    <t>Discordant with Be-10 (28 ka)</t>
  </si>
  <si>
    <t>99-MBL-031-MGM</t>
  </si>
  <si>
    <t>99-MBL-008-MGM</t>
  </si>
  <si>
    <t>99-MBL-009-MGM</t>
  </si>
  <si>
    <t>99-MBL-011-MGM</t>
  </si>
  <si>
    <t>99-MBL-019-MGM</t>
  </si>
  <si>
    <t>99-MBL-021-MGM</t>
  </si>
  <si>
    <t>99-MBL-038-PAS</t>
  </si>
  <si>
    <t>Mt. Passel</t>
  </si>
  <si>
    <t>Crevasse Valley Glacier</t>
  </si>
  <si>
    <t>99-MBL-043-PAS</t>
  </si>
  <si>
    <t>99-MBL-044-PAS</t>
  </si>
  <si>
    <t>01-MBL-094-FLM</t>
  </si>
  <si>
    <t>Fleming Peaks</t>
  </si>
  <si>
    <t>https://www.ice-d.org/antarctica/sample/01-MBL-094-FLM/</t>
  </si>
  <si>
    <t xml:space="preserve"> YES: 01-MBL-083-FLM and 01-MBL-088-FLM</t>
  </si>
  <si>
    <t>01-MBL-083-FLM</t>
  </si>
  <si>
    <t>NB: surface ice elevation not reported in ICE-D -- inferred from authors' fig. 1</t>
  </si>
  <si>
    <t>01-MBL-088-FLM</t>
  </si>
  <si>
    <t>JS2010-R9-4-2</t>
  </si>
  <si>
    <t>Dorrel Rock</t>
  </si>
  <si>
    <t>Mount Murphy Massif</t>
  </si>
  <si>
    <t xml:space="preserve">Pope Glacier </t>
  </si>
  <si>
    <t xml:space="preserve">Amundsen Sea Embayment </t>
  </si>
  <si>
    <t>YES medium/small amount of missing information!</t>
  </si>
  <si>
    <t>10.1016/j.epsl.2020.116501</t>
  </si>
  <si>
    <t>Authors do not include because of inheritance</t>
  </si>
  <si>
    <t>JJ2015-DOR-COMPOSITE</t>
  </si>
  <si>
    <t>Pope Glacier</t>
  </si>
  <si>
    <t>Amundsen Sea Embayment</t>
  </si>
  <si>
    <t>No ICE-D Link -- composite of other samples</t>
  </si>
  <si>
    <t>Following authors in using mean of Dorrel Rock samples because of their complex history</t>
  </si>
  <si>
    <t>JJ2015-DOR-101</t>
  </si>
  <si>
    <t>Substituting this individual sample for mean of all samples from Dorrel Rock, JJ2015-DOR-COMPOSITE</t>
  </si>
  <si>
    <t>JJ2015-DOR-102</t>
  </si>
  <si>
    <t>JJ2015-DOR-104</t>
  </si>
  <si>
    <t>JJ2015-DOR-106</t>
  </si>
  <si>
    <t>JJ2015-DOR-107</t>
  </si>
  <si>
    <t>JJ2015-DOR-108</t>
  </si>
  <si>
    <t>JJ2015-ICE-102</t>
  </si>
  <si>
    <t>Icefall Nunatak</t>
  </si>
  <si>
    <t>JJ2015-ICE-104</t>
  </si>
  <si>
    <t>JJ2015-ICE-109</t>
  </si>
  <si>
    <t>JJ2015-ICE-111</t>
  </si>
  <si>
    <t>JJ2015-ICE-115</t>
  </si>
  <si>
    <t>JJ2015-ICE-116</t>
  </si>
  <si>
    <t>JJ2015-ICE-119</t>
  </si>
  <si>
    <t>JJ2015-ICE-201</t>
  </si>
  <si>
    <t>JJ2015-NOT-104</t>
  </si>
  <si>
    <t>Notebook Cliffs</t>
  </si>
  <si>
    <t>JJ2015-NOT-107</t>
  </si>
  <si>
    <t>JJ2015-NOT-101</t>
  </si>
  <si>
    <t>Authors reject as reflecting post-depositional process (e.g. rolling)</t>
  </si>
  <si>
    <t>JJ2015-NOT-103</t>
  </si>
  <si>
    <t>JJ2015-KAY-COMPOSITE</t>
  </si>
  <si>
    <t>Kay Peak Ridge</t>
  </si>
  <si>
    <t>Following authors in using mean of lower Kay ridge samples because of their complex history</t>
  </si>
  <si>
    <t>JJ2015-KAY-107</t>
  </si>
  <si>
    <t>Authors reject as having Be-10 nheritance</t>
  </si>
  <si>
    <t>JJ2015-KAY-101</t>
  </si>
  <si>
    <t>Substituting this individual sampl for mean of all samples from Kay ridge, JJ2015-KAY-COMPOSITE</t>
  </si>
  <si>
    <t>JJ2015-KAY-103</t>
  </si>
  <si>
    <t>JJ2015-KAY-105</t>
  </si>
  <si>
    <t>JJ2015-KAY-108</t>
  </si>
  <si>
    <t>JJ2015-KAY-109</t>
  </si>
  <si>
    <t>JJ2015-KAY-110</t>
  </si>
  <si>
    <t>JJ2015-KAY-111</t>
  </si>
  <si>
    <t>JS2010-R9-3-10</t>
  </si>
  <si>
    <t>JS2010-R9-3-11</t>
  </si>
  <si>
    <t>JS2010-R9-3-2</t>
  </si>
  <si>
    <t>JS2010-R9-3-8</t>
  </si>
  <si>
    <t>19-KP-001-BR</t>
  </si>
  <si>
    <t>none</t>
  </si>
  <si>
    <t>Data are unpublished</t>
  </si>
  <si>
    <t>19-KP-003-BR</t>
  </si>
  <si>
    <t>19-KP-006-BR</t>
  </si>
  <si>
    <t>19-KP-007-BR</t>
  </si>
  <si>
    <t>19-KP-008-BR</t>
  </si>
  <si>
    <t>19-KP-009-BR</t>
  </si>
  <si>
    <t>19-KP-010-BR</t>
  </si>
  <si>
    <t>19-KP-011-BR</t>
  </si>
  <si>
    <t>19-KP-012-BR</t>
  </si>
  <si>
    <t>JJ2015-TUR-117</t>
  </si>
  <si>
    <t>Turtle Rock</t>
  </si>
  <si>
    <t>Be-10 v. 14C comparison shows that site has high inheritance and/or rolling</t>
  </si>
  <si>
    <t>JJ2015-TUR-118</t>
  </si>
  <si>
    <t>This sample not in ICE-D</t>
  </si>
  <si>
    <t>JJ2015-TUR-120</t>
  </si>
  <si>
    <t>JJ2015-TUR-121</t>
  </si>
  <si>
    <t>JJ2015-TUR-123</t>
  </si>
  <si>
    <t>JJ2015-TUR-124</t>
  </si>
  <si>
    <t>JJ2015-TUR-125</t>
  </si>
  <si>
    <t>JJ2015-TUR-127</t>
  </si>
  <si>
    <t>JJ2015-TUR-129</t>
  </si>
  <si>
    <t>JJ2015-TUR-130</t>
  </si>
  <si>
    <t>JJ2015-TUR-132</t>
  </si>
  <si>
    <t>JJ2015-TUR-134</t>
  </si>
  <si>
    <t>JJ2015-TUR-135</t>
  </si>
  <si>
    <t>JJ2015-TUR-138</t>
  </si>
  <si>
    <t>JJ2015-TUR-139</t>
  </si>
  <si>
    <t>JJ2015-TUR-140</t>
  </si>
  <si>
    <t>JJ2015-TUR-141</t>
  </si>
  <si>
    <t>JJ2015-TUR-142</t>
  </si>
  <si>
    <t>JJ2015-TUR-143</t>
  </si>
  <si>
    <t>JJ2015-TUR-202</t>
  </si>
  <si>
    <t>JJ2015-TUR-205</t>
  </si>
  <si>
    <t>JBG2008-TR1</t>
  </si>
  <si>
    <t>Pine Island Glacier, Pope Glacier</t>
  </si>
  <si>
    <t>10.1130/G24207A.1, 10.1016/j.epsl.2020.116501</t>
  </si>
  <si>
    <t>JBG2008-TR2</t>
  </si>
  <si>
    <t>JS2010-R9-7-1</t>
  </si>
  <si>
    <t>Hunt Bluff</t>
  </si>
  <si>
    <t>Bear Peninsula</t>
  </si>
  <si>
    <t>Smith Glacier, Thwaites Glacier</t>
  </si>
  <si>
    <t>10.1016/j.quascirev.2017.11.003</t>
  </si>
  <si>
    <t>JS2010-R9-7-2</t>
  </si>
  <si>
    <t>L2014-BB-1</t>
  </si>
  <si>
    <t>Barter Bluff</t>
  </si>
  <si>
    <t>Pine Island Bay</t>
  </si>
  <si>
    <t>Pine Island Glacier</t>
  </si>
  <si>
    <t>10.1016/j.quascirev.2014.05.010</t>
  </si>
  <si>
    <t>L2014-BB-2</t>
  </si>
  <si>
    <t>L2014-MI-1</t>
  </si>
  <si>
    <t>Kohler Range</t>
  </si>
  <si>
    <t>L2014-MI-2</t>
  </si>
  <si>
    <t>JBG2008-MM1</t>
  </si>
  <si>
    <t>Mt. Manthe</t>
  </si>
  <si>
    <t xml:space="preserve">Pine Island Glacier </t>
  </si>
  <si>
    <t>10.1130/G24207A.1</t>
  </si>
  <si>
    <t>JBG2008-MM2</t>
  </si>
  <si>
    <t>JBG2008-ISL1</t>
  </si>
  <si>
    <t>Lindsay Islands</t>
  </si>
  <si>
    <t>https://version2.ice-d.org/antarctica/sample/JBG2008-TR3/</t>
  </si>
  <si>
    <t>10.1038/s41561-022-00961-y, 10.1130/G24207A.1</t>
  </si>
  <si>
    <t>L2014-ISL-1</t>
  </si>
  <si>
    <t>Pine Island Glacier, Thwaites Glacier</t>
  </si>
  <si>
    <t>10.1038/s41561-022-00961-y, 10.1016/j.quascirev.2014.05.010</t>
  </si>
  <si>
    <t>Authors exclude because of inheritance issues</t>
  </si>
  <si>
    <t>L2014-ISL-2</t>
  </si>
  <si>
    <t>YES  AND there are samples in this set that are not in ICE-D</t>
  </si>
  <si>
    <t>https://version2.ice-d.org/antarctica/sample/L2014-ISL-1/</t>
  </si>
  <si>
    <t>10.1038/s41561-022-00961-y, 10.1016/j.quascirev.2014.05.010, 10.1038/s41561-022-00961-y</t>
  </si>
  <si>
    <t>L2014-ISL-3</t>
  </si>
  <si>
    <t>Jaynes Islands</t>
  </si>
  <si>
    <t>SB2019-ED2-19-2C1</t>
  </si>
  <si>
    <t>Edward Islands</t>
  </si>
  <si>
    <t>10.1038/s41561-022-00961-y</t>
  </si>
  <si>
    <t>SB2019-ED2-19-2C2</t>
  </si>
  <si>
    <t>SB2019-LD-19-C1</t>
  </si>
  <si>
    <t>SB2019-LD-19-C2</t>
  </si>
  <si>
    <t>J2014-JF-03</t>
  </si>
  <si>
    <t>Maish Nunatak</t>
  </si>
  <si>
    <t>Hudson Mountains</t>
  </si>
  <si>
    <t>10.1126/science.1247385</t>
  </si>
  <si>
    <t>Authors reject as anomalously old and reflecting prior cosmic ray exposure</t>
  </si>
  <si>
    <t>J2014-JF-01</t>
  </si>
  <si>
    <t>Assuming Mount Moses and Maish Nunatak are on the same ice stream and therefore reach present at around the same time</t>
  </si>
  <si>
    <t>J2014-JF-02</t>
  </si>
  <si>
    <t>J2014-JF-04</t>
  </si>
  <si>
    <t>J2014-JF-07</t>
  </si>
  <si>
    <t>J2016-JF-06</t>
  </si>
  <si>
    <t>J2014-MTM-01</t>
  </si>
  <si>
    <t>Mount Moses</t>
  </si>
  <si>
    <t>J2014-MTM-02</t>
  </si>
  <si>
    <t>J2014-MTM-03</t>
  </si>
  <si>
    <t>J2014-MTM-04</t>
  </si>
  <si>
    <t>J2014-MTM-05</t>
  </si>
  <si>
    <t>J2014-MTM-06</t>
  </si>
  <si>
    <t>GHC19-EVK-102</t>
  </si>
  <si>
    <t>Evans Knoll</t>
  </si>
  <si>
    <t>10.1130/G51326.1</t>
  </si>
  <si>
    <t>GHC19-EVK-103</t>
  </si>
  <si>
    <t>GHC19-EVK-104</t>
  </si>
  <si>
    <t>GHC19-EVK-106</t>
  </si>
  <si>
    <t>GHC19-UNN-106</t>
  </si>
  <si>
    <t>Winkie Nunatak</t>
  </si>
  <si>
    <t>Authors do not include age in thinning rate estimation</t>
  </si>
  <si>
    <t>GHC19-UNN-102</t>
  </si>
  <si>
    <t>GHC19-UNN-103</t>
  </si>
  <si>
    <t>GHC19-UNN-105</t>
  </si>
  <si>
    <t>GHC19-UNN-109</t>
  </si>
  <si>
    <t>GHC19-UNN-110</t>
  </si>
  <si>
    <t>GHC19-UNN-111</t>
  </si>
  <si>
    <t>GHC19-MEY-102</t>
  </si>
  <si>
    <t>Meyers Nunatak</t>
  </si>
  <si>
    <t>GHC19-MEY-101</t>
  </si>
  <si>
    <t>GHC19-MEY-103</t>
  </si>
  <si>
    <t>GHC19-MEY-105</t>
  </si>
  <si>
    <t>GHC19-SHD-102</t>
  </si>
  <si>
    <t>Shepherd Dome</t>
  </si>
  <si>
    <t>GHC19-SHD-103</t>
  </si>
  <si>
    <t>GHC19-SHD-104</t>
  </si>
  <si>
    <t>GHC19-SHD-105</t>
  </si>
  <si>
    <t>GHC19-SHD-106</t>
  </si>
  <si>
    <t>GHC19-SHD-107</t>
  </si>
  <si>
    <t>GHC19-SHD-109</t>
  </si>
  <si>
    <t>GHC19-INM-101</t>
  </si>
  <si>
    <t>Inman Nunatak</t>
  </si>
  <si>
    <t>GHC19-INM-102</t>
  </si>
  <si>
    <t>GHC19-INM-104</t>
  </si>
  <si>
    <t>GHC19-INM-105</t>
  </si>
  <si>
    <t>GHC19-INM-106</t>
  </si>
  <si>
    <t>Early Holocene marine sedimentary indicators of Antarctic Ice Sheet Change</t>
  </si>
  <si>
    <t>Count</t>
  </si>
  <si>
    <t>Re-examine?</t>
  </si>
  <si>
    <t xml:space="preserve">Open sea ice </t>
  </si>
  <si>
    <t>High Productivity</t>
  </si>
  <si>
    <t>High current speed</t>
  </si>
  <si>
    <t>Ice Discharge / melt / retreat</t>
  </si>
  <si>
    <t>CDW Intrusion</t>
  </si>
  <si>
    <t>Sector</t>
  </si>
  <si>
    <t>site</t>
  </si>
  <si>
    <t>Start_time_mn</t>
  </si>
  <si>
    <t>start_time_1sd</t>
  </si>
  <si>
    <t>end_time_mn</t>
  </si>
  <si>
    <t>end_time_1sd</t>
  </si>
  <si>
    <t>Reference</t>
  </si>
  <si>
    <t>Evidence</t>
  </si>
  <si>
    <t>Notes</t>
  </si>
  <si>
    <t>East Antarctic margin</t>
  </si>
  <si>
    <t>Crosta et al. 2018</t>
  </si>
  <si>
    <t>Inferred based on three δ18O diatom records</t>
  </si>
  <si>
    <t>Adelie Basin</t>
  </si>
  <si>
    <t>Behrens et al. 2022</t>
  </si>
  <si>
    <t>Authors cite combination of sedimentary archive evidence as indicating that between 11.4 and 8.5, Adelie Basin was a calving bay with grounded ice, but by 8.0 ka the residual ice sheet had disappeared, to be replaced by open water</t>
  </si>
  <si>
    <t>Cosmonauts Sea</t>
  </si>
  <si>
    <t>Li et al. 2020; Igarashi et al. 2001</t>
  </si>
  <si>
    <t>F. kerguelensis reached maximum abundances, together with the strong reduction of ice-related species</t>
  </si>
  <si>
    <t>250 yr uncertainty assigned because of imprecision/low resolution of proxy evidence</t>
  </si>
  <si>
    <t>Prydz Bay, Svenner channel</t>
  </si>
  <si>
    <t>Denis et al. 2010</t>
  </si>
  <si>
    <t>Relative Fragilariopsis curta abundance, a proxy for sea ice</t>
  </si>
  <si>
    <t>250 yr uncertainty assigned because time window is estimated from a continuous curve and age model is not based on current calibration</t>
  </si>
  <si>
    <t>Guitard 2021</t>
  </si>
  <si>
    <t>Bottom current speed determined from sortable silt fraction</t>
  </si>
  <si>
    <t xml:space="preserve">250 yr uncertainty assigned because time window is estimated from a continuous curve </t>
  </si>
  <si>
    <t>Johnson et al. 2021</t>
  </si>
  <si>
    <t>Current strength from Mass Accumulation Rate (MAR), biogenic bloom events from Laminae frequency.</t>
  </si>
  <si>
    <t>Totten Glacier / Dalton Polynya</t>
  </si>
  <si>
    <t>Sadatzki et al. 2023</t>
  </si>
  <si>
    <t>HBI-III in core PC08, which reflects sea ice, is at a minimum, and there is a temporary spike in diatom abundance, also suggesting more open water</t>
  </si>
  <si>
    <t xml:space="preserve">Age boundaries based off author interpretation of proxy records; uncertainties assigned based on resolution of proxies and ambiguity in boundary determinations </t>
  </si>
  <si>
    <t>Rauer Group</t>
  </si>
  <si>
    <t>Berg et al. 2009, 2010</t>
  </si>
  <si>
    <t>Sedimentology in two shallow marine inlets</t>
  </si>
  <si>
    <t>brackish samples were originally calibrated with Marine04 and a 558 yr reservoir correction.  We recalibrate samples using Marine20 with a 558 yr reservoir correction.  Age models involve linear extrapolation to determine base of laminated unit in core Co1011, but radiocarbon datum in cor Co1010 is very close to laminated boundary and two lakes are argued to behave similarly so we use the radiocarbon datum from Co1010 as representative of the date of transition in paleoceanographic conditions.  Authors estimate that sea ice starts increasing ~1000 years after decreased mineralogical input; we add 250 years uncertainty to that estimate</t>
  </si>
  <si>
    <t>Southern Ross Sea</t>
  </si>
  <si>
    <t>Ross Ice Shelf</t>
  </si>
  <si>
    <t>Prothro et al. 2020</t>
  </si>
  <si>
    <t>Marine radiocarbon dates from sedimentary cores</t>
  </si>
  <si>
    <t>Uncertainty assigned based on marine radiocarbon chronologies and few number of ages</t>
  </si>
  <si>
    <t>Joides Basin</t>
  </si>
  <si>
    <t>Mezgec et al. 2017</t>
  </si>
  <si>
    <t>F. curta diatom abundances</t>
  </si>
  <si>
    <t>400 years uncertainty assigned to account for age model, which assumes linear sedimentation rates between 11.6 and 5.5, and likely uncertainties in reservoir ages</t>
  </si>
  <si>
    <t>Western Ross Sea</t>
  </si>
  <si>
    <t>North Victoria Land</t>
  </si>
  <si>
    <t>Finochiaro et al. 2005; Battaglia et al. 2024</t>
  </si>
  <si>
    <t>massive bioturbated and clast-rich layer (MBf) in multiple sediment cores</t>
  </si>
  <si>
    <t>Amundsen Sea</t>
  </si>
  <si>
    <t>Hillenbrand et al. 2017</t>
  </si>
  <si>
    <t>Isotopic, benthic foram assemblage, and stratigraphic successions from sediment core</t>
  </si>
  <si>
    <t>Samples are recalibrated using authors' marine reservoir correction of 1100 +/- 200 and Marine20.  Upper age constraint is oldest calibrated radiocarbon age and age associated with isotopic and sedimentary changes.</t>
  </si>
  <si>
    <t>Sproson et al. 2022</t>
  </si>
  <si>
    <t>10Be/ 9Be ratios in marine sediment core</t>
  </si>
  <si>
    <t>Uncertainty assigned based on marine reservoir uncertainty and age model uncertainty</t>
  </si>
  <si>
    <t xml:space="preserve"> </t>
  </si>
  <si>
    <t>Kim et al. 2023</t>
  </si>
  <si>
    <t>Total organic carbon contents and diatom valve abundances</t>
  </si>
  <si>
    <t>Weddell Sea</t>
  </si>
  <si>
    <t>Filchner Ice Shelf</t>
  </si>
  <si>
    <t>Hodgson et al. 2018</t>
  </si>
  <si>
    <t>C14 dates of 8790 +/- 45 and 9760 +/- 30 were recalibrated using Marine20 with a reservoir age of 1300 years</t>
  </si>
  <si>
    <t>Retreat begins around 12800 cal Yr BP but accelerates between the two dates listed here</t>
  </si>
  <si>
    <t>Western Antarctic Peninsula</t>
  </si>
  <si>
    <t>Palmer Deep</t>
  </si>
  <si>
    <t>Etourneau et al. 2013</t>
  </si>
  <si>
    <t xml:space="preserve">High concentrations of triene, which indicate open water, combined with high Tex^L_86 temperatures from 9-8 relative to the mid-late Holocene and high fraction of Eucampia antarctica, a diatom proxy for ice melt </t>
  </si>
  <si>
    <t>Age bounds are approximate and based on continuous timeseries; uncertainties are assigned to acknowledge this.</t>
  </si>
  <si>
    <t>Pike et al. 2013</t>
  </si>
  <si>
    <t>"reductions in diatoms that prefer cool, ice-rich surface waters through summer, increases in diatoms associated with spring sea ice meltwater tratification and the persistent presence of UCDW at Palmer Deep suggest that ocean-driven frontal melting of floating glaciers"</t>
  </si>
  <si>
    <t>Marguerite Bay</t>
  </si>
  <si>
    <t>Peck et al. 2015</t>
  </si>
  <si>
    <t>combination of sedimentological, diatom and 6 foraminiferal records</t>
  </si>
  <si>
    <t>Upper age constraint from radiocarbon age recalibrated using Marine20 and reservoir age of 1353 following authors.  Lower age is approximate based in recalibrated radiocarbon tie points and linear sedimentation rate</t>
  </si>
  <si>
    <t>George VI Ice Shelf</t>
  </si>
  <si>
    <t>Bentley et al. 2005</t>
  </si>
  <si>
    <t>Sediments from Moutonnée Lake</t>
  </si>
  <si>
    <t xml:space="preserve">Authors use 7300±106 to 8100±108 as the 14C age range, both values corrected with a 1300 m marine reservoir correction.  We recalibrate those values with Marine20.  </t>
  </si>
  <si>
    <t>Collins Bay</t>
  </si>
  <si>
    <t>Totten et al. 2022</t>
  </si>
  <si>
    <r>
      <rPr>
        <sz val="10"/>
        <color rgb="FF000000"/>
        <rFont val="Arial"/>
        <family val="2"/>
      </rPr>
      <t>Magnetic susceptibility</t>
    </r>
    <r>
      <rPr>
        <sz val="10"/>
        <color rgb="FF000000"/>
        <rFont val="Arial"/>
        <family val="2"/>
      </rPr>
      <t xml:space="preserve">, grain size, diatom assemblage, total </t>
    </r>
    <r>
      <rPr>
        <sz val="10"/>
        <color rgb="FF000000"/>
        <rFont val="Arial"/>
        <family val="2"/>
      </rPr>
      <t>organic carbon</t>
    </r>
    <r>
      <rPr>
        <sz val="10"/>
        <color rgb="FF000000"/>
        <rFont val="Arial"/>
        <family val="2"/>
      </rPr>
      <t>, nitrogen, and stable isotopes of organic carbon</t>
    </r>
  </si>
  <si>
    <t>Roberts et al. 2008</t>
  </si>
  <si>
    <t>Bounds are highest and lowest radiocarbon data from window of sedimentological interest, recalibrated using Marine20 with a 1300 year reservoir correction</t>
  </si>
  <si>
    <t>Easten Antarctic Peninsula</t>
  </si>
  <si>
    <t>Six ice shelves (James Ross Island, Prince Gustav Channel, Ulu Peninsula, Larsen B, Larsen A)</t>
  </si>
  <si>
    <t>Etourneau et al. 2019</t>
  </si>
  <si>
    <t>Authors correlate new surface ocean temperature data from Tex86 with a literature review of Antarctic Peninsula ice shelf collapse</t>
  </si>
  <si>
    <t>250 years uncertainty assigned to start and end to account for approximate dates of ice shelf collapses</t>
  </si>
  <si>
    <t>rel_elv_LGM_source</t>
  </si>
  <si>
    <t>https://doi.org/10.1002/2013JF002870</t>
  </si>
  <si>
    <t>https://doi.org/10.1002/2013JF002871</t>
  </si>
  <si>
    <t>https://doi.org/10.1002/2013JF002872</t>
  </si>
  <si>
    <t>https://doi.org/10.1002/2013JF002873</t>
  </si>
  <si>
    <t>https://doi.org/10.1002/2013JF002874</t>
  </si>
  <si>
    <t>https://doi.org/10.1002/2013JF002875</t>
  </si>
  <si>
    <t>https://doi.org/10.1002/2013JF002876</t>
  </si>
  <si>
    <t>https://doi.org/10.1002/2013JF002877</t>
  </si>
  <si>
    <t>https://doi.org/10.1002/2013JF002878</t>
  </si>
  <si>
    <t>https://doi.org/10.1016/j.quascirev.2013.07.024</t>
  </si>
  <si>
    <t>https://doi.org/10.1016/j.quascirev.2013.07.024; https://doi.org/10.1016/j.quascirev.2013.07.024</t>
  </si>
  <si>
    <t>https://doi.org/10.1016/j.quascirev.2013.07.024; https://doi.org/10.1016/j.quascirev.2013.07.025</t>
  </si>
  <si>
    <t>https://doi.org/10.1016/j.quascirev.2013.07.024; https://doi.org/10.1016/j.quascirev.2013.07.026</t>
  </si>
  <si>
    <t>https://doi.org/10.1016/j.quascirev.2013.07.024; https://doi.org/10.1016/j.quascirev.2013.07.027</t>
  </si>
  <si>
    <t>https://doi.org/10.1016/j.quascirev.2013.07.024; https://doi.org/10.1016/j.quascirev.2013.07.028</t>
  </si>
  <si>
    <t>https://doi.org/10.1016/j.quascirev.2013.07.024; https://doi.org/10.1016/j.quascirev.2013.07.029</t>
  </si>
  <si>
    <t>https://doi.org/10.1016/j.quascirev.2013.07.024; https://doi.org/10.1016/j.quascirev.2013.07.030</t>
  </si>
  <si>
    <t>https://doi.org/10.1016/j.quascirev.2013.07.024; https://doi.org/10.1016/j.quascirev.2013.07.031</t>
  </si>
  <si>
    <t>https://doi.org/10.1016/j.quascirev.2013.07.024; https://doi.org/10.1016/j.quascirev.2013.07.032</t>
  </si>
  <si>
    <t>https://doi.org/10.1016/j.quascirev.2013.07.024; https://doi.org/10.1016/j.quascirev.2013.07.033</t>
  </si>
  <si>
    <t>https://doi.org/10.1016/j.quascirev.2013.07.024; https://doi.org/10.1016/j.quascirev.2013.07.034</t>
  </si>
  <si>
    <t>https://doi.org/10.1016/j.quascirev.2013.07.024; https://doi.org/10.1016/j.quascirev.2013.07.035</t>
  </si>
  <si>
    <t>https://doi.org/10.1016/j.quascirev.2013.07.024; https://doi.org/10.1016/j.quascirev.2013.07.036</t>
  </si>
  <si>
    <t>https://doi.org/10.1016/j.quascirev.2013.07.024; https://doi.org/10.1016/j.quascirev.2013.07.037</t>
  </si>
  <si>
    <t>https://doi.org/10.1016/j.quascirev.2013.07.024; https://doi.org/10.1016/j.quascirev.2013.07.038</t>
  </si>
  <si>
    <t>https://doi.org/10.1016/j.quascirev.2013.07.024; https://doi.org/10.1016/j.quascirev.2013.07.039</t>
  </si>
  <si>
    <t>https://doi.org/10.1016/j.quascirev.2013.07.024; https://doi.org/10.1016/j.quascirev.2013.07.040</t>
  </si>
  <si>
    <t>https://doi.org/10.1016/j.quascirev.2013.07.024; https://doi.org/10.1016/j.quascirev.2013.07.041</t>
  </si>
  <si>
    <t>https://doi.org/10.1016/j.quascirev.2013.07.024; https://doi.org/10.1016/j.quascirev.2013.07.042</t>
  </si>
  <si>
    <t>https://doi.org/10.1016/j.quascirev.2013.07.024; https://doi.org/10.1016/j.quascirev.2013.07.043</t>
  </si>
  <si>
    <t>https://doi.org/10.1016/j.quascirev.2013.07.024; https://doi.org/10.1016/j.quascirev.2013.07.044</t>
  </si>
  <si>
    <t>https://doi.org/10.1016/j.quascirev.2013.07.024; https://doi.org/10.1016/j.quascirev.2013.07.045</t>
  </si>
  <si>
    <t>https://doi.org/10.1016/j.quascirev.2013.07.024; https://doi.org/10.1016/j.quascirev.2013.07.046</t>
  </si>
  <si>
    <t>https://doi.org/10.1016/j.quascirev.2013.07.024; https://doi.org/10.1016/j.quascirev.2013.07.047</t>
  </si>
  <si>
    <t>https://doi.org/10.1016/j.quascirev.2013.07.024; https://doi.org/10.1016/j.quascirev.2013.07.048</t>
  </si>
  <si>
    <t>https://doi.org/10.1016/j.quascirev.2013.07.024; https://doi.org/10.1016/j.quascirev.2013.07.049</t>
  </si>
  <si>
    <t>https://doi.org/10.1016/j.quascirev.2013.07.024; https://doi.org/10.1016/j.quascirev.2013.07.050</t>
  </si>
  <si>
    <t>https://doi.org/10.1016/j.quascirev.2013.07.024; https://doi.org/10.1016/j.quascirev.2013.07.051</t>
  </si>
  <si>
    <t>https://doi.org/10.1016/j.quascirev.2013.07.024; https://doi.org/10.1016/j.quascirev.2013.07.052</t>
  </si>
  <si>
    <t>https://doi.org/10.1016/j.quascirev.2013.07.024; https://doi.org/10.1016/j.quascirev.2013.07.053</t>
  </si>
  <si>
    <t>https://doi.org/10.1016/j.quascirev.2013.07.024; https://doi.org/10.1016/j.quascirev.2013.07.054</t>
  </si>
  <si>
    <t>https://doi.org/10.1016/j.quascirev.2020.106540</t>
  </si>
  <si>
    <t>https://doi.org/10.1016/j.quascirev.2020.106541</t>
  </si>
  <si>
    <t>https://doi.org/10.1016/j.quascirev.2020.106542</t>
  </si>
  <si>
    <t>https://doi.org/10.1016/j.quascirev.2020.106543</t>
  </si>
  <si>
    <t>https://doi.org/10.1016/j.quascirev.2020.106544</t>
  </si>
  <si>
    <t>https://doi.org/10.1016/j.quascirev.2020.106545</t>
  </si>
  <si>
    <t>https://doi.org/10.1016/j.quascirev.2020.106546</t>
  </si>
  <si>
    <t>https://doi.org/10.1016/j.quascirev.2020.106547</t>
  </si>
  <si>
    <t>https://doi.org/10.1016/j.quascirev.2020.106548</t>
  </si>
  <si>
    <t>https://doi.org/10.1016/j.quascirev.2020.106549</t>
  </si>
  <si>
    <t>https://doi.org/10.1016/j.quascirev.2020.106550</t>
  </si>
  <si>
    <t>https://doi.org/10.1016/j.quascirev.2020.106551</t>
  </si>
  <si>
    <t>https://doi.org/10.1016/j.quascirev.2020.106552</t>
  </si>
  <si>
    <t>https://doi.org/10.1016/j.quascirev.2020.106553</t>
  </si>
  <si>
    <t>https://doi.org/10.1016/j.quascirev.2020.106554</t>
  </si>
  <si>
    <t>https://doi.org/10.1016/j.quascirev.2020.106555</t>
  </si>
  <si>
    <t>https://doi.org/10.1130/G51326.1;  https://doi.org/10.1029/2020JF005827</t>
  </si>
  <si>
    <t>https://doi.org/10.1130/G51326.1;  https://doi.org/10.1029/2020JF005828</t>
  </si>
  <si>
    <t>https://doi.org/10.1130/G51326.1;  https://doi.org/10.1029/2020JF005829</t>
  </si>
  <si>
    <t>https://doi.org/10.1130/G51326.1;  https://doi.org/10.1029/2020JF005830</t>
  </si>
  <si>
    <t>https://doi.org/10.1130/G51326.1;  https://doi.org/10.1029/2020JF005831</t>
  </si>
  <si>
    <t>https://doi.org/10.1130/G51326.1;  https://doi.org/10.1029/2020JF005832</t>
  </si>
  <si>
    <t>https://doi.org/10.1130/G51326.1;  https://doi.org/10.1029/2020JF005833</t>
  </si>
  <si>
    <t>https://doi.org/10.1130/G51326.1;  https://doi.org/10.1029/2020JF005834</t>
  </si>
  <si>
    <t>https://doi.org/10.1130/G51326.1;  https://doi.org/10.1029/2020JF005835</t>
  </si>
  <si>
    <t>https://doi.org/10.1130/G51326.1;  https://doi.org/10.1029/2020JF005836</t>
  </si>
  <si>
    <t>https://doi.org/10.1130/G51326.1;  https://doi.org/10.1029/2020JF005837</t>
  </si>
  <si>
    <t>https://doi.org/10.1130/G51326.1;  https://doi.org/10.1029/2020JF005838</t>
  </si>
  <si>
    <t>https://doi.org/10.1130/G51326.1;  https://doi.org/10.1029/2020JF005839</t>
  </si>
  <si>
    <t>https://doi.org/10.1130/G51326.1;  https://doi.org/10.1029/2020JF005840</t>
  </si>
  <si>
    <t>https://doi.org/10.1130/G51326.1;  https://doi.org/10.1029/2020JF005841</t>
  </si>
  <si>
    <t>https://doi.org/10.1130/G51326.1;  https://doi.org/10.1029/2020JF005842</t>
  </si>
  <si>
    <t>https://doi.org/10.1130/G51326.1;  https://doi.org/10.1029/2020JF005843</t>
  </si>
  <si>
    <t>https://doi.org/10.1130/G51326.1;  https://doi.org/10.1029/2020JF005844</t>
  </si>
  <si>
    <t>https://doi.org/10.1130/G51326.1;  https://doi.org/10.1029/2020JF005845</t>
  </si>
  <si>
    <t>https://doi.org/10.1130/G51326.1;  https://doi.org/10.1029/2020JF005846</t>
  </si>
  <si>
    <t>https://doi.org/10.1130/G51326.1;  https://doi.org/10.1029/2020JF005847</t>
  </si>
  <si>
    <t>https://doi.org/10.1130/G51326.1;  https://doi.org/10.1029/2020JF005848</t>
  </si>
  <si>
    <t>https://doi.org/10.1130/G51326.1;  https://doi.org/10.1029/2020JF005849</t>
  </si>
  <si>
    <t>https://doi.org/10.1130/G51326.1;  https://doi.org/10.1029/2020JF005850</t>
  </si>
  <si>
    <t>https://doi.org/10.1130/G51326.1;  https://doi.org/10.1029/2020JF005851</t>
  </si>
  <si>
    <t>https://doi.org/10.1130/G51326.1;  https://doi.org/10.1029/2020JF005852</t>
  </si>
  <si>
    <t>https://doi.org/10.1130/G51326.1;  https://doi.org/10.1029/2020JF005853</t>
  </si>
  <si>
    <t>https://doi.org/10.1130/G51326.1;  https://doi.org/10.1029/2020JF005854</t>
  </si>
  <si>
    <t>https://doi.org/10.1130/G51326.1;  https://doi.org/10.1029/2020JF005855</t>
  </si>
  <si>
    <t>https://doi.org/10.1130/G51326.1;  https://doi.org/10.1029/2020JF005856</t>
  </si>
  <si>
    <t>https://doi.org/10.1130/G51326.1;  https://doi.org/10.1029/2020JF005857</t>
  </si>
  <si>
    <t>https://doi.org/10.1130/G51326.1;  https://doi.org/10.1029/2020JF005858</t>
  </si>
  <si>
    <t>https://doi.org/10.1130/G51326.1;  https://doi.org/10.1029/2020JF005859</t>
  </si>
  <si>
    <t>https://doi.org/10.1130/G51326.1;  https://doi.org/10.1029/2020JF005860</t>
  </si>
  <si>
    <t>https://doi.org/10.1130/G51326.1;  https://doi.org/10.1029/2020JF005861</t>
  </si>
  <si>
    <t>https://doi.org/10.1130/G51326.1;  https://doi.org/10.1029/2020JF005862</t>
  </si>
  <si>
    <t>https://doi.org/10.1130/G51326.1;  https://doi.org/10.1029/2020JF005863</t>
  </si>
  <si>
    <t>https://doi.org/10.1130/G51326.1;  https://doi.org/10.1029/2020JF005864</t>
  </si>
  <si>
    <t>https://doi.org/10.1130/G51326.1;  https://doi.org/10.1029/2020JF005865</t>
  </si>
  <si>
    <t>https://doi.org/10.1130/G51326.1;  https://doi.org/10.1029/2020JF005866</t>
  </si>
  <si>
    <t>https://doi.org/10.1130/G51326.1;  https://doi.org/10.1029/2020JF005867</t>
  </si>
  <si>
    <t>https://doi.org/10.1130/G51326.1;  https://doi.org/10.1029/2020JF005868</t>
  </si>
  <si>
    <t>https://doi.org/10.1130/G51326.1;  https://doi.org/10.1029/2020JF005869</t>
  </si>
  <si>
    <t>https://doi.org/10.1130/G51326.1;  https://doi.org/10.1029/2020JF005870</t>
  </si>
  <si>
    <t>https://doi.org/10.1130/G51326.1;  https://doi.org/10.1029/2020JF005871</t>
  </si>
  <si>
    <t>https://doi.org/10.1130/G51326.1;  https://doi.org/10.1029/2020JF005872</t>
  </si>
  <si>
    <t>https://doi.org/10.1130/G51326.1;  https://doi.org/10.1029/2020JF005873</t>
  </si>
  <si>
    <t>https://doi.org/10.1130/G51326.1;  https://doi.org/10.1029/2020JF005874</t>
  </si>
  <si>
    <t>https://doi.org/10.1130/G51326.1;  https://doi.org/10.1029/2020JF005875</t>
  </si>
  <si>
    <t>https://doi.org/10.1130/G51326.1;  https://doi.org/10.1029/2020JF005876</t>
  </si>
  <si>
    <t>https://doi.org/10.1130/G51326.1;  https://doi.org/10.1029/2020JF005877</t>
  </si>
  <si>
    <t>https://doi.org/10.1130/G51326.1;  https://doi.org/10.1029/2020JF005878</t>
  </si>
  <si>
    <t>https://doi.org/10.1130/G51326.1;  https://doi.org/10.1029/2020JF005879</t>
  </si>
  <si>
    <t>https://doi.org/10.1130/G51326.1;  https://doi.org/10.1029/2020JF005880</t>
  </si>
  <si>
    <t>https://doi.org/10.1130/G51326.1;  https://doi.org/10.1029/2020JF005881</t>
  </si>
  <si>
    <t>https://doi.org/10.5194/tc-13-2935-2019</t>
  </si>
  <si>
    <t>https://doi.org/10.5194/tc-13-2935-2020</t>
  </si>
  <si>
    <t>https://doi.org/10.5194/tc-13-2935-2021</t>
  </si>
  <si>
    <t>https://doi.org/10.5194/tc-13-2935-2022</t>
  </si>
  <si>
    <t>https://doi.org/10.5194/tc-13-2935-2023</t>
  </si>
  <si>
    <t>https://doi.org/10.5194/tc-13-2935-2024</t>
  </si>
  <si>
    <t>https://doi.org/10.5194/tc-13-2935-2025</t>
  </si>
  <si>
    <t>https://doi.org/10.5194/tc-13-2935-2026</t>
  </si>
  <si>
    <t>https://doi.org/10.5194/tc-13-2935-2027</t>
  </si>
  <si>
    <t>https://doi.org/10.5194/tc-13-2935-2028</t>
  </si>
  <si>
    <t>https://doi.org/10.5194/tc-13-2935-2029</t>
  </si>
  <si>
    <t>https://doi.org/10.5194/tc-13-2935-2030</t>
  </si>
  <si>
    <t>https://doi.org/10.5194/tc-13-2935-2031</t>
  </si>
  <si>
    <t>https://doi.org/10.5194/tc-13-2935-2032</t>
  </si>
  <si>
    <t>https://doi.org/10.5194/tc-13-2935-2033</t>
  </si>
  <si>
    <t>https://doi.org/10.5194/tc-13-2935-2034</t>
  </si>
  <si>
    <t>https://doi.org/10.5194/tc-13-2935-2035</t>
  </si>
  <si>
    <t>https://doi.org/10.5194/tc-13-2935-2036</t>
  </si>
  <si>
    <t>https://doi.org/10.5194/tc-13-2935-2037</t>
  </si>
  <si>
    <t>https://doi.org/10.5194/tc-13-2935-2038</t>
  </si>
  <si>
    <t>https://doi.org/10.5194/tc-13-2935-2039</t>
  </si>
  <si>
    <t>https://doi.org/10.5194/tc-13-2935-2040</t>
  </si>
  <si>
    <t>https://doi.org/10.5194/tc-13-2935-2041</t>
  </si>
  <si>
    <t>https://doi.org/10.5194/tc-13-2935-2042</t>
  </si>
  <si>
    <t>https://doi.org/10.5194/tc-13-2935-2043</t>
  </si>
  <si>
    <t>https://doi.org/10.5194/tc-13-2935-2044</t>
  </si>
  <si>
    <t>https://doi.org/10.5194/tc-13-2935-2045</t>
  </si>
  <si>
    <t>https://doi.org/10.5194/tc-13-2935-2046</t>
  </si>
  <si>
    <t>https://doi.org/10.5194/tc-13-2935-2047</t>
  </si>
  <si>
    <t>https://doi.org/10.5194/tc-13-2935-2048</t>
  </si>
  <si>
    <t>https://doi.org/10.5194/tc-13-2935-2049</t>
  </si>
  <si>
    <t>https://doi.org/10.5194/tc-13-2935-2050</t>
  </si>
  <si>
    <t>https://doi.org/10.5194/tc-13-2935-2051</t>
  </si>
  <si>
    <t>https://doi.org/10.5194/tc-13-2935-2052</t>
  </si>
  <si>
    <t>https://doi.org/10.5194/tc-13-2935-2053</t>
  </si>
  <si>
    <t>https://doi.org/10.5194/tc-13-2935-2054</t>
  </si>
  <si>
    <t>https://doi.org/10.5194/tc-13-2935-2055</t>
  </si>
  <si>
    <t>https://doi.org/10.5194/tc-13-2935-2056</t>
  </si>
  <si>
    <t>https://doi.org/10.5194/tc-13-2935-2057</t>
  </si>
  <si>
    <t>https://doi.org/10.5194/tc-13-2935-2058</t>
  </si>
  <si>
    <t>https://doi.org/10.5194/tc-13-2935-2059</t>
  </si>
  <si>
    <t>https://doi.org/10.5194/tc-13-2935-2060</t>
  </si>
  <si>
    <t>https://doi.org/10.5194/tc-13-2935-2061</t>
  </si>
  <si>
    <t>https://doi.org/10.5194/tc-13-2935-2062</t>
  </si>
  <si>
    <t>https://doi.org/10.5194/tc-13-2935-2063</t>
  </si>
  <si>
    <t>https://doi.org/10.5194/tc-13-2935-2064</t>
  </si>
  <si>
    <t>https://doi.org/10.5194/tc-13-2935-2065</t>
  </si>
  <si>
    <t>https://doi.org/10.5194/tc-13-2935-2066</t>
  </si>
  <si>
    <t>https://doi.org/10.5194/tc-13-2935-2067</t>
  </si>
  <si>
    <t>https://doi.org/10.5194/tc-13-2935-2068</t>
  </si>
  <si>
    <t>https://doi.org/10.5194/tc-13-2935-2069</t>
  </si>
  <si>
    <t>https://doi.org/10.5194/tc-13-2935-2070</t>
  </si>
  <si>
    <t>https://doi.org/10.5194/tc-13-2935-2071</t>
  </si>
  <si>
    <t>https://doi.org/10.5194/tc-13-2935-2072</t>
  </si>
  <si>
    <t>https://doi.org/10.5194/tc-13-2935-2073</t>
  </si>
  <si>
    <t>https://doi.org/10.5194/tc-13-2935-2074</t>
  </si>
  <si>
    <t>https://doi.org/10.5194/tc-13-2935-2075</t>
  </si>
  <si>
    <t>https://doi.org/10.5194/tc-13-2935-2076</t>
  </si>
  <si>
    <t>https://doi.org/10.5194/tc-13-2935-2077</t>
  </si>
  <si>
    <t>https://doi.org/10.5194/tc-15-3329-2021</t>
  </si>
  <si>
    <t>https://doi.org/10.5194/tc-15-3329-2022</t>
  </si>
  <si>
    <t>https://doi.org/10.5194/tc-15-3329-2023</t>
  </si>
  <si>
    <t>https://doi.org/10.5194/tc-15-3329-2024</t>
  </si>
  <si>
    <t>https://doi.org/10.5194/tc-15-3329-2025</t>
  </si>
  <si>
    <t>https://doi.org/10.5194/tc-15-3329-2026</t>
  </si>
  <si>
    <t>https://doi.org/10.5194/tc-15-3329-2027</t>
  </si>
  <si>
    <t>https://doi.org/10.5194/tc-15-3329-2028</t>
  </si>
  <si>
    <t>https://doi.org/10.5194/tc-15-3329-2029</t>
  </si>
  <si>
    <t>https://doi.org/10.5194/tc-15-3329-2030</t>
  </si>
  <si>
    <t>https://doi.org/10.5194/tc-15-3329-2031</t>
  </si>
  <si>
    <t>https://doi.org/10.5194/tc-15-3329-2032</t>
  </si>
  <si>
    <t>https://doi.org/10.5194/tc-15-3329-2033</t>
  </si>
  <si>
    <t>https://doi.org/10.5194/tc-15-3329-2034</t>
  </si>
  <si>
    <t>https://doi.org/10.5194/tc-15-3329-2035</t>
  </si>
  <si>
    <t>https://doi.org/10.5194/tc-15-3329-2036</t>
  </si>
  <si>
    <t>https://doi.org/10.5194/tc-15-3329-2037</t>
  </si>
  <si>
    <t>https://doi.org/10.5194/tc-15-3329-2038</t>
  </si>
  <si>
    <t>https://doi.org/10.5194/tc-15-3329-2039</t>
  </si>
  <si>
    <t>https://doi.org/10.5194/tc-15-3329-2040</t>
  </si>
  <si>
    <t>https://doi.org/10.5194/tc-15-3329-2041</t>
  </si>
  <si>
    <t>https://doi.org/10.5194/tc-15-3329-2042</t>
  </si>
  <si>
    <t>https://doi.org/10.5194/tc-15-3329-2043</t>
  </si>
  <si>
    <t>https://doi.org/10.5194/tc-15-3329-2044</t>
  </si>
  <si>
    <t>https://doi.org/10.5194/tc-15-3329-2045</t>
  </si>
  <si>
    <t>https://doi.org/10.5194/tc-15-3329-2046</t>
  </si>
  <si>
    <t>https://doi.org/10.5194/tc-15-3329-2047</t>
  </si>
  <si>
    <t>https://doi.org/10.5194/tc-15-3329-2048</t>
  </si>
  <si>
    <t>https://doi.org/10.5194/tc-15-3329-2049</t>
  </si>
  <si>
    <t>https://doi.org/10.5194/tc-15-3329-2050</t>
  </si>
  <si>
    <t>https://doi.org/10.5194/tc-15-3329-2051</t>
  </si>
  <si>
    <t>https://doi.org/10.5194/tc-15-3329-2052</t>
  </si>
  <si>
    <t>https://doi.org/10.5194/tc-15-3329-2053</t>
  </si>
  <si>
    <t>https://doi.org/10.5194/tc-15-3329-2054</t>
  </si>
  <si>
    <t>https://doi.org/10.5194/tc-15-3329-2055</t>
  </si>
  <si>
    <t>https://doi.org/10.5194/tc-15-3329-2056</t>
  </si>
  <si>
    <t>https://doi.org/10.5194/tc-15-3329-2057</t>
  </si>
  <si>
    <t>https://doi.org/10.5194/tc-15-3329-2058</t>
  </si>
  <si>
    <t>https://doi.org/10.5194/tc-15-3329-2059</t>
  </si>
  <si>
    <t>https://doi.org/10.5194/tc-15-3329-2060</t>
  </si>
  <si>
    <t>https://doi.org/10.5194/tc-15-3329-2061</t>
  </si>
  <si>
    <t>https://doi.org/10.5194/tc-15-3329-2062</t>
  </si>
  <si>
    <t>https://doi.org/10.5194/tc-15-3329-2063</t>
  </si>
  <si>
    <t>https://doi.org/10.5194/tc-15-3329-2064</t>
  </si>
  <si>
    <t>https://doi.org/10.5194/tc-15-3329-2065</t>
  </si>
  <si>
    <t>https://doi.org/10.5194/tc-15-3329-2066</t>
  </si>
  <si>
    <t>https://doi.org/10.5194/tc-15-3329-2067</t>
  </si>
  <si>
    <t>https://doi.org/10.5194/tc-15-3329-2068</t>
  </si>
  <si>
    <t>https://doi.org/10.5194/tc-15-3329-2069</t>
  </si>
  <si>
    <t>https://doi.org/10.5194/tc-15-3329-2070</t>
  </si>
  <si>
    <t>https://doi.org/10.5194/tc-15-3329-2071</t>
  </si>
  <si>
    <t>https://doi.org/10.5194/tc-15-3329-2072</t>
  </si>
  <si>
    <t>https://doi.org/10.5194/tc-15-3329-2073</t>
  </si>
  <si>
    <t>https://doi.org/10.5194/tc-15-3329-2074</t>
  </si>
  <si>
    <t>https://doi.org/10.5194/tc-15-3329-2075</t>
  </si>
  <si>
    <t>https://doi.org/10.5194/tc-15-3329-2076</t>
  </si>
  <si>
    <t>https://doi.org/10.5194/tc-15-3329-2077</t>
  </si>
  <si>
    <t>https://doi.org/10.5194/tc-15-3329-2078</t>
  </si>
  <si>
    <t>https://doi.org/10.5194/tc-15-3329-2079</t>
  </si>
  <si>
    <t>https://doi.org/10.5194/tc-15-3329-2080</t>
  </si>
  <si>
    <t>https://doi.org/10.5194/tc-15-3329-2081</t>
  </si>
  <si>
    <t>https://doi.org/10.5194/tc-15-3329-2082</t>
  </si>
  <si>
    <t>https://www.nature.com/articles/ncomms9910</t>
  </si>
  <si>
    <t>https://doi.org/10.5194/tc-15-5447-2022</t>
  </si>
  <si>
    <t>https://doi.org/10.5194/tc-15-5447-2023</t>
  </si>
  <si>
    <t>https://doi.org/10.5194/tc-15-5447-2024</t>
  </si>
  <si>
    <t>https://doi.org/10.5194/tc-15-5447-2025</t>
  </si>
  <si>
    <t>https://doi.org/10.5194/tc-15-5447-2026</t>
  </si>
  <si>
    <t>https://doi.org/10.5194/tc-15-5447-2027</t>
  </si>
  <si>
    <t>https://doi.org/10.5194/tc-15-5447-2028</t>
  </si>
  <si>
    <t>https://doi.org/10.5194/tc-15-5447-2029</t>
  </si>
  <si>
    <t>https://doi.org/10.5194/tc-15-5447-2030</t>
  </si>
  <si>
    <t>https://doi.org/10.5194/tc-15-5447-2031</t>
  </si>
  <si>
    <t>https://doi.org/10.5194/tc-15-5447-2032</t>
  </si>
  <si>
    <t>https://doi.org/10.5194/tc-15-5447-2033</t>
  </si>
  <si>
    <t>https://doi.org/10.5194/tc-15-5447-2034</t>
  </si>
  <si>
    <t>https://doi.org/10.5194/tc-15-5447-2035</t>
  </si>
  <si>
    <t>https://doi.org/10.5194/tc-15-5447-2036</t>
  </si>
  <si>
    <t>https://doi.org/10.5194/tc-15-5447-2037</t>
  </si>
  <si>
    <t>https://doi.org/10.5194/tc-15-5447-2038</t>
  </si>
  <si>
    <t>https://doi.org/10.5194/tc-15-5447-2039</t>
  </si>
  <si>
    <t>https://doi.org/10.5194/tc-15-5447-2040</t>
  </si>
  <si>
    <t>https://doi.org/10.5194/tc-15-5447-2041</t>
  </si>
  <si>
    <t>https://doi.org/10.5194/tc-15-5447-2042</t>
  </si>
  <si>
    <t>https://doi.org/10.5194/tc-15-5447-2043</t>
  </si>
  <si>
    <t>https://doi.org/10.5194/tc-15-5447-2044</t>
  </si>
  <si>
    <t>https://doi.org/10.5194/tc-15-5447-2045</t>
  </si>
  <si>
    <t>https://doi.org/10.5194/tc-15-5447-2046</t>
  </si>
  <si>
    <t>https://doi.org/10.1016/j.quascirev.2019.105897</t>
  </si>
  <si>
    <t>https://doi.org/10.1016/j.quascirev.2019.105898</t>
  </si>
  <si>
    <t>https://doi.org/10.1016/j.quascirev.2019.105899</t>
  </si>
  <si>
    <t>https://doi.org/10.1016/j.quascirev.2019.105900</t>
  </si>
  <si>
    <t>https://doi.org/10.1016/j.quascirev.2019.105901</t>
  </si>
  <si>
    <t>https://doi.org/10.1016/j.quascirev.2019.105902</t>
  </si>
  <si>
    <t>https://doi.org/10.1016/j.quascirev.2019.105903</t>
  </si>
  <si>
    <t>https://doi.org/10.1016/j.quascirev.2019.105904</t>
  </si>
  <si>
    <t>https://doi.org/10.1016/j.quascirev.2019.105905</t>
  </si>
  <si>
    <t>https://doi.org/10.1016/j.quascirev.2019.105906</t>
  </si>
  <si>
    <t>https://doi.org/10.1016/j.quascirev.2019.105907</t>
  </si>
  <si>
    <t>https://doi.org/10.1016/j.quascirev.2019.105908</t>
  </si>
  <si>
    <t>https://doi.org/10.1016/j.quascirev.2019.105909</t>
  </si>
  <si>
    <t>https://doi.org/10.1016/j.quascirev.2019.105910</t>
  </si>
  <si>
    <t>https://doi.org/10.1016/j.quascirev.2019.105911</t>
  </si>
  <si>
    <t>https://doi.org/10.1016/j.quascirev.2019.105912</t>
  </si>
  <si>
    <t>https://doi.org/10.1016/j.quascirev.2020.106305</t>
  </si>
  <si>
    <t>https://egusphere.copernicus.org/preprints/2024/egusphere-2024-2674/</t>
  </si>
  <si>
    <t>https://intranet.ess.uw.edu/content/people/student_publications_files/todd--claire-e/3289774.pdf</t>
  </si>
  <si>
    <t>https://doi.org/10.5194/tc-13-2935-2078</t>
  </si>
  <si>
    <t>https://doi.org/10.5194/tc-13-2935-2079</t>
  </si>
  <si>
    <t>https://doi.org/10.5194/tc-13-2935-2080</t>
  </si>
  <si>
    <t>https://doi.org/10.5194/tc-13-2935-2081</t>
  </si>
  <si>
    <t>https://doi.org/10.5194/tc-13-2935-2082</t>
  </si>
  <si>
    <t>https://doi.org/10.5194/tc-13-2935-2083</t>
  </si>
  <si>
    <t>https://doi.org/10.5194/tc-13-2935-2084</t>
  </si>
  <si>
    <t>https://doi.org/10.5194/tc-13-2935-2085</t>
  </si>
  <si>
    <t>https://doi.org/10.5194/tc-13-2935-2086</t>
  </si>
  <si>
    <t>https://doi.org/10.5194/tc-13-2935-2087</t>
  </si>
  <si>
    <t>https://doi.org/10.5194/tc-13-2935-2088</t>
  </si>
  <si>
    <t>https://doi.org/10.5194/tc-13-2935-2089</t>
  </si>
  <si>
    <t>https://doi.org/10.5194/tc-13-2935-2090</t>
  </si>
  <si>
    <t>https://doi.org/10.5194/tc-13-2935-2091</t>
  </si>
  <si>
    <t>https://doi.org/10.5194/tc-13-2935-2092</t>
  </si>
  <si>
    <t>https://doi.org/10.5194/tc-13-2935-2093</t>
  </si>
  <si>
    <t>https://doi.org/10.5194/tc-13-2935-2094</t>
  </si>
  <si>
    <t>https://doi.org/10.5194/tc-13-2935-2095</t>
  </si>
  <si>
    <t>https://doi.org/10.5194/tc-13-2935-2096</t>
  </si>
  <si>
    <t>https://doi.org/10.5194/tc-13-2935-2097</t>
  </si>
  <si>
    <t>https://doi.org/10.5194/tc-13-2935-2098</t>
  </si>
  <si>
    <t>https://doi.org/10.1002/jqs.1465; https://egusphere.copernicus.org/preprints/2024/egusphere-2024-275/egusphere-2024-275.pdf</t>
  </si>
  <si>
    <t>https://doi.org/10.1016/j.quascirev.2013.07.025</t>
  </si>
  <si>
    <t>https://doi.org/10.1016/j.quascirev.2013.07.026</t>
  </si>
  <si>
    <t>https://doi.org/10.1016/j.quascirev.2013.07.027</t>
  </si>
  <si>
    <t>https://doi.org/10.1016/j.quascirev.2013.07.028</t>
  </si>
  <si>
    <t>https://doi.org/10.1016/j.quascirev.2013.07.029</t>
  </si>
  <si>
    <t>https://doi.org/10.1016/j.quascirev.2013.07.030</t>
  </si>
  <si>
    <t>https://doi.org/10.1016/j.quascirev.2013.07.031</t>
  </si>
  <si>
    <t>https://doi.org/10.1016/j.quascirev.2013.07.032</t>
  </si>
  <si>
    <t>https://doi.org/10.1016/j.quascirev.2013.07.033</t>
  </si>
  <si>
    <t>https://doi.org/10.1016/j.quascirev.2013.07.034</t>
  </si>
  <si>
    <t>https://doi.org/10.1016/j.quascirev.2013.07.035</t>
  </si>
  <si>
    <t>https://doi.org/10.1016/j.quascirev.2013.07.036</t>
  </si>
  <si>
    <t>&gt;700 thicker than today (1100 m asl)</t>
  </si>
  <si>
    <t>https://doi.org/10.1016/j.quascirev.2013.07.037</t>
  </si>
  <si>
    <t>https://doi.org/10.1016/j.quascirev.2013.07.038</t>
  </si>
  <si>
    <t>https://doi.org/10.1016/j.quascirev.2013.07.039</t>
  </si>
  <si>
    <t>https://doi.org/10.1016/j.quascirev.2013.07.040</t>
  </si>
  <si>
    <t>https://doi.org/10.1016/j.quascirev.2013.07.041</t>
  </si>
  <si>
    <t>https://doi.org/10.1016/j.quascirev.2013.07.042</t>
  </si>
  <si>
    <t>https://doi.org/10.1016/j.quascirev.2013.07.043</t>
  </si>
  <si>
    <t>https://doi.org/10.1016/j.quascirev.2013.07.044</t>
  </si>
  <si>
    <t>https://doi.org/10.1016/j.quascirev.2013.07.045</t>
  </si>
  <si>
    <t>https://doi.org/10.1016/j.quascirev.2013.07.046</t>
  </si>
  <si>
    <t>https://doi.org/10.1016/j.quascirev.2013.07.047</t>
  </si>
  <si>
    <t>https://doi.org/10.1016/j.quascirev.2013.07.048</t>
  </si>
  <si>
    <t>https://doi.org/10.1016/j.quascirev.2013.07.049</t>
  </si>
  <si>
    <t>https://doi.org/10.1016/j.quascirev.2013.07.050</t>
  </si>
  <si>
    <t>https://doi.org/10.1016/j.quascirev.2013.07.051</t>
  </si>
  <si>
    <t>https://doi.org/10.1016/j.quascirev.2013.07.052</t>
  </si>
  <si>
    <t>https://doi.org/10.1016/j.quascirev.2013.07.053</t>
  </si>
  <si>
    <t>https://doi.org/10.1016/j.quascirev.2013.07.054</t>
  </si>
  <si>
    <t>https://doi.org/10.1016/j.quascirev.2013.07.055</t>
  </si>
  <si>
    <t>https://doi.org/10.1016/j.quascirev.2013.07.056</t>
  </si>
  <si>
    <t>https://doi.org/10.1016/j.quascirev.2013.07.057</t>
  </si>
  <si>
    <t>https://doi.org/10.1016/j.quascirev.2013.07.058</t>
  </si>
  <si>
    <t>https://doi.org/10.1016/j.quascirev.2013.07.059</t>
  </si>
  <si>
    <t>https://doi.org/10.1016/j.quascirev.2013.07.060</t>
  </si>
  <si>
    <t>https://doi.org/10.1016/j.quascirev.2013.07.061</t>
  </si>
  <si>
    <t>https://doi.org/10.1016/j.quascirev.2013.07.062</t>
  </si>
  <si>
    <t>https://doi.org/10.1016/j.quascirev.2013.07.063</t>
  </si>
  <si>
    <t>https://doi.org/10.1016/j.quascirev.2013.07.064</t>
  </si>
  <si>
    <t>https://doi.org/10.1016/j.quascirev.2013.07.065</t>
  </si>
  <si>
    <t>https://doi.org/10.1016/j.quascirev.2013.07.066</t>
  </si>
  <si>
    <t>https://doi.org/10.1016/j.quascirev.2013.07.067</t>
  </si>
  <si>
    <t>https://doi.org/10.1016/j.quascirev.2013.07.068</t>
  </si>
  <si>
    <t>https://doi.org/10.1016/j.quascirev.2013.07.069</t>
  </si>
  <si>
    <t>https://doi.org/10.1016/j.quascirev.2013.07.070</t>
  </si>
  <si>
    <t>https://doi.org/10.1016/j.quascirev.2013.07.071</t>
  </si>
  <si>
    <t>https://doi.org/10.1016/j.quascirev.2013.07.072</t>
  </si>
  <si>
    <t>https://doi.org/10.1016/j.quascirev.2013.07.073</t>
  </si>
  <si>
    <t>https://doi.org/10.1016/j.quascirev.2013.07.074</t>
  </si>
  <si>
    <t>https://doi.org/10.1016/j.quascirev.2013.07.075</t>
  </si>
  <si>
    <t>https://doi.org/10.1016/j.quascirev.2013.07.076</t>
  </si>
  <si>
    <t>https://doi.org/10.1016/j.quascirev.2013.07.077</t>
  </si>
  <si>
    <t>https://doi.org/10.1016/j.quascirev.2013.07.078</t>
  </si>
  <si>
    <t>https://doi.org/10.1016/j.quascirev.2013.07.079</t>
  </si>
  <si>
    <t>https://doi.org/10.1016/j.quascirev.2013.07.080</t>
  </si>
  <si>
    <t>https://doi.org/10.1016/j.quascirev.2013.07.081</t>
  </si>
  <si>
    <t>https://doi.org/10.1016/j.quascirev.2013.07.082</t>
  </si>
  <si>
    <t>https://doi.org/10.1016/j.quascirev.2013.07.083</t>
  </si>
  <si>
    <t>https://doi.org/10.1016/j.quascirev.2013.07.084</t>
  </si>
  <si>
    <t>https://doi.org/10.1016/j.quascirev.2013.07.085</t>
  </si>
  <si>
    <t>https://doi.org/10.1016/j.quascirev.2013.07.086</t>
  </si>
  <si>
    <t>https://doi.org/10.1016/j.quascirev.2013.07.087</t>
  </si>
  <si>
    <t>https://doi.org/10.1016/j.quascirev.2013.07.088</t>
  </si>
  <si>
    <t>https://doi.org/10.1016/j.quascirev.2013.07.089</t>
  </si>
  <si>
    <t>https://doi.org/10.1016/j.quascirev.2013.07.090</t>
  </si>
  <si>
    <t>https://doi.org/10.1016/j.quascirev.2013.07.091</t>
  </si>
  <si>
    <t>https://doi.org/10.1016/j.quascirev.2013.07.092</t>
  </si>
  <si>
    <t>https://doi.org/10.1016/j.quascirev.2013.07.093</t>
  </si>
  <si>
    <t>https://doi.org/10.1016/j.quascirev.2013.07.094</t>
  </si>
  <si>
    <t>https://doi.org/10.1016/j.quascirev.2013.07.095</t>
  </si>
  <si>
    <t>https://doi.org/10.1016/j.quascirev.2013.07.096</t>
  </si>
  <si>
    <t>https://doi.org/10.1016/j.quascirev.2013.07.097</t>
  </si>
  <si>
    <t>https://doi.org/10.1016/j.quascirev.2013.07.098</t>
  </si>
  <si>
    <t>https://doi.org/10.1016/j.quascirev.2013.07.099</t>
  </si>
  <si>
    <t>https://doi.org/10.1016/j.quascirev.2013.07.100</t>
  </si>
  <si>
    <t>https://doi.org/10.1016/j.quascirev.2013.07.101</t>
  </si>
  <si>
    <t>160 m of ice thinning occurred over the past 23 kyr.</t>
  </si>
  <si>
    <t>https://doi.org/10.1130/G23503A.1; https://doi.org/10.1016/j.quascirev.2013.07.078</t>
  </si>
  <si>
    <t>https://doi.org/10.1130/G23503A.1; https://doi.org/10.1016/j.quascirev.2013.07.079</t>
  </si>
  <si>
    <t>https://doi.org/10.1130/G23503A.1; https://doi.org/10.1016/j.quascirev.2013.07.080</t>
  </si>
  <si>
    <t>https://doi.org/10.1130/G23503A.1; https://doi.org/10.1016/j.quascirev.2013.07.081</t>
  </si>
  <si>
    <t>https://doi.org/10.1130/G23503A.1; https://doi.org/10.1016/j.quascirev.2013.07.082</t>
  </si>
  <si>
    <t>https://doi.org/10.1016/j.yqres.2009.04.001</t>
  </si>
  <si>
    <t>https://doi.org/10.1016/j.yqres.2009.04.002</t>
  </si>
  <si>
    <t>https://doi.org/10.1016/j.yqres.2009.04.003</t>
  </si>
  <si>
    <t>https://doi.org/10.1016/j.yqres.2009.04.004</t>
  </si>
  <si>
    <t>https://doi.org/10.1016/j.yqres.2009.04.005</t>
  </si>
  <si>
    <t>https://doi.org/10.1016/j.yqres.2009.04.006</t>
  </si>
  <si>
    <t>https://doi.org/10.1016/j.yqres.2009.04.007</t>
  </si>
  <si>
    <t>https://doi.org/10.1016/j.yqres.2009.04.008</t>
  </si>
  <si>
    <t>https://doi.org/10.1016/j.yqres.2009.04.009</t>
  </si>
  <si>
    <t>https://doi.org/10.1016/j.yqres.2009.04.010</t>
  </si>
  <si>
    <t>https://doi.org/10.1016/j.yqres.2009.04.011</t>
  </si>
  <si>
    <t>https://doi.org/10.1016/j.yqres.2009.04.012</t>
  </si>
  <si>
    <t>https://doi.org/10.1016/j.yqres.2009.04.013</t>
  </si>
  <si>
    <t>https://doi.org/10.1016/j.yqres.2009.04.014</t>
  </si>
  <si>
    <t>https://doi.org/10.1016/j.yqres.2009.04.015</t>
  </si>
  <si>
    <t>https://doi.org/10.1016/j.yqres.2009.04.016</t>
  </si>
  <si>
    <t>https://doi.org/10.1016/j.yqres.2009.04.017</t>
  </si>
  <si>
    <t>https://doi.org/10.1016/j.yqres.2009.04.018</t>
  </si>
  <si>
    <t>https://doi.org/10.1016/j.yqres.2009.04.019</t>
  </si>
  <si>
    <t>https://doi.org/10.1016/j.yqres.2009.04.020</t>
  </si>
  <si>
    <t>https://doi.org/10.1016/j.yqres.2009.04.021</t>
  </si>
  <si>
    <t>https://doi.org/10.1016/j.yqres.2009.04.022</t>
  </si>
  <si>
    <t>https://doi.org/10.1016/j.yqres.2009.04.023</t>
  </si>
  <si>
    <t>https://doi.org/10.1016/j.yqres.2009.04.024</t>
  </si>
  <si>
    <t>https://doi.org/10.1016/j.yqres.2009.04.025</t>
  </si>
  <si>
    <t>https://doi.org/10.1016/j.yqres.2009.04.026</t>
  </si>
  <si>
    <t>https://doi.org/10.1016/j.yqres.2009.04.027</t>
  </si>
  <si>
    <t>https://doi.org/10.1016/j.yqres.2009.04.028</t>
  </si>
  <si>
    <t>https://doi.org/10.1016/j.yqres.2009.04.029</t>
  </si>
  <si>
    <t>https://doi.org/10.1016/j.yqres.2009.04.030</t>
  </si>
  <si>
    <t>https://doi.org/10.1016/j.yqres.2009.04.031</t>
  </si>
  <si>
    <t>https://doi.org/10.1016/j.yqres.2009.04.032</t>
  </si>
  <si>
    <t>https://doi.org/10.1016/j.yqres.2009.04.033</t>
  </si>
  <si>
    <t>https://doi.org/10.1016/j.yqres.2009.04.034</t>
  </si>
  <si>
    <t>https://doi.org/10.1016/j.yqres.2009.04.035</t>
  </si>
  <si>
    <t>https://doi.org/10.1016/j.yqres.2009.04.036</t>
  </si>
  <si>
    <t>https://doi.org/10.1016/j.yqres.2009.04.037</t>
  </si>
  <si>
    <t>https://doi.org/10.1016/j.yqres.2009.04.038</t>
  </si>
  <si>
    <t>https://doi.org/10.1016/j.yqres.2009.04.039</t>
  </si>
  <si>
    <t>https://doi.org/10.1016/j.yqres.2009.04.040</t>
  </si>
  <si>
    <t>https://doi.org/10.1016/j.yqres.2009.04.041</t>
  </si>
  <si>
    <t>https://doi.org/10.1016/j.yqres.2009.04.042</t>
  </si>
  <si>
    <t>https://doi.org/10.1016/j.yqres.2009.04.043</t>
  </si>
  <si>
    <t>https://doi.org/10.1016/j.yqres.2009.04.044</t>
  </si>
  <si>
    <t>https://doi.org/10.1016/j.yqres.2009.04.045</t>
  </si>
  <si>
    <t>https://doi.org/10.1016/j.yqres.2009.04.046</t>
  </si>
  <si>
    <t>https://doi.org/10.1016/j.yqres.2009.04.047</t>
  </si>
  <si>
    <t>https://doi.org/10.1016/j.epsl.2020.116501</t>
  </si>
  <si>
    <t>https://doi.org/10.1016/j.epsl.2020.116502</t>
  </si>
  <si>
    <t>https://doi.org/10.1016/j.epsl.2020.116503</t>
  </si>
  <si>
    <t>https://doi.org/10.1016/j.epsl.2020.116504</t>
  </si>
  <si>
    <t>https://doi.org/10.1016/j.epsl.2020.116505</t>
  </si>
  <si>
    <t>https://doi.org/10.1016/j.epsl.2020.116506</t>
  </si>
  <si>
    <t>https://doi.org/10.1016/j.epsl.2020.116507</t>
  </si>
  <si>
    <t>https://doi.org/10.1016/j.epsl.2020.116508</t>
  </si>
  <si>
    <t>https://doi.org/10.1016/j.epsl.2020.116509</t>
  </si>
  <si>
    <t>https://doi.org/10.1016/j.epsl.2020.116510</t>
  </si>
  <si>
    <t>https://doi.org/10.1016/j.epsl.2020.116511</t>
  </si>
  <si>
    <t>https://doi.org/10.1016/j.epsl.2020.116512</t>
  </si>
  <si>
    <t>https://doi.org/10.1016/j.epsl.2020.116513</t>
  </si>
  <si>
    <t>https://doi.org/10.1016/j.epsl.2020.116514</t>
  </si>
  <si>
    <t>https://doi.org/10.1016/j.epsl.2020.116515</t>
  </si>
  <si>
    <t>https://doi.org/10.1016/j.epsl.2020.116516</t>
  </si>
  <si>
    <t>https://doi.org/10.1016/j.epsl.2020.116517</t>
  </si>
  <si>
    <t>https://doi.org/10.1016/j.epsl.2020.116518</t>
  </si>
  <si>
    <t>https://doi.org/10.1016/j.epsl.2020.116519</t>
  </si>
  <si>
    <t>https://doi.org/10.1016/j.epsl.2020.116520</t>
  </si>
  <si>
    <t>https://doi.org/10.1016/j.epsl.2020.116521</t>
  </si>
  <si>
    <t>https://doi.org/10.1016/j.epsl.2020.116522</t>
  </si>
  <si>
    <t>https://doi.org/10.1016/j.epsl.2020.116523</t>
  </si>
  <si>
    <t>https://doi.org/10.1016/j.epsl.2020.116524</t>
  </si>
  <si>
    <t>https://doi.org/10.1016/j.epsl.2020.116525</t>
  </si>
  <si>
    <t>https://doi.org/10.1016/j.epsl.2020.116526</t>
  </si>
  <si>
    <t>https://doi.org/10.1016/j.epsl.2020.116527</t>
  </si>
  <si>
    <t>https://doi.org/10.1016/j.epsl.2020.116528</t>
  </si>
  <si>
    <t>https://doi.org/10.1016/j.epsl.2020.116529</t>
  </si>
  <si>
    <t>https://doi.org/10.1016/j.epsl.2020.116530</t>
  </si>
  <si>
    <t>https://doi.org/10.1016/j.epsl.2020.116531</t>
  </si>
  <si>
    <t>https://doi.org/10.1016/j.epsl.2020.116532</t>
  </si>
  <si>
    <t>https://doi.org/10.1016/j.epsl.2020.116533</t>
  </si>
  <si>
    <t>https://doi.org/10.1016/j.epsl.2020.116534</t>
  </si>
  <si>
    <t>https://doi.org/10.1016/j.epsl.2020.116535</t>
  </si>
  <si>
    <t>https://doi.org/10.1016/j.epsl.2020.116536</t>
  </si>
  <si>
    <t>https://doi.org/10.1016/j.epsl.2020.116537</t>
  </si>
  <si>
    <t>https://doi.org/10.1016/j.epsl.2020.116538</t>
  </si>
  <si>
    <t>https://doi.org/10.1016/j.epsl.2020.116539</t>
  </si>
  <si>
    <t>https://doi.org/10.1016/j.epsl.2020.116540</t>
  </si>
  <si>
    <t>https://doi.org/10.1016/j.epsl.2020.116541</t>
  </si>
  <si>
    <t>https://doi.org/10.1016/j.epsl.2020.116542</t>
  </si>
  <si>
    <t>https://doi.org/10.1016/j.epsl.2020.116543</t>
  </si>
  <si>
    <t>https://doi.org/10.1016/j.epsl.2020.116544</t>
  </si>
  <si>
    <t>https://doi.org/10.1016/j.epsl.2020.116545</t>
  </si>
  <si>
    <t>https://doi.org/10.1016/j.epsl.2020.116546</t>
  </si>
  <si>
    <t>https://www.nature.com/articles/ncomms9910; https://doi.org/10.1016/j.quascirev.2020.106630</t>
  </si>
  <si>
    <t>https://doi.org/10.1016/j.quascirev.2020.106595</t>
  </si>
  <si>
    <t>https://doi.org/10.1016/j.quascirev.2020.106596</t>
  </si>
  <si>
    <t>https://doi.org/10.1016/j.quascirev.2020.106597</t>
  </si>
  <si>
    <t>https://doi.org/10.1016/j.quascirev.2020.106598</t>
  </si>
  <si>
    <t>https://doi.org/10.1016/j.quascirev.2020.106599</t>
  </si>
  <si>
    <t>https://doi.org/10.1016/j.quascirev.2020.106600</t>
  </si>
  <si>
    <t>https://doi.org/10.1016/j.quascirev.2020.106601</t>
  </si>
  <si>
    <t>https://doi.org/10.1016/j.quascirev.2020.106602</t>
  </si>
  <si>
    <t>https://doi.org/10.1016/j.quascirev.2020.106603</t>
  </si>
  <si>
    <t>https://doi.org/10.1016/j.quascirev.2020.106604</t>
  </si>
  <si>
    <t>https://doi.org/10.1016/j.quascirev.2020.106605</t>
  </si>
  <si>
    <t>https://doi.org/10.1016/j.quascirev.2020.106606</t>
  </si>
  <si>
    <t>https://doi.org/10.1016/j.quascirev.2020.106607</t>
  </si>
  <si>
    <t>https://doi.org/10.1016/j.quascirev.2020.106608</t>
  </si>
  <si>
    <t>https://doi.org/10.1016/j.quascirev.2020.106609</t>
  </si>
  <si>
    <t>https://doi.org/10.1016/j.quascirev.2020.106610</t>
  </si>
  <si>
    <t>https://doi.org/10.1016/j.quascirev.2020.106611</t>
  </si>
  <si>
    <t>https://doi.org/10.1016/j.quascirev.2020.106612</t>
  </si>
  <si>
    <t>https://doi.org/10.1016/j.quascirev.2020.106613</t>
  </si>
  <si>
    <t>https://doi.org/10.1016/j.quascirev.2020.106614</t>
  </si>
  <si>
    <t>https://doi.org/10.1016/j.quascirev.2020.106615</t>
  </si>
  <si>
    <t>https://doi.org/10.1016/j.quascirev.2020.106616</t>
  </si>
  <si>
    <t>https://doi.org/10.1016/j.quascirev.2020.106617</t>
  </si>
  <si>
    <t>https://doi.org/10.1016/j.quascirev.2020.106618</t>
  </si>
  <si>
    <t>https://doi.org/10.1016/j.quascirev.2020.106619</t>
  </si>
  <si>
    <t>https://doi.org/10.1016/j.quascirev.2020.106620</t>
  </si>
  <si>
    <t>https://doi.org/10.1016/j.quascirev.2020.106621</t>
  </si>
  <si>
    <t>https://doi.org/10.1016/j.quascirev.2020.106622</t>
  </si>
  <si>
    <t>https://doi.org/10.1016/j.quascirev.2020.106623</t>
  </si>
  <si>
    <t>https://doi.org/10.1016/j.quascirev.2020.106624</t>
  </si>
  <si>
    <t>https://doi.org/10.1016/j.quascirev.2020.106625</t>
  </si>
  <si>
    <t>https://doi.org/10.1016/j.quascirev.2020.106626</t>
  </si>
  <si>
    <t>https://doi.org/10.1016/j.quascirev.2020.106627</t>
  </si>
  <si>
    <t>https://doi.org/10.1016/j.quascirev.2020.106628</t>
  </si>
  <si>
    <t>https://doi.org/10.1016/j.quascirev.2020.106629</t>
  </si>
  <si>
    <t>https://doi.org/10.1016/j.quascirev.2020.106630</t>
  </si>
  <si>
    <t>https://mines.primo.exlibrisgroup.com/discovery/openurl?institution=01COLSCHL_INST&amp;vid=01COLSCHL_INST:MINES&amp;volume=319&amp;date=2019&amp;aulast=Balco&amp;issue=4&amp;issn=0002-9599&amp;spage=255&amp;id=doi:10.2475%2F04.2019.01&amp;auinit=G&amp;title=The%20American%20journal%20of%20science,%20%26%20c.&amp;atitle=Glacial%20geology%20and%20cosmogenic-nuclide%20exposure%20ages%20from%20the%20Tucker%20Glacier-Whitehall%20Glacier%20confluence,%20northern%20Victoria%20Land,%20Antarctica&amp;sid=google</t>
  </si>
  <si>
    <t>"A distinct trimline is present at ~500 m above sea level at Mount Riser-Larsen" "Well-preserved shorelines…indicate that this site may have remained ice-free during the LGM (Miura et al., 1998; Takada et al., 2023)"</t>
  </si>
  <si>
    <t>"This is confirmed by a recent TCN dating campaign, which suggests that the ice sheet in Skarvsnes was at least 360 m thick (Yamane et al., 2011)."</t>
  </si>
  <si>
    <t>https://doi.org/10.1016/j.quascirev.2013.07.024; https://doi.org/10.1016/j.quascirev.2013.07.055</t>
  </si>
  <si>
    <t>https://doi.org/10.1016/j.quascirev.2013.07.024; https://doi.org/10.1016/j.quascirev.2013.07.056</t>
  </si>
  <si>
    <t>https://doi.org/10.1016/j.quascirev.2013.07.024; https://doi.org/10.1016/j.quascirev.2013.07.057</t>
  </si>
  <si>
    <t>https://doi.org/10.1016/j.quascirev.2013.07.024; https://doi.org/10.1016/j.quascirev.2013.07.058</t>
  </si>
  <si>
    <t>"The East Antarctic Ice Sheet during the LGM extended at least 10 km farther than the present ice margin along the Southern Soya Coast and had an ince thickness of at least 400m"</t>
  </si>
  <si>
    <t>"The extent of Campbell glacier during the global LGM (90 m) was much smaller than previously assumed."</t>
  </si>
  <si>
    <t xml:space="preserve">https://doi.org/10.5194/tc-15-5447-2021 </t>
  </si>
  <si>
    <t>"That ice thickness during the LGM was considerably greater than 230 m, the maximum elevation at Hughes bluff (Frisia et al., 2017)."</t>
  </si>
  <si>
    <t>OS-110168</t>
  </si>
  <si>
    <t>OS-110170</t>
  </si>
  <si>
    <t>OS-110172</t>
  </si>
  <si>
    <t>OS-110174</t>
  </si>
  <si>
    <t>OS-111155</t>
  </si>
  <si>
    <t>OS-111156</t>
  </si>
  <si>
    <t>OS-111157</t>
  </si>
  <si>
    <t>OS-111158</t>
  </si>
  <si>
    <t>OS-111159</t>
  </si>
  <si>
    <t>OS-111160</t>
  </si>
  <si>
    <t>OS-111161</t>
  </si>
  <si>
    <t>OS-111162</t>
  </si>
  <si>
    <t>OS-111163</t>
  </si>
  <si>
    <t>OS-111164</t>
  </si>
  <si>
    <t>OS-111165</t>
  </si>
  <si>
    <t>OS-111166</t>
  </si>
  <si>
    <t>OS-111167</t>
  </si>
  <si>
    <t>OS-111168</t>
  </si>
  <si>
    <t>OS-111169</t>
  </si>
  <si>
    <t>OS-111893</t>
  </si>
  <si>
    <t>OS-111899</t>
  </si>
  <si>
    <t>OS-111900</t>
  </si>
  <si>
    <t>OS-111911</t>
  </si>
  <si>
    <t>OS-111916</t>
  </si>
  <si>
    <t>OS-117505</t>
  </si>
  <si>
    <t>OS-117507</t>
  </si>
  <si>
    <t>OS-117508</t>
  </si>
  <si>
    <t>OS-117509</t>
  </si>
  <si>
    <t>OS-117510</t>
  </si>
  <si>
    <t>OS-117511</t>
  </si>
  <si>
    <t>OS-117512</t>
  </si>
  <si>
    <t>OS-117513</t>
  </si>
  <si>
    <t>OS-117540</t>
  </si>
  <si>
    <t>OS-117541</t>
  </si>
  <si>
    <t>OS-117542</t>
  </si>
  <si>
    <t>OS-117543</t>
  </si>
  <si>
    <t>OS-117544</t>
  </si>
  <si>
    <t>OS-117545</t>
  </si>
  <si>
    <t>OS-117546</t>
  </si>
  <si>
    <t>OS-117548</t>
  </si>
  <si>
    <t>OS-117549</t>
  </si>
  <si>
    <t>OS-117550</t>
  </si>
  <si>
    <t>OS-117593</t>
  </si>
  <si>
    <t>OS-117594</t>
  </si>
  <si>
    <t>OS-117637</t>
  </si>
  <si>
    <t>https://www.ice-d.org/antarctica/sample/10-MPS-016-CSP/
https://www.ice-d.org/antarctica/sample/10-MPS-019-CSP/
https://www.ice-d.org/antarctica/sample/10-MPS-022-CSP/</t>
  </si>
  <si>
    <t>https://version2.ice-d.org/antarctica/sample/JS2010-R9-3-5/
https://version2.ice-d.org/antarctica/sample/JS2010-R9-3-7/</t>
  </si>
  <si>
    <r>
      <t>https://www.ice-d.org/antarctica/sample/Y2011-SV3-1/</t>
    </r>
    <r>
      <rPr>
        <sz val="10"/>
        <color theme="1"/>
        <rFont val="Arial"/>
        <family val="2"/>
        <scheme val="major"/>
      </rPr>
      <t xml:space="preserve">
</t>
    </r>
    <r>
      <rPr>
        <u/>
        <sz val="10"/>
        <color theme="1"/>
        <rFont val="Arial"/>
        <family val="2"/>
        <scheme val="major"/>
      </rPr>
      <t>https://www.ice-d.org/antarctica/sample/Y2011-SV4-2/</t>
    </r>
    <r>
      <rPr>
        <sz val="10"/>
        <color theme="1"/>
        <rFont val="Arial"/>
        <family val="2"/>
        <scheme val="major"/>
      </rPr>
      <t xml:space="preserve">
</t>
    </r>
    <r>
      <rPr>
        <u/>
        <sz val="10"/>
        <color theme="1"/>
        <rFont val="Arial"/>
        <family val="2"/>
        <scheme val="major"/>
      </rPr>
      <t>https://www.ice-d.org/antarctica/sample/Y2011-SV7-2/</t>
    </r>
    <r>
      <rPr>
        <sz val="10"/>
        <color theme="1"/>
        <rFont val="Arial"/>
        <family val="2"/>
        <scheme val="major"/>
      </rPr>
      <t xml:space="preserve">
</t>
    </r>
    <r>
      <rPr>
        <u/>
        <sz val="10"/>
        <color theme="1"/>
        <rFont val="Arial"/>
        <family val="2"/>
        <scheme val="major"/>
      </rPr>
      <t>https://www.ice-d.org/antarctica/sample/Y2011-SV9-2/</t>
    </r>
  </si>
  <si>
    <r>
      <t>https://version2.ice-d.org/antarctica/sample/W2022-VH-669b/</t>
    </r>
    <r>
      <rPr>
        <sz val="10"/>
        <color theme="1"/>
        <rFont val="Arial"/>
        <family val="2"/>
        <scheme val="major"/>
      </rPr>
      <t xml:space="preserve">
</t>
    </r>
    <r>
      <rPr>
        <u/>
        <sz val="10"/>
        <color theme="1"/>
        <rFont val="Arial"/>
        <family val="2"/>
        <scheme val="major"/>
      </rPr>
      <t>https://version2.ice-d.org/antarctica/sample/W2022-VH-670b/</t>
    </r>
  </si>
  <si>
    <r>
      <t>https://version2.ice-d.org/antarctica/sample/JS2017-MK-03/</t>
    </r>
    <r>
      <rPr>
        <sz val="10"/>
        <color theme="1"/>
        <rFont val="Arial"/>
        <family val="2"/>
        <scheme val="major"/>
      </rPr>
      <t xml:space="preserve">
</t>
    </r>
    <r>
      <rPr>
        <u/>
        <sz val="10"/>
        <color theme="1"/>
        <rFont val="Arial"/>
        <family val="2"/>
        <scheme val="major"/>
      </rPr>
      <t>https://version2.ice-d.org/antarctica/sample/JS2017-MK-05/</t>
    </r>
  </si>
  <si>
    <r>
      <t>https://version2.ice-d.org/antarctica/sample/R2020-IEI028/</t>
    </r>
    <r>
      <rPr>
        <sz val="10"/>
        <color theme="1"/>
        <rFont val="Arial"/>
        <family val="2"/>
        <scheme val="major"/>
      </rPr>
      <t xml:space="preserve">
</t>
    </r>
    <r>
      <rPr>
        <u/>
        <sz val="10"/>
        <color theme="1"/>
        <rFont val="Arial"/>
        <family val="2"/>
        <scheme val="major"/>
      </rPr>
      <t>https://version2.ice-d.org/antarctica/sample/R2020-IEI015/</t>
    </r>
    <r>
      <rPr>
        <sz val="10"/>
        <color theme="1"/>
        <rFont val="Arial"/>
        <family val="2"/>
        <scheme val="major"/>
      </rPr>
      <t xml:space="preserve">
</t>
    </r>
    <r>
      <rPr>
        <u/>
        <sz val="10"/>
        <color theme="1"/>
        <rFont val="Arial"/>
        <family val="2"/>
        <scheme val="major"/>
      </rPr>
      <t>https://version2.ice-d.org/antarctica/sample/R2020-IEI003/</t>
    </r>
    <r>
      <rPr>
        <sz val="10"/>
        <color theme="1"/>
        <rFont val="Arial"/>
        <family val="2"/>
        <scheme val="major"/>
      </rPr>
      <t xml:space="preserve">
</t>
    </r>
    <r>
      <rPr>
        <u/>
        <sz val="10"/>
        <color theme="1"/>
        <rFont val="Arial"/>
        <family val="2"/>
        <scheme val="major"/>
      </rPr>
      <t>https://version2.ice-d.org/antarctica/sample/R2020-IEI006/</t>
    </r>
  </si>
  <si>
    <r>
      <rPr>
        <u/>
        <sz val="10"/>
        <color theme="1"/>
        <rFont val="Arial"/>
        <family val="2"/>
        <scheme val="major"/>
      </rPr>
      <t>https://version2.ice-d.org/antarctica/sample/13-HAT-047-LW/</t>
    </r>
    <r>
      <rPr>
        <sz val="10"/>
        <color theme="1"/>
        <rFont val="Arial"/>
        <family val="2"/>
        <scheme val="major"/>
      </rPr>
      <t xml:space="preserve">
https://version2.ice-d.org/antarctica/sample/13-HAT-004-LW/</t>
    </r>
  </si>
  <si>
    <r>
      <t>https://version2.ice-d.org/antarctica/sample/10-BDM-059-HOP/</t>
    </r>
    <r>
      <rPr>
        <sz val="10"/>
        <color theme="1"/>
        <rFont val="Arial"/>
        <family val="2"/>
        <scheme val="major"/>
      </rPr>
      <t xml:space="preserve">
</t>
    </r>
    <r>
      <rPr>
        <u/>
        <sz val="10"/>
        <color theme="1"/>
        <rFont val="Arial"/>
        <family val="2"/>
        <scheme val="major"/>
      </rPr>
      <t>https://version2.ice-d.org/antarctica/sample/10-BDM-063-HOP/</t>
    </r>
    <r>
      <rPr>
        <sz val="10"/>
        <color theme="1"/>
        <rFont val="Arial"/>
        <family val="2"/>
        <scheme val="major"/>
      </rPr>
      <t xml:space="preserve">
</t>
    </r>
    <r>
      <rPr>
        <u/>
        <sz val="10"/>
        <color theme="1"/>
        <rFont val="Arial"/>
        <family val="2"/>
        <scheme val="major"/>
      </rPr>
      <t>https://version2.ice-d.org/antarctica/sample/10-BDM-085-HOP/</t>
    </r>
    <r>
      <rPr>
        <sz val="10"/>
        <color theme="1"/>
        <rFont val="Arial"/>
        <family val="2"/>
        <scheme val="major"/>
      </rPr>
      <t xml:space="preserve">
</t>
    </r>
    <r>
      <rPr>
        <u/>
        <sz val="10"/>
        <color theme="1"/>
        <rFont val="Arial"/>
        <family val="2"/>
        <scheme val="major"/>
      </rPr>
      <t>https://version2.ice-d.org/antarctica/sample/10-BDM-053-HOP/</t>
    </r>
    <r>
      <rPr>
        <sz val="10"/>
        <color theme="1"/>
        <rFont val="Arial"/>
        <family val="2"/>
        <scheme val="major"/>
      </rPr>
      <t xml:space="preserve">
</t>
    </r>
    <r>
      <rPr>
        <u/>
        <sz val="10"/>
        <color theme="1"/>
        <rFont val="Arial"/>
        <family val="2"/>
        <scheme val="major"/>
      </rPr>
      <t>https://version2.ice-d.org/antarctica/sample/10-BDM-086-HOP/</t>
    </r>
    <r>
      <rPr>
        <sz val="10"/>
        <color theme="1"/>
        <rFont val="Arial"/>
        <family val="2"/>
        <scheme val="major"/>
      </rPr>
      <t xml:space="preserve">
</t>
    </r>
    <r>
      <rPr>
        <u/>
        <sz val="10"/>
        <color theme="1"/>
        <rFont val="Arial"/>
        <family val="2"/>
        <scheme val="major"/>
      </rPr>
      <t>https://version2.ice-d.org/antarctica/sample/10-BDM-057-HOP/</t>
    </r>
  </si>
  <si>
    <r>
      <t>https://version2.ice-d.org/antarctica/sample/10-BDM-032-KYF/</t>
    </r>
    <r>
      <rPr>
        <sz val="10"/>
        <color theme="1"/>
        <rFont val="Arial"/>
        <family val="2"/>
        <scheme val="major"/>
      </rPr>
      <t xml:space="preserve">
</t>
    </r>
    <r>
      <rPr>
        <u/>
        <sz val="10"/>
        <color theme="1"/>
        <rFont val="Arial"/>
        <family val="2"/>
        <scheme val="major"/>
      </rPr>
      <t>https://version2.ice-d.org/antarctica/sample/10-BDM-043-KYF/</t>
    </r>
  </si>
  <si>
    <r>
      <t>https://version2.ice-d.org/antarctica/sample/07-SCT-033-KHL/</t>
    </r>
    <r>
      <rPr>
        <sz val="10"/>
        <color theme="1"/>
        <rFont val="Arial"/>
        <family val="2"/>
        <scheme val="major"/>
      </rPr>
      <t xml:space="preserve">
</t>
    </r>
    <r>
      <rPr>
        <u/>
        <sz val="10"/>
        <color theme="1"/>
        <rFont val="Arial"/>
        <family val="2"/>
        <scheme val="major"/>
      </rPr>
      <t>https://version2.ice-d.org/antarctica/sample/07-SCT-035-KHL/</t>
    </r>
  </si>
  <si>
    <r>
      <rPr>
        <sz val="10"/>
        <color theme="1"/>
        <rFont val="Arial"/>
        <family val="2"/>
        <scheme val="major"/>
      </rPr>
      <t xml:space="preserve">https://version2.ice-d.org/antarctica/sample/BFKS2006-BAT-1/
https://version2.ice-d.org/antarctica/sample/BFKS2006-BAT-3/
</t>
    </r>
    <r>
      <rPr>
        <u/>
        <sz val="10"/>
        <color theme="1"/>
        <rFont val="Arial"/>
        <family val="2"/>
        <scheme val="major"/>
      </rPr>
      <t>https://version2.ice-d.org/antarctica/sample/BFKS2006-BAT-8/</t>
    </r>
  </si>
  <si>
    <r>
      <t>https://version2.ice-d.org/antarctica/sample/PH12-48/</t>
    </r>
    <r>
      <rPr>
        <sz val="10"/>
        <color theme="1"/>
        <rFont val="Arial"/>
        <family val="2"/>
        <scheme val="major"/>
      </rPr>
      <t xml:space="preserve">
</t>
    </r>
    <r>
      <rPr>
        <u/>
        <sz val="10"/>
        <color theme="1"/>
        <rFont val="Arial"/>
        <family val="2"/>
        <scheme val="major"/>
      </rPr>
      <t>https://version2.ice-d.org/antarctica/sample/PH12-28/</t>
    </r>
    <r>
      <rPr>
        <sz val="10"/>
        <color theme="1"/>
        <rFont val="Arial"/>
        <family val="2"/>
        <scheme val="major"/>
      </rPr>
      <t xml:space="preserve">
</t>
    </r>
    <r>
      <rPr>
        <u/>
        <sz val="10"/>
        <color theme="1"/>
        <rFont val="Arial"/>
        <family val="2"/>
        <scheme val="major"/>
      </rPr>
      <t>https://version2.ice-d.org/antarctica/sample/PH12-35/</t>
    </r>
    <r>
      <rPr>
        <sz val="10"/>
        <color theme="1"/>
        <rFont val="Arial"/>
        <family val="2"/>
        <scheme val="major"/>
      </rPr>
      <t xml:space="preserve">
</t>
    </r>
    <r>
      <rPr>
        <u/>
        <sz val="10"/>
        <color theme="1"/>
        <rFont val="Arial"/>
        <family val="2"/>
        <scheme val="major"/>
      </rPr>
      <t>https://version2.ice-d.org/antarctica/sample/PH12-114/</t>
    </r>
    <r>
      <rPr>
        <sz val="10"/>
        <color theme="1"/>
        <rFont val="Arial"/>
        <family val="2"/>
        <scheme val="major"/>
      </rPr>
      <t xml:space="preserve">
</t>
    </r>
    <r>
      <rPr>
        <u/>
        <sz val="10"/>
        <color theme="1"/>
        <rFont val="Arial"/>
        <family val="2"/>
        <scheme val="major"/>
      </rPr>
      <t>https://version2.ice-d.org/antarctica/sample/PH12-53/</t>
    </r>
    <r>
      <rPr>
        <sz val="10"/>
        <color theme="1"/>
        <rFont val="Arial"/>
        <family val="2"/>
        <scheme val="major"/>
      </rPr>
      <t xml:space="preserve">
</t>
    </r>
    <r>
      <rPr>
        <u/>
        <sz val="10"/>
        <color theme="1"/>
        <rFont val="Arial"/>
        <family val="2"/>
        <scheme val="major"/>
      </rPr>
      <t>https://version2.ice-d.org/antarctica/sample/PH12-54/</t>
    </r>
    <r>
      <rPr>
        <sz val="10"/>
        <color theme="1"/>
        <rFont val="Arial"/>
        <family val="2"/>
        <scheme val="major"/>
      </rPr>
      <t xml:space="preserve">
</t>
    </r>
    <r>
      <rPr>
        <u/>
        <sz val="10"/>
        <color theme="1"/>
        <rFont val="Arial"/>
        <family val="2"/>
        <scheme val="major"/>
      </rPr>
      <t>https://version2.ice-d.org/antarctica/sample/PH12-117/</t>
    </r>
    <r>
      <rPr>
        <sz val="10"/>
        <color theme="1"/>
        <rFont val="Arial"/>
        <family val="2"/>
        <scheme val="major"/>
      </rPr>
      <t xml:space="preserve">
</t>
    </r>
    <r>
      <rPr>
        <u/>
        <sz val="10"/>
        <color theme="1"/>
        <rFont val="Arial"/>
        <family val="2"/>
        <scheme val="major"/>
      </rPr>
      <t>https://version2.ice-d.org/antarctica/sample/PH12-57/</t>
    </r>
    <r>
      <rPr>
        <sz val="10"/>
        <color theme="1"/>
        <rFont val="Arial"/>
        <family val="2"/>
        <scheme val="major"/>
      </rPr>
      <t xml:space="preserve">
</t>
    </r>
    <r>
      <rPr>
        <u/>
        <sz val="10"/>
        <color theme="1"/>
        <rFont val="Arial"/>
        <family val="2"/>
        <scheme val="major"/>
      </rPr>
      <t>https://version2.ice-d.org/antarctica/sample/PH12-40/</t>
    </r>
  </si>
  <si>
    <r>
      <t>https://www.ice-d.org/antarctica/sample/10-MPS-013-NNS/</t>
    </r>
    <r>
      <rPr>
        <sz val="10"/>
        <color theme="1"/>
        <rFont val="Arial"/>
        <family val="2"/>
        <scheme val="major"/>
      </rPr>
      <t xml:space="preserve">
</t>
    </r>
    <r>
      <rPr>
        <u/>
        <sz val="10"/>
        <color theme="1"/>
        <rFont val="Arial"/>
        <family val="2"/>
        <scheme val="major"/>
      </rPr>
      <t>https://www.ice-d.org/antarctica/sample/10-MPS-037-NNS/</t>
    </r>
    <r>
      <rPr>
        <sz val="10"/>
        <color theme="1"/>
        <rFont val="Arial"/>
        <family val="2"/>
        <scheme val="major"/>
      </rPr>
      <t xml:space="preserve">
</t>
    </r>
    <r>
      <rPr>
        <u/>
        <sz val="10"/>
        <color theme="1"/>
        <rFont val="Arial"/>
        <family val="2"/>
        <scheme val="major"/>
      </rPr>
      <t>https://www.ice-d.org/antarctica/sample/10-MPS-038-NNS/</t>
    </r>
    <r>
      <rPr>
        <sz val="10"/>
        <color theme="1"/>
        <rFont val="Arial"/>
        <family val="2"/>
        <scheme val="major"/>
      </rPr>
      <t xml:space="preserve">
</t>
    </r>
    <r>
      <rPr>
        <u/>
        <sz val="10"/>
        <color theme="1"/>
        <rFont val="Arial"/>
        <family val="2"/>
        <scheme val="major"/>
      </rPr>
      <t>https://www.ice-d.org/antarctica/sample/10-MPS-039-NNS/</t>
    </r>
    <r>
      <rPr>
        <sz val="10"/>
        <color theme="1"/>
        <rFont val="Arial"/>
        <family val="2"/>
        <scheme val="major"/>
      </rPr>
      <t xml:space="preserve">
</t>
    </r>
    <r>
      <rPr>
        <u/>
        <sz val="10"/>
        <color theme="1"/>
        <rFont val="Arial"/>
        <family val="2"/>
        <scheme val="major"/>
      </rPr>
      <t>https://www.ice-d.org/antarctica/sample/10-MPS-040-NNS/</t>
    </r>
    <r>
      <rPr>
        <sz val="10"/>
        <color theme="1"/>
        <rFont val="Arial"/>
        <family val="2"/>
        <scheme val="major"/>
      </rPr>
      <t xml:space="preserve">
</t>
    </r>
    <r>
      <rPr>
        <u/>
        <sz val="10"/>
        <color theme="1"/>
        <rFont val="Arial"/>
        <family val="2"/>
        <scheme val="major"/>
      </rPr>
      <t>https://www.ice-d.org/antarctica/sample/10-MPS-043-NNS/</t>
    </r>
    <r>
      <rPr>
        <sz val="10"/>
        <color theme="1"/>
        <rFont val="Arial"/>
        <family val="2"/>
        <scheme val="major"/>
      </rPr>
      <t xml:space="preserve">
</t>
    </r>
    <r>
      <rPr>
        <u/>
        <sz val="10"/>
        <color theme="1"/>
        <rFont val="Arial"/>
        <family val="2"/>
        <scheme val="major"/>
      </rPr>
      <t>https://www.ice-d.org/antarctica/sample/10-MPS-046-NNS/</t>
    </r>
  </si>
  <si>
    <r>
      <t>https://www.ice-d.org/antarctica/sample/10-MPS-008-NNS/
https://www.ice-d.org/antarctica/sample/10-MPS-011-NNS/</t>
    </r>
    <r>
      <rPr>
        <sz val="10"/>
        <color theme="1"/>
        <rFont val="Arial"/>
        <family val="2"/>
        <scheme val="major"/>
      </rPr>
      <t xml:space="preserve">
</t>
    </r>
    <r>
      <rPr>
        <u/>
        <sz val="10"/>
        <color theme="1"/>
        <rFont val="Arial"/>
        <family val="2"/>
        <scheme val="major"/>
      </rPr>
      <t>https://www.ice-d.org/antarctica/sample/10-MPS-012-NNS/</t>
    </r>
    <r>
      <rPr>
        <sz val="10"/>
        <color theme="1"/>
        <rFont val="Arial"/>
        <family val="2"/>
        <scheme val="major"/>
      </rPr>
      <t xml:space="preserve">
</t>
    </r>
    <r>
      <rPr>
        <u/>
        <sz val="10"/>
        <color theme="1"/>
        <rFont val="Arial"/>
        <family val="2"/>
        <scheme val="major"/>
      </rPr>
      <t>https://www.ice-d.org/antarctica/sample/10-MPS-013-NNS/</t>
    </r>
    <r>
      <rPr>
        <sz val="10"/>
        <color theme="1"/>
        <rFont val="Arial"/>
        <family val="2"/>
        <scheme val="major"/>
      </rPr>
      <t xml:space="preserve">
</t>
    </r>
    <r>
      <rPr>
        <u/>
        <sz val="10"/>
        <color theme="1"/>
        <rFont val="Arial"/>
        <family val="2"/>
        <scheme val="major"/>
      </rPr>
      <t>https://www.ice-d.org/antarctica/sample/10-MPS-039-NNS/</t>
    </r>
  </si>
  <si>
    <r>
      <t>https://version2.ice-d.org/antarctica/sample/10-MPS-072-CRK/</t>
    </r>
    <r>
      <rPr>
        <sz val="10"/>
        <color theme="1"/>
        <rFont val="Arial"/>
        <family val="2"/>
        <scheme val="major"/>
      </rPr>
      <t xml:space="preserve">
</t>
    </r>
    <r>
      <rPr>
        <u/>
        <sz val="10"/>
        <color theme="1"/>
        <rFont val="Arial"/>
        <family val="2"/>
        <scheme val="major"/>
      </rPr>
      <t>https://version2.ice-d.org/antarctica/sample/10-MPS-074-CRK/</t>
    </r>
    <r>
      <rPr>
        <sz val="10"/>
        <color theme="1"/>
        <rFont val="Arial"/>
        <family val="2"/>
        <scheme val="major"/>
      </rPr>
      <t xml:space="preserve">
</t>
    </r>
    <r>
      <rPr>
        <u/>
        <sz val="10"/>
        <color theme="1"/>
        <rFont val="Arial"/>
        <family val="2"/>
        <scheme val="major"/>
      </rPr>
      <t>https://version2.ice-d.org/antarctica/sample/10-MPS-076-CRK/</t>
    </r>
    <r>
      <rPr>
        <sz val="10"/>
        <color theme="1"/>
        <rFont val="Arial"/>
        <family val="2"/>
        <scheme val="major"/>
      </rPr>
      <t xml:space="preserve">
</t>
    </r>
    <r>
      <rPr>
        <u/>
        <sz val="10"/>
        <color theme="1"/>
        <rFont val="Arial"/>
        <family val="2"/>
        <scheme val="major"/>
      </rPr>
      <t>https://version2.ice-d.org/antarctica/sample/10-MPS-078-CRK/</t>
    </r>
    <r>
      <rPr>
        <sz val="10"/>
        <color theme="1"/>
        <rFont val="Arial"/>
        <family val="2"/>
        <scheme val="major"/>
      </rPr>
      <t xml:space="preserve">
</t>
    </r>
    <r>
      <rPr>
        <u/>
        <sz val="10"/>
        <color theme="1"/>
        <rFont val="Arial"/>
        <family val="2"/>
        <scheme val="major"/>
      </rPr>
      <t>https://version2.ice-d.org/antarctica/sample/10-MPS-079-CRK/</t>
    </r>
    <r>
      <rPr>
        <sz val="10"/>
        <color theme="1"/>
        <rFont val="Arial"/>
        <family val="2"/>
        <scheme val="major"/>
      </rPr>
      <t xml:space="preserve">
</t>
    </r>
    <r>
      <rPr>
        <u/>
        <sz val="10"/>
        <color theme="1"/>
        <rFont val="Arial"/>
        <family val="2"/>
        <scheme val="major"/>
      </rPr>
      <t>https://version2.ice-d.org/antarctica/sample/10-MPS-082-CRK/</t>
    </r>
    <r>
      <rPr>
        <sz val="10"/>
        <color theme="1"/>
        <rFont val="Arial"/>
        <family val="2"/>
        <scheme val="major"/>
      </rPr>
      <t xml:space="preserve">
</t>
    </r>
    <r>
      <rPr>
        <u/>
        <sz val="10"/>
        <color theme="1"/>
        <rFont val="Arial"/>
        <family val="2"/>
        <scheme val="major"/>
      </rPr>
      <t>https://version2.ice-d.org/antarctica/sample/10-MPS-085-CRK/</t>
    </r>
    <r>
      <rPr>
        <sz val="10"/>
        <color theme="1"/>
        <rFont val="Arial"/>
        <family val="2"/>
        <scheme val="major"/>
      </rPr>
      <t xml:space="preserve">
</t>
    </r>
    <r>
      <rPr>
        <u/>
        <sz val="10"/>
        <color theme="1"/>
        <rFont val="Arial"/>
        <family val="2"/>
        <scheme val="major"/>
      </rPr>
      <t>https://version2.ice-d.org/antarctica/sample/10-MPS-086-CRK/</t>
    </r>
    <r>
      <rPr>
        <sz val="10"/>
        <color theme="1"/>
        <rFont val="Arial"/>
        <family val="2"/>
        <scheme val="major"/>
      </rPr>
      <t xml:space="preserve">
</t>
    </r>
    <r>
      <rPr>
        <u/>
        <sz val="10"/>
        <color theme="1"/>
        <rFont val="Arial"/>
        <family val="2"/>
        <scheme val="major"/>
      </rPr>
      <t>https://version2.ice-d.org/antarctica/sample/10-MPS-087-CRK/</t>
    </r>
    <r>
      <rPr>
        <sz val="10"/>
        <color theme="1"/>
        <rFont val="Arial"/>
        <family val="2"/>
        <scheme val="major"/>
      </rPr>
      <t xml:space="preserve">
</t>
    </r>
    <r>
      <rPr>
        <u/>
        <sz val="10"/>
        <color theme="1"/>
        <rFont val="Arial"/>
        <family val="2"/>
        <scheme val="major"/>
      </rPr>
      <t>https://version2.ice-d.org/antarctica/sample/10-MPS-088-CRK/</t>
    </r>
    <r>
      <rPr>
        <sz val="10"/>
        <color theme="1"/>
        <rFont val="Arial"/>
        <family val="2"/>
        <scheme val="major"/>
      </rPr>
      <t xml:space="preserve">
</t>
    </r>
    <r>
      <rPr>
        <u/>
        <sz val="10"/>
        <color theme="1"/>
        <rFont val="Arial"/>
        <family val="2"/>
        <scheme val="major"/>
      </rPr>
      <t>https://version2.ice-d.org/antarctica/sample/10-MPS-091-CRK/</t>
    </r>
    <r>
      <rPr>
        <sz val="10"/>
        <color theme="1"/>
        <rFont val="Arial"/>
        <family val="2"/>
        <scheme val="major"/>
      </rPr>
      <t xml:space="preserve">
</t>
    </r>
    <r>
      <rPr>
        <u/>
        <sz val="10"/>
        <color theme="1"/>
        <rFont val="Arial"/>
        <family val="2"/>
        <scheme val="major"/>
      </rPr>
      <t>https://version2.ice-d.org/antarctica/sample/10-MPS-096-CRK/</t>
    </r>
  </si>
  <si>
    <r>
      <t>https://version2.ice-d.org/antarctica/sample/10-MPS-127-LNK/</t>
    </r>
    <r>
      <rPr>
        <sz val="10"/>
        <color theme="1"/>
        <rFont val="Arial"/>
        <family val="2"/>
        <scheme val="major"/>
      </rPr>
      <t xml:space="preserve">
</t>
    </r>
    <r>
      <rPr>
        <u/>
        <sz val="10"/>
        <color theme="1"/>
        <rFont val="Arial"/>
        <family val="2"/>
        <scheme val="major"/>
      </rPr>
      <t>https://version2.ice-d.org/antarctica/sample/10-MPS-130-LNK/</t>
    </r>
  </si>
  <si>
    <r>
      <t>https://version2.ice-d.org/antarctica/sample/11-ATH-203-WNR/</t>
    </r>
    <r>
      <rPr>
        <sz val="10"/>
        <color theme="1"/>
        <rFont val="Arial"/>
        <family val="2"/>
        <scheme val="major"/>
      </rPr>
      <t xml:space="preserve">
</t>
    </r>
    <r>
      <rPr>
        <u/>
        <sz val="10"/>
        <color theme="1"/>
        <rFont val="Arial"/>
        <family val="2"/>
        <scheme val="major"/>
      </rPr>
      <t>https://version2.ice-d.org/antarctica/sample/11-ATH-206-WNR/</t>
    </r>
    <r>
      <rPr>
        <sz val="10"/>
        <color theme="1"/>
        <rFont val="Arial"/>
        <family val="2"/>
        <scheme val="major"/>
      </rPr>
      <t xml:space="preserve">
</t>
    </r>
    <r>
      <rPr>
        <u/>
        <sz val="10"/>
        <color theme="1"/>
        <rFont val="Arial"/>
        <family val="2"/>
        <scheme val="major"/>
      </rPr>
      <t>https://version2.ice-d.org/antarctica/sample/11-ATH-207-WNR/</t>
    </r>
    <r>
      <rPr>
        <sz val="10"/>
        <color theme="1"/>
        <rFont val="Arial"/>
        <family val="2"/>
        <scheme val="major"/>
      </rPr>
      <t xml:space="preserve">
</t>
    </r>
    <r>
      <rPr>
        <u/>
        <sz val="10"/>
        <color theme="1"/>
        <rFont val="Arial"/>
        <family val="2"/>
        <scheme val="major"/>
      </rPr>
      <t>https://version2.ice-d.org/antarctica/sample/11-ATH-208-WNR/</t>
    </r>
    <r>
      <rPr>
        <sz val="10"/>
        <color theme="1"/>
        <rFont val="Arial"/>
        <family val="2"/>
        <scheme val="major"/>
      </rPr>
      <t xml:space="preserve">
</t>
    </r>
    <r>
      <rPr>
        <u/>
        <sz val="10"/>
        <color theme="1"/>
        <rFont val="Arial"/>
        <family val="2"/>
        <scheme val="major"/>
      </rPr>
      <t>https://version2.ice-d.org/antarctica/sample/11-ATH-212-WNR/</t>
    </r>
    <r>
      <rPr>
        <sz val="10"/>
        <color theme="1"/>
        <rFont val="Arial"/>
        <family val="2"/>
        <scheme val="major"/>
      </rPr>
      <t xml:space="preserve">
</t>
    </r>
    <r>
      <rPr>
        <u/>
        <sz val="10"/>
        <color theme="1"/>
        <rFont val="Arial"/>
        <family val="2"/>
        <scheme val="major"/>
      </rPr>
      <t>https://version2.ice-d.org/antarctica/sample/11-ATH-213-WNR/</t>
    </r>
  </si>
  <si>
    <r>
      <t>https://version2.ice-d.org/antarctica/sample/11-ATH-217-CRN/</t>
    </r>
    <r>
      <rPr>
        <sz val="10"/>
        <color theme="1"/>
        <rFont val="Arial"/>
        <family val="2"/>
        <scheme val="major"/>
      </rPr>
      <t xml:space="preserve">
</t>
    </r>
    <r>
      <rPr>
        <u/>
        <sz val="10"/>
        <color theme="1"/>
        <rFont val="Arial"/>
        <family val="2"/>
        <scheme val="major"/>
      </rPr>
      <t>https://version2.ice-d.org/antarctica/sample/11-ATH-219-CRN/</t>
    </r>
    <r>
      <rPr>
        <sz val="10"/>
        <color theme="1"/>
        <rFont val="Arial"/>
        <family val="2"/>
        <scheme val="major"/>
      </rPr>
      <t xml:space="preserve">
</t>
    </r>
    <r>
      <rPr>
        <u/>
        <sz val="10"/>
        <color theme="1"/>
        <rFont val="Arial"/>
        <family val="2"/>
        <scheme val="major"/>
      </rPr>
      <t>https://version2.ice-d.org/antarctica/sample/11-ATH-227-CRN/</t>
    </r>
    <r>
      <rPr>
        <sz val="10"/>
        <color theme="1"/>
        <rFont val="Arial"/>
        <family val="2"/>
        <scheme val="major"/>
      </rPr>
      <t xml:space="preserve">
</t>
    </r>
    <r>
      <rPr>
        <u/>
        <sz val="10"/>
        <color theme="1"/>
        <rFont val="Arial"/>
        <family val="2"/>
        <scheme val="major"/>
      </rPr>
      <t>https://version2.ice-d.org/antarctica/sample/11-ATH-229-CRN/</t>
    </r>
    <r>
      <rPr>
        <sz val="10"/>
        <color theme="1"/>
        <rFont val="Arial"/>
        <family val="2"/>
        <scheme val="major"/>
      </rPr>
      <t xml:space="preserve">
</t>
    </r>
    <r>
      <rPr>
        <u/>
        <sz val="10"/>
        <color theme="1"/>
        <rFont val="Arial"/>
        <family val="2"/>
        <scheme val="major"/>
      </rPr>
      <t>https://version2.ice-d.org/antarctica/sample/11-ATH-230-CRN/</t>
    </r>
    <r>
      <rPr>
        <sz val="10"/>
        <color theme="1"/>
        <rFont val="Arial"/>
        <family val="2"/>
        <scheme val="major"/>
      </rPr>
      <t xml:space="preserve">
</t>
    </r>
    <r>
      <rPr>
        <u/>
        <sz val="10"/>
        <color theme="1"/>
        <rFont val="Arial"/>
        <family val="2"/>
        <scheme val="major"/>
      </rPr>
      <t>https://version2.ice-d.org/antarctica/sample/11-ATH-231-CRN/</t>
    </r>
    <r>
      <rPr>
        <sz val="10"/>
        <color theme="1"/>
        <rFont val="Arial"/>
        <family val="2"/>
        <scheme val="major"/>
      </rPr>
      <t xml:space="preserve">
</t>
    </r>
    <r>
      <rPr>
        <u/>
        <sz val="10"/>
        <color theme="1"/>
        <rFont val="Arial"/>
        <family val="2"/>
        <scheme val="major"/>
      </rPr>
      <t>https://version2.ice-d.org/antarctica/sample/11-ATH-232-CRN/</t>
    </r>
    <r>
      <rPr>
        <sz val="10"/>
        <color theme="1"/>
        <rFont val="Arial"/>
        <family val="2"/>
        <scheme val="major"/>
      </rPr>
      <t xml:space="preserve">
</t>
    </r>
    <r>
      <rPr>
        <u/>
        <sz val="10"/>
        <color theme="1"/>
        <rFont val="Arial"/>
        <family val="2"/>
        <scheme val="major"/>
      </rPr>
      <t>https://version2.ice-d.org/antarctica/sample/11-ATH-233-CRN/</t>
    </r>
    <r>
      <rPr>
        <sz val="10"/>
        <color theme="1"/>
        <rFont val="Arial"/>
        <family val="2"/>
        <scheme val="major"/>
      </rPr>
      <t xml:space="preserve">
</t>
    </r>
    <r>
      <rPr>
        <u/>
        <sz val="10"/>
        <color theme="1"/>
        <rFont val="Arial"/>
        <family val="2"/>
        <scheme val="major"/>
      </rPr>
      <t>https://version2.ice-d.org/antarctica/sample/11-ATH-234-CRN/</t>
    </r>
    <r>
      <rPr>
        <sz val="10"/>
        <color theme="1"/>
        <rFont val="Arial"/>
        <family val="2"/>
        <scheme val="major"/>
      </rPr>
      <t xml:space="preserve">
</t>
    </r>
    <r>
      <rPr>
        <u/>
        <sz val="10"/>
        <color theme="1"/>
        <rFont val="Arial"/>
        <family val="2"/>
        <scheme val="major"/>
      </rPr>
      <t>https://version2.ice-d.org/antarctica/sample/11-ATH-236-CRN/</t>
    </r>
    <r>
      <rPr>
        <sz val="10"/>
        <color theme="1"/>
        <rFont val="Arial"/>
        <family val="2"/>
        <scheme val="major"/>
      </rPr>
      <t xml:space="preserve">
</t>
    </r>
    <r>
      <rPr>
        <u/>
        <sz val="10"/>
        <color theme="1"/>
        <rFont val="Arial"/>
        <family val="2"/>
        <scheme val="major"/>
      </rPr>
      <t>https://version2.ice-d.org/antarctica/sample/11-ATH-237-CRN/</t>
    </r>
  </si>
  <si>
    <r>
      <t>https://version2.ice-d.org/antarctica/sample/11-ATH-266-SML/</t>
    </r>
    <r>
      <rPr>
        <sz val="10"/>
        <color theme="1"/>
        <rFont val="Arial"/>
        <family val="2"/>
        <scheme val="major"/>
      </rPr>
      <t xml:space="preserve">
</t>
    </r>
    <r>
      <rPr>
        <u/>
        <sz val="10"/>
        <color theme="1"/>
        <rFont val="Arial"/>
        <family val="2"/>
        <scheme val="major"/>
      </rPr>
      <t>https://version2.ice-d.org/antarctica/sample/11-ATH-267-SML/</t>
    </r>
    <r>
      <rPr>
        <sz val="10"/>
        <color theme="1"/>
        <rFont val="Arial"/>
        <family val="2"/>
        <scheme val="major"/>
      </rPr>
      <t xml:space="preserve">
</t>
    </r>
    <r>
      <rPr>
        <u/>
        <sz val="10"/>
        <color theme="1"/>
        <rFont val="Arial"/>
        <family val="2"/>
        <scheme val="major"/>
      </rPr>
      <t>https://version2.ice-d.org/antarctica/sample/11-ATH-269-SML/</t>
    </r>
    <r>
      <rPr>
        <sz val="10"/>
        <color theme="1"/>
        <rFont val="Arial"/>
        <family val="2"/>
        <scheme val="major"/>
      </rPr>
      <t xml:space="preserve">
</t>
    </r>
    <r>
      <rPr>
        <u/>
        <sz val="10"/>
        <color theme="1"/>
        <rFont val="Arial"/>
        <family val="2"/>
        <scheme val="major"/>
      </rPr>
      <t>https://version2.ice-d.org/antarctica/sample/11-ATH-270-SML/</t>
    </r>
    <r>
      <rPr>
        <sz val="10"/>
        <color theme="1"/>
        <rFont val="Arial"/>
        <family val="2"/>
        <scheme val="major"/>
      </rPr>
      <t xml:space="preserve">
</t>
    </r>
    <r>
      <rPr>
        <u/>
        <sz val="10"/>
        <color theme="1"/>
        <rFont val="Arial"/>
        <family val="2"/>
        <scheme val="major"/>
      </rPr>
      <t>https://version2.ice-d.org/antarctica/sample/11-ATH-272-SML/</t>
    </r>
    <r>
      <rPr>
        <sz val="10"/>
        <color theme="1"/>
        <rFont val="Arial"/>
        <family val="2"/>
        <scheme val="major"/>
      </rPr>
      <t xml:space="preserve">
</t>
    </r>
    <r>
      <rPr>
        <u/>
        <sz val="10"/>
        <color theme="1"/>
        <rFont val="Arial"/>
        <family val="2"/>
        <scheme val="major"/>
      </rPr>
      <t>https://version2.ice-d.org/antarctica/sample/11-ATH-275-SML/</t>
    </r>
    <r>
      <rPr>
        <sz val="10"/>
        <color theme="1"/>
        <rFont val="Arial"/>
        <family val="2"/>
        <scheme val="major"/>
      </rPr>
      <t xml:space="preserve">
</t>
    </r>
    <r>
      <rPr>
        <u/>
        <sz val="10"/>
        <color theme="1"/>
        <rFont val="Arial"/>
        <family val="2"/>
        <scheme val="major"/>
      </rPr>
      <t>https://version2.ice-d.org/antarctica/sample/11-ATH-277-SML/</t>
    </r>
    <r>
      <rPr>
        <sz val="10"/>
        <color theme="1"/>
        <rFont val="Arial"/>
        <family val="2"/>
        <scheme val="major"/>
      </rPr>
      <t xml:space="preserve">
</t>
    </r>
    <r>
      <rPr>
        <u/>
        <sz val="10"/>
        <color theme="1"/>
        <rFont val="Arial"/>
        <family val="2"/>
        <scheme val="major"/>
      </rPr>
      <t>https://version2.ice-d.org/antarctica/sample/11-ATH-280-SML/</t>
    </r>
    <r>
      <rPr>
        <sz val="10"/>
        <color theme="1"/>
        <rFont val="Arial"/>
        <family val="2"/>
        <scheme val="major"/>
      </rPr>
      <t xml:space="preserve">
</t>
    </r>
    <r>
      <rPr>
        <u/>
        <sz val="10"/>
        <color theme="1"/>
        <rFont val="Arial"/>
        <family val="2"/>
        <scheme val="major"/>
      </rPr>
      <t>https://version2.ice-d.org/antarctica/sample/11-ATH-289-SML/</t>
    </r>
    <r>
      <rPr>
        <sz val="10"/>
        <color theme="1"/>
        <rFont val="Arial"/>
        <family val="2"/>
        <scheme val="major"/>
      </rPr>
      <t xml:space="preserve">
</t>
    </r>
    <r>
      <rPr>
        <u/>
        <sz val="10"/>
        <color theme="1"/>
        <rFont val="Arial"/>
        <family val="2"/>
        <scheme val="major"/>
      </rPr>
      <t>https://version2.ice-d.org/antarctica/sample/11-ATH-291-SML/</t>
    </r>
    <r>
      <rPr>
        <sz val="10"/>
        <color theme="1"/>
        <rFont val="Arial"/>
        <family val="2"/>
        <scheme val="major"/>
      </rPr>
      <t xml:space="preserve">
</t>
    </r>
    <r>
      <rPr>
        <u/>
        <sz val="10"/>
        <color theme="1"/>
        <rFont val="Arial"/>
        <family val="2"/>
        <scheme val="major"/>
      </rPr>
      <t>https://version2.ice-d.org/antarctica/sample/11-ATH-292-SML/</t>
    </r>
    <r>
      <rPr>
        <sz val="10"/>
        <color theme="1"/>
        <rFont val="Arial"/>
        <family val="2"/>
        <scheme val="major"/>
      </rPr>
      <t xml:space="preserve">
</t>
    </r>
    <r>
      <rPr>
        <u/>
        <sz val="10"/>
        <color theme="1"/>
        <rFont val="Arial"/>
        <family val="2"/>
        <scheme val="major"/>
      </rPr>
      <t>https://version2.ice-d.org/antarctica/sample/11-ATH-293-SML/</t>
    </r>
    <r>
      <rPr>
        <sz val="10"/>
        <color theme="1"/>
        <rFont val="Arial"/>
        <family val="2"/>
        <scheme val="major"/>
      </rPr>
      <t xml:space="preserve">
</t>
    </r>
    <r>
      <rPr>
        <u/>
        <sz val="10"/>
        <color theme="1"/>
        <rFont val="Arial"/>
        <family val="2"/>
        <scheme val="major"/>
      </rPr>
      <t>https://version2.ice-d.org/antarctica/sample/11-ATH-305-SML/</t>
    </r>
    <r>
      <rPr>
        <sz val="10"/>
        <color theme="1"/>
        <rFont val="Arial"/>
        <family val="2"/>
        <scheme val="major"/>
      </rPr>
      <t xml:space="preserve">
</t>
    </r>
    <r>
      <rPr>
        <u/>
        <sz val="10"/>
        <color theme="1"/>
        <rFont val="Arial"/>
        <family val="2"/>
        <scheme val="major"/>
      </rPr>
      <t>https://version2.ice-d.org/antarctica/sample/11-ATH-307-SML/</t>
    </r>
    <r>
      <rPr>
        <sz val="10"/>
        <color theme="1"/>
        <rFont val="Arial"/>
        <family val="2"/>
        <scheme val="major"/>
      </rPr>
      <t xml:space="preserve">
</t>
    </r>
    <r>
      <rPr>
        <u/>
        <sz val="10"/>
        <color theme="1"/>
        <rFont val="Arial"/>
        <family val="2"/>
        <scheme val="major"/>
      </rPr>
      <t>https://version2.ice-d.org/antarctica/sample/11-ATH-308-SML/</t>
    </r>
    <r>
      <rPr>
        <sz val="10"/>
        <color theme="1"/>
        <rFont val="Arial"/>
        <family val="2"/>
        <scheme val="major"/>
      </rPr>
      <t xml:space="preserve">
</t>
    </r>
    <r>
      <rPr>
        <u/>
        <sz val="10"/>
        <color theme="1"/>
        <rFont val="Arial"/>
        <family val="2"/>
        <scheme val="major"/>
      </rPr>
      <t>https://version2.ice-d.org/antarctica/sample/11-ATH-309-SML/</t>
    </r>
  </si>
  <si>
    <r>
      <t>https://version2.ice-d.org/antarctica/sample/13-NTK-044-WHT/</t>
    </r>
    <r>
      <rPr>
        <sz val="10"/>
        <color theme="1"/>
        <rFont val="Arial"/>
        <family val="2"/>
        <scheme val="major"/>
      </rPr>
      <t xml:space="preserve">
</t>
    </r>
    <r>
      <rPr>
        <u/>
        <sz val="10"/>
        <color theme="1"/>
        <rFont val="Arial"/>
        <family val="2"/>
        <scheme val="major"/>
      </rPr>
      <t>https://version2.ice-d.org/antarctica/sample/13-NTK-045-WHT/</t>
    </r>
    <r>
      <rPr>
        <sz val="10"/>
        <color theme="1"/>
        <rFont val="Arial"/>
        <family val="2"/>
        <scheme val="major"/>
      </rPr>
      <t xml:space="preserve">
</t>
    </r>
    <r>
      <rPr>
        <u/>
        <sz val="10"/>
        <color theme="1"/>
        <rFont val="Arial"/>
        <family val="2"/>
        <scheme val="major"/>
      </rPr>
      <t>https://version2.ice-d.org/antarctica/sample/13-NTK-043-WHT/</t>
    </r>
    <r>
      <rPr>
        <sz val="10"/>
        <color theme="1"/>
        <rFont val="Arial"/>
        <family val="2"/>
        <scheme val="major"/>
      </rPr>
      <t xml:space="preserve">
</t>
    </r>
    <r>
      <rPr>
        <u/>
        <sz val="10"/>
        <color theme="1"/>
        <rFont val="Arial"/>
        <family val="2"/>
        <scheme val="major"/>
      </rPr>
      <t>https://version2.ice-d.org/antarctica/sample/13-NTK-040-WHT/</t>
    </r>
  </si>
  <si>
    <r>
      <t>https://www.ice-d.org/antarctica/sample/99-MBL-011-MGM/</t>
    </r>
    <r>
      <rPr>
        <sz val="10"/>
        <color theme="1"/>
        <rFont val="Arial"/>
        <family val="2"/>
        <scheme val="major"/>
      </rPr>
      <t xml:space="preserve">
</t>
    </r>
    <r>
      <rPr>
        <u/>
        <sz val="10"/>
        <color theme="1"/>
        <rFont val="Arial"/>
        <family val="2"/>
        <scheme val="major"/>
      </rPr>
      <t>https://www.ice-d.org/antarctica/sample/99-MBL-008-MGM/</t>
    </r>
    <r>
      <rPr>
        <sz val="10"/>
        <color theme="1"/>
        <rFont val="Arial"/>
        <family val="2"/>
        <scheme val="major"/>
      </rPr>
      <t xml:space="preserve">
</t>
    </r>
    <r>
      <rPr>
        <u/>
        <sz val="10"/>
        <color theme="1"/>
        <rFont val="Arial"/>
        <family val="2"/>
        <scheme val="major"/>
      </rPr>
      <t>https://www.ice-d.org/antarctica/sample/99-MBL-009-MGM/</t>
    </r>
    <r>
      <rPr>
        <sz val="10"/>
        <color theme="1"/>
        <rFont val="Arial"/>
        <family val="2"/>
        <scheme val="major"/>
      </rPr>
      <t xml:space="preserve">
</t>
    </r>
    <r>
      <rPr>
        <u/>
        <sz val="10"/>
        <color theme="1"/>
        <rFont val="Arial"/>
        <family val="2"/>
        <scheme val="major"/>
      </rPr>
      <t>https://www.ice-d.org/antarctica/sample/99-MBL-019-MGM/</t>
    </r>
    <r>
      <rPr>
        <sz val="10"/>
        <color theme="1"/>
        <rFont val="Arial"/>
        <family val="2"/>
        <scheme val="major"/>
      </rPr>
      <t xml:space="preserve">
</t>
    </r>
    <r>
      <rPr>
        <u/>
        <sz val="10"/>
        <color theme="1"/>
        <rFont val="Arial"/>
        <family val="2"/>
        <scheme val="major"/>
      </rPr>
      <t>https://www.ice-d.org/antarctica/sample/99-MBL-021-MGM/</t>
    </r>
    <r>
      <rPr>
        <sz val="10"/>
        <color theme="1"/>
        <rFont val="Arial"/>
        <family val="2"/>
        <scheme val="major"/>
      </rPr>
      <t xml:space="preserve">
</t>
    </r>
    <r>
      <rPr>
        <u/>
        <sz val="10"/>
        <color theme="1"/>
        <rFont val="Arial"/>
        <family val="2"/>
        <scheme val="major"/>
      </rPr>
      <t>https://www.ice-d.org/antarctica/sample/99-MBL-015-MGM/</t>
    </r>
    <r>
      <rPr>
        <sz val="10"/>
        <color theme="1"/>
        <rFont val="Arial"/>
        <family val="2"/>
        <scheme val="major"/>
      </rPr>
      <t xml:space="preserve">
</t>
    </r>
    <r>
      <rPr>
        <u/>
        <sz val="10"/>
        <color theme="1"/>
        <rFont val="Arial"/>
        <family val="2"/>
        <scheme val="major"/>
      </rPr>
      <t>https://www.ice-d.org/antarctica/sample/99-MBL-020-MGM/</t>
    </r>
    <r>
      <rPr>
        <sz val="10"/>
        <color theme="1"/>
        <rFont val="Arial"/>
        <family val="2"/>
        <scheme val="major"/>
      </rPr>
      <t xml:space="preserve">
</t>
    </r>
    <r>
      <rPr>
        <u/>
        <sz val="10"/>
        <color theme="1"/>
        <rFont val="Arial"/>
        <family val="2"/>
        <scheme val="major"/>
      </rPr>
      <t>https://www.ice-d.org/antarctica/sample/99-MBL-031-MGM/</t>
    </r>
  </si>
  <si>
    <t xml:space="preserve">"Model ensemble B exhibits a narrower range of LGM thickness anomalies that span 200-400 m greater than present". </t>
  </si>
  <si>
    <t>https://doi.org/10.1002/esp.5701</t>
  </si>
  <si>
    <t xml:space="preserve">"Ice was at least ~50 m and perhaps &gt;120 higher than present during the LGM". </t>
  </si>
  <si>
    <t>"Ice elevation insouthern Mcmurdo Sound was &gt;520m above present day sea level on the eastern side of Mount Discovery during the LGM."</t>
  </si>
  <si>
    <t>https://doi.org/10.1016/j.quascirev.2016.12.007</t>
  </si>
  <si>
    <t>https://hess.ess.washington.edu/repository/tucker/Moening-Swanson_Tucker_Glacier_Thesis_May2014.pdf</t>
  </si>
  <si>
    <t xml:space="preserve">"At Terra Nova Bay, ice reached a thickness of 400 m (Hall et al., 2013). " "Adjacent to Tucker Glacier, Denton and Hughes (2002) believe that Ross Sea Ice reahced elevations similar to Terra Nova Bay". </t>
  </si>
  <si>
    <t>"Carbon 14 saturated bedrock samples at Diamond Hill represents a maximum bound on the LGM ice thickness of Darwin Glacier (~500 m thicker than present)."</t>
  </si>
  <si>
    <t>"Undated glacial erratices occur on Mt Suess up to 340 m above the modern ice surface, indicating that Makay Glacier may have been this thick during the LGM."</t>
  </si>
  <si>
    <t xml:space="preserve">"Results show that LGM ice thickness at the mouth of the glacier was between 1000-1200 m above the modern sea level". </t>
  </si>
  <si>
    <t>doi:10.1002/2017GL074216.</t>
  </si>
  <si>
    <t>"During the LGM, Scott Glacier ice descending from 1200 m at Taylor Ridge must have covered Mout Rigby (892m), located at the glacier mouth."</t>
  </si>
  <si>
    <t>"During the LGM, the APIS was at least 490m thicker than present."</t>
  </si>
  <si>
    <t>https://doi.org/10.1016/j.quascirev.2014.06.023</t>
  </si>
  <si>
    <t>https://doi.org/10.1657/1523-0430(2003)035[0175:GACHOT]2.0.CO;2</t>
  </si>
  <si>
    <t>"The Southern Antarctic Peninsula has at some time in the past been overridden by an ice sheet which was at least 500 m thicker than today."</t>
  </si>
  <si>
    <t>https://doi.org/10.5194/tc-13-3061-2019</t>
  </si>
  <si>
    <t>"Cosmogenic Carbon 14 concentrations in bedrock surfaces demonstrates that there was no more than ~190 m thicker than present during the past 30 kyr."</t>
  </si>
  <si>
    <t>"Value from Figure 9."</t>
  </si>
  <si>
    <t>https://doi.org/10.1130/G21165.1</t>
  </si>
  <si>
    <t>"Incorporating this revised elevation in the Denton and Hughes (2000) reconstruction of the Ross Sea Embayment would produce a Siple Dome that was only 500 m thicker during the LGM."</t>
  </si>
  <si>
    <t>"The data imply that the ice surface must have been at least 420 m above present in the central ASE."</t>
  </si>
  <si>
    <t>https://doi.org/10.1016/j.quascirev.2017.11.003</t>
  </si>
  <si>
    <t>" Ice was no more than ~190 m thicker than present…"</t>
  </si>
  <si>
    <t>"Slessor glacier was between 310 and up to 655 m thicker than present at the LGM."</t>
  </si>
  <si>
    <t xml:space="preserve">Results from Figure 9. </t>
  </si>
  <si>
    <t>"Reconstruct a regional loss of 600-700 m in ice thickness since the LGM (Zwartz et al., 1998). Northwestern parts of the Vestfold Hills may have been ice free during the LGM (Gibson et al., 2009)"</t>
  </si>
  <si>
    <t>"EAIS in this region has remained close to present day position since before the LGM!"</t>
  </si>
  <si>
    <t>"Ages indicate lowering of the ice sheet surface between 350-400 m between the LGM and Mid-Holocene. "</t>
  </si>
  <si>
    <t>"Thickening diminished inland away from the grounding zone, reaching ~160 m. "</t>
  </si>
  <si>
    <t>"LGM thickneing was greatest (~800m) at Mt. Stinear near the modern-day grounding zone (Mabin, 1991; White et al., 2011b). "</t>
  </si>
  <si>
    <t>"Ice thickening in this areas was limited to ~250m above preent ice shelf height in the vicinity of Loewe Massif. "</t>
  </si>
  <si>
    <t>"The flanks of Inexpressible Island were covered by at least 300m of ice during the LGM. "</t>
  </si>
  <si>
    <t>"The glacier sustained its surface level at ~260m above the modern ice level until the LGM. "</t>
  </si>
  <si>
    <t>"Tucker Glacier (near its present day grounding line) was 300 to 350 m thicker than present. "</t>
  </si>
  <si>
    <t>"An LGM ice surface estimate of 800m above the modern is closer to our potential LGM surface, but still appears to be an overestimate (Anderson et al. (2004). "</t>
  </si>
  <si>
    <t>"The highest site dated at Mt. Murphy is the highest of all the sites in ASE dated so far (only exposed since ~9ka). "Surface lowering detected at Mt. Murphy (&gt;560 m)."</t>
  </si>
  <si>
    <t>"Pine Island glacier was at least 690 m thicker than present to 8 ka."</t>
  </si>
  <si>
    <t>"Parts of the Larsemann Hills likely remained ice-free during the LGM (Hodgson et al., 2001). " …very little change in the ice sheet margin during thje LGM (Mackintosh et a;., 2014)."</t>
  </si>
  <si>
    <t>"Rauer Group archipelago would have a thickness of &gt;600 m at Filla Island. Most of the Rauer Group has been ice free throughout the Holocene. "</t>
  </si>
  <si>
    <t>https://www.pnas.org/action/downloadSupplement?doi=10.1073%2Fpnas.1205385109&amp;file=Appendix.pdf; https://onlinelibrary.wiley.com/doi/full/10.1111/j.1502-3885.2008.00069.x?casa_token=nUDNVijCBTQAAAAA%3AWX3-b0U68_fB7v4NlpdRHzFIO87m1f93MM_4uXLc_Od8oTGxlH353Za8UFpwHDSn0u48Hm7Jh69eZQw</t>
  </si>
  <si>
    <t>https://doi.org/10.1657/1523-0430(2003)035[0175:GACHOT]2.0.CO;2; https://www.pnas.org/action/downloadSupplement?doi=10.1073%2Fpnas.1205385109&amp;file=Appendix.pdf; https://doi.org/10.1016/j.quascirev.2011.10.011</t>
  </si>
  <si>
    <t>Golledge et al. (2012)</t>
  </si>
  <si>
    <t>https://www.pnas.org/action/downloadSupplement?doi=10.1073%2Fpnas.1205385109&amp;file=Appendix.pdf</t>
  </si>
  <si>
    <t>https://doi.org/10.1016/j.yqres.2009.04.002;  https://doi.org/10.1017/S0954102001000608; https://www.pnas.org/action/downloadSupplement?doi=10.1073%2Fpnas.1205385109&amp;file=Appendix.pdf</t>
  </si>
  <si>
    <t>"Ice thickening in this areas was limited to ~250m above present ice shelf height in the vicinity of Loewe Massif.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</si>
</sst>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
    <numFmt numFmtId="165" formatCode="\-00.00000"/>
    <numFmt numFmtId="166" formatCode="000.00000"/>
  </numFmts>
  <fonts count="18">
    <font>
      <sz val="10"/>
      <color rgb="FF000000"/>
      <name val="Arial"/>
      <scheme val="minor"/>
    </font>
    <font>
      <sz val="10"/>
      <color rgb="FF000000"/>
      <name val="Arial"/>
      <family val="2"/>
    </font>
    <font>
      <sz val="10"/>
      <color theme="1"/>
      <name val="Arial"/>
      <family val="2"/>
      <scheme val="minor"/>
    </font>
    <font>
      <b/>
      <sz val="10"/>
      <color rgb="FF000000"/>
      <name val="Arial"/>
      <family val="2"/>
      <scheme val="minor"/>
    </font>
    <font>
      <sz val="10"/>
      <color rgb="FF000000"/>
      <name val="&quot;Google Sans&quot;"/>
    </font>
    <font>
      <sz val="10"/>
      <color rgb="FF000000"/>
      <name val="ElsevierGulliver"/>
    </font>
    <font>
      <u/>
      <sz val="10"/>
      <color theme="10"/>
      <name val="Arial"/>
      <family val="2"/>
      <scheme val="minor"/>
    </font>
    <font>
      <sz val="10"/>
      <color rgb="FF000000"/>
      <name val="Arial"/>
      <family val="2"/>
      <scheme val="minor"/>
    </font>
    <font>
      <sz val="8"/>
      <name val="Arial"/>
      <family val="2"/>
      <scheme val="minor"/>
    </font>
    <font>
      <u/>
      <sz val="10"/>
      <color theme="1"/>
      <name val="Arial (Body)"/>
    </font>
    <font>
      <sz val="10"/>
      <color theme="1"/>
      <name val="Arial"/>
      <family val="2"/>
      <scheme val="major"/>
    </font>
    <font>
      <u/>
      <sz val="10"/>
      <color theme="1"/>
      <name val="Arial"/>
      <family val="2"/>
      <scheme val="major"/>
    </font>
    <font>
      <b/>
      <u/>
      <sz val="10"/>
      <color theme="1"/>
      <name val="Arial"/>
      <family val="2"/>
      <scheme val="major"/>
    </font>
    <font>
      <b/>
      <sz val="10"/>
      <color theme="1"/>
      <name val="Arial"/>
      <family val="2"/>
      <scheme val="major"/>
    </font>
    <font>
      <i/>
      <sz val="10"/>
      <color theme="1"/>
      <name val="Arial"/>
      <family val="2"/>
      <scheme val="major"/>
    </font>
    <font>
      <u/>
      <sz val="10"/>
      <color theme="1"/>
      <name val="Arial"/>
      <family val="2"/>
      <scheme val="minor"/>
    </font>
    <font>
      <sz val="10"/>
      <color theme="1"/>
      <name val="Arial (Headings)"/>
    </font>
    <font>
      <sz val="11"/>
      <color theme="1"/>
      <name val="Arial"/>
      <family val="2"/>
      <scheme val="major"/>
    </font>
  </fonts>
  <fills count="46">
    <fill>
      <patternFill patternType="none"/>
    </fill>
    <fill>
      <patternFill patternType="gray125"/>
    </fill>
    <fill>
      <patternFill patternType="solid">
        <fgColor rgb="FFD9F1F3"/>
        <bgColor rgb="FFD9F1F3"/>
      </patternFill>
    </fill>
    <fill>
      <patternFill patternType="solid">
        <fgColor rgb="FFD0E0E3"/>
        <bgColor rgb="FFD0E0E3"/>
      </patternFill>
    </fill>
    <fill>
      <patternFill patternType="solid">
        <fgColor rgb="FFA2C4C9"/>
        <bgColor rgb="FFA2C4C9"/>
      </patternFill>
    </fill>
    <fill>
      <patternFill patternType="solid">
        <fgColor rgb="FF76A5AF"/>
        <bgColor rgb="FF76A5AF"/>
      </patternFill>
    </fill>
    <fill>
      <patternFill patternType="solid">
        <fgColor rgb="FF45818E"/>
        <bgColor rgb="FF45818E"/>
      </patternFill>
    </fill>
    <fill>
      <patternFill patternType="solid">
        <fgColor rgb="FFF9CB9C"/>
        <bgColor rgb="FFF9CB9C"/>
      </patternFill>
    </fill>
    <fill>
      <patternFill patternType="solid">
        <fgColor rgb="FFD2F1DA"/>
        <bgColor rgb="FFD2F1DA"/>
      </patternFill>
    </fill>
    <fill>
      <patternFill patternType="solid">
        <fgColor rgb="FFF6B26B"/>
        <bgColor rgb="FFF6B26B"/>
      </patternFill>
    </fill>
    <fill>
      <patternFill patternType="solid">
        <fgColor rgb="FFE69138"/>
        <bgColor rgb="FFE69138"/>
      </patternFill>
    </fill>
    <fill>
      <patternFill patternType="solid">
        <fgColor rgb="FFFFE599"/>
        <bgColor rgb="FFFFE599"/>
      </patternFill>
    </fill>
    <fill>
      <patternFill patternType="solid">
        <fgColor rgb="FFFFD966"/>
        <bgColor rgb="FFFFD966"/>
      </patternFill>
    </fill>
    <fill>
      <patternFill patternType="solid">
        <fgColor theme="6"/>
        <bgColor theme="6"/>
      </patternFill>
    </fill>
    <fill>
      <patternFill patternType="solid">
        <fgColor rgb="FFF1C232"/>
        <bgColor rgb="FFF1C232"/>
      </patternFill>
    </fill>
    <fill>
      <patternFill patternType="solid">
        <fgColor rgb="FFA4C2F4"/>
        <bgColor rgb="FFA4C2F4"/>
      </patternFill>
    </fill>
    <fill>
      <patternFill patternType="solid">
        <fgColor rgb="FF6D9EEB"/>
        <bgColor rgb="FF6D9EEB"/>
      </patternFill>
    </fill>
    <fill>
      <patternFill patternType="solid">
        <fgColor rgb="FF3C78D8"/>
        <bgColor rgb="FF3C78D8"/>
      </patternFill>
    </fill>
    <fill>
      <patternFill patternType="solid">
        <fgColor rgb="FFD9D2E9"/>
        <bgColor rgb="FFD9D2E9"/>
      </patternFill>
    </fill>
    <fill>
      <patternFill patternType="solid">
        <fgColor rgb="FFB4A7D6"/>
        <bgColor rgb="FFB4A7D6"/>
      </patternFill>
    </fill>
    <fill>
      <patternFill patternType="solid">
        <fgColor rgb="FFE6B8AF"/>
        <bgColor rgb="FFE6B8AF"/>
      </patternFill>
    </fill>
    <fill>
      <patternFill patternType="solid">
        <fgColor rgb="FF93C47D"/>
        <bgColor rgb="FF93C47D"/>
      </patternFill>
    </fill>
    <fill>
      <patternFill patternType="solid">
        <fgColor rgb="FFDD7E6B"/>
        <bgColor rgb="FFDD7E6B"/>
      </patternFill>
    </fill>
    <fill>
      <patternFill patternType="solid">
        <fgColor rgb="FFCC4125"/>
        <bgColor rgb="FFCC4125"/>
      </patternFill>
    </fill>
    <fill>
      <patternFill patternType="solid">
        <fgColor rgb="FFEAD1DC"/>
        <bgColor rgb="FFEAD1DC"/>
      </patternFill>
    </fill>
    <fill>
      <patternFill patternType="solid">
        <fgColor rgb="FFD5A6BD"/>
        <bgColor rgb="FFD5A6BD"/>
      </patternFill>
    </fill>
    <fill>
      <patternFill patternType="solid">
        <fgColor rgb="FFD9EAD3"/>
        <bgColor rgb="FFD9EAD3"/>
      </patternFill>
    </fill>
    <fill>
      <patternFill patternType="solid">
        <fgColor rgb="FFB6D7A8"/>
        <bgColor rgb="FFB6D7A8"/>
      </patternFill>
    </fill>
    <fill>
      <patternFill patternType="solid">
        <fgColor rgb="FF8E7CC3"/>
        <bgColor rgb="FF8E7CC3"/>
      </patternFill>
    </fill>
    <fill>
      <patternFill patternType="solid">
        <fgColor rgb="FF674EA7"/>
        <bgColor rgb="FF674EA7"/>
      </patternFill>
    </fill>
    <fill>
      <patternFill patternType="solid">
        <fgColor rgb="FFFFF2CC"/>
        <bgColor rgb="FFFFF2CC"/>
      </patternFill>
    </fill>
    <fill>
      <patternFill patternType="solid">
        <fgColor rgb="FFC27BA0"/>
        <bgColor rgb="FFC27BA0"/>
      </patternFill>
    </fill>
    <fill>
      <patternFill patternType="solid">
        <fgColor rgb="FFA64D79"/>
        <bgColor rgb="FFA64D79"/>
      </patternFill>
    </fill>
    <fill>
      <patternFill patternType="solid">
        <fgColor rgb="FFE1E1E1"/>
        <bgColor rgb="FFE1E1E1"/>
      </patternFill>
    </fill>
    <fill>
      <patternFill patternType="solid">
        <fgColor rgb="FFC9DAF8"/>
        <bgColor rgb="FFC9DAF8"/>
      </patternFill>
    </fill>
    <fill>
      <patternFill patternType="solid">
        <fgColor rgb="FFFF0000"/>
        <bgColor rgb="FFFF0000"/>
      </patternFill>
    </fill>
    <fill>
      <patternFill patternType="solid">
        <fgColor rgb="FFE06666"/>
        <bgColor rgb="FFE06666"/>
      </patternFill>
    </fill>
    <fill>
      <patternFill patternType="solid">
        <fgColor rgb="FF6AA84F"/>
        <bgColor rgb="FF6AA84F"/>
      </patternFill>
    </fill>
    <fill>
      <patternFill patternType="solid">
        <fgColor rgb="FFF4CCCC"/>
        <bgColor rgb="FFF4CCCC"/>
      </patternFill>
    </fill>
    <fill>
      <patternFill patternType="solid">
        <fgColor rgb="FFEEEEEE"/>
        <bgColor rgb="FFEEEEEE"/>
      </patternFill>
    </fill>
    <fill>
      <patternFill patternType="solid">
        <fgColor rgb="FF1155CC"/>
        <bgColor rgb="FF1155CC"/>
      </patternFill>
    </fill>
    <fill>
      <patternFill patternType="solid">
        <fgColor rgb="FFEA9999"/>
        <bgColor rgb="FFEA9999"/>
      </patternFill>
    </fill>
    <fill>
      <patternFill patternType="solid">
        <fgColor theme="7" tint="0.79998168889431442"/>
        <bgColor indexed="64"/>
      </patternFill>
    </fill>
    <fill>
      <patternFill patternType="solid">
        <fgColor theme="6" tint="0.79998168889431442"/>
        <bgColor rgb="FFD9F1F3"/>
      </patternFill>
    </fill>
    <fill>
      <patternFill patternType="solid">
        <fgColor theme="6" tint="0.79998168889431442"/>
        <bgColor indexed="64"/>
      </patternFill>
    </fill>
    <fill>
      <patternFill patternType="solid">
        <fgColor theme="9" tint="0.79998168889431442"/>
        <bgColor indexed="64"/>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C4C4C4"/>
      </left>
      <right style="thin">
        <color rgb="FFC4C4C4"/>
      </right>
      <top style="thin">
        <color rgb="FFC4C4C4"/>
      </top>
      <bottom style="thin">
        <color rgb="FFC4C4C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8E8E8E"/>
      </top>
      <bottom/>
      <diagonal/>
    </border>
    <border>
      <left/>
      <right/>
      <top style="thin">
        <color rgb="FF8E8E8E"/>
      </top>
      <bottom style="thin">
        <color rgb="FF8E8E8E"/>
      </bottom>
      <diagonal/>
    </border>
    <border>
      <left/>
      <right/>
      <top/>
      <bottom style="thin">
        <color rgb="FFC4C4C4"/>
      </bottom>
      <diagonal/>
    </border>
    <border>
      <left style="thin">
        <color rgb="FFCC4125"/>
      </left>
      <right style="thin">
        <color rgb="FFCC4125"/>
      </right>
      <top/>
      <bottom/>
      <diagonal/>
    </border>
  </borders>
  <cellStyleXfs count="2">
    <xf numFmtId="0" fontId="0" fillId="0" borderId="0"/>
    <xf numFmtId="0" fontId="6" fillId="0" borderId="0" applyNumberFormat="0" applyFill="0" applyBorder="0" applyAlignment="0" applyProtection="0"/>
  </cellStyleXfs>
  <cellXfs count="214">
    <xf numFmtId="0" fontId="0" fillId="0" borderId="0" xfId="0"/>
    <xf numFmtId="0" fontId="0" fillId="0" borderId="0" xfId="0" applyAlignment="1">
      <alignment horizontal="right"/>
    </xf>
    <xf numFmtId="0" fontId="1" fillId="0" borderId="0" xfId="0" applyFont="1" applyAlignment="1">
      <alignment horizontal="right"/>
    </xf>
    <xf numFmtId="0" fontId="4" fillId="0" borderId="0" xfId="0" applyFont="1" applyAlignment="1">
      <alignment horizontal="right"/>
    </xf>
    <xf numFmtId="0" fontId="4" fillId="0" borderId="0" xfId="0" applyFont="1"/>
    <xf numFmtId="0" fontId="5" fillId="0" borderId="0" xfId="0" applyFont="1"/>
    <xf numFmtId="0" fontId="2" fillId="0" borderId="0" xfId="0" applyFont="1" applyAlignment="1">
      <alignment horizontal="right"/>
    </xf>
    <xf numFmtId="0" fontId="6" fillId="44" borderId="0" xfId="1" applyFill="1"/>
    <xf numFmtId="0" fontId="6" fillId="44" borderId="0" xfId="1" applyFill="1" applyAlignment="1">
      <alignment horizontal="left"/>
    </xf>
    <xf numFmtId="0" fontId="6" fillId="45" borderId="0" xfId="1" applyFill="1" applyAlignment="1">
      <alignment horizontal="left"/>
    </xf>
    <xf numFmtId="0" fontId="10" fillId="2" borderId="1" xfId="0" applyFont="1" applyFill="1" applyBorder="1" applyAlignment="1">
      <alignment wrapText="1"/>
    </xf>
    <xf numFmtId="0" fontId="10" fillId="2" borderId="1" xfId="0" applyFont="1" applyFill="1" applyBorder="1" applyAlignment="1">
      <alignment horizontal="left" wrapText="1"/>
    </xf>
    <xf numFmtId="0" fontId="10" fillId="2" borderId="5" xfId="0" applyFont="1" applyFill="1" applyBorder="1" applyAlignment="1">
      <alignment wrapText="1"/>
    </xf>
    <xf numFmtId="0" fontId="10" fillId="43" borderId="1" xfId="0" applyFont="1" applyFill="1" applyBorder="1" applyAlignment="1">
      <alignment horizontal="left" wrapText="1"/>
    </xf>
    <xf numFmtId="0" fontId="10" fillId="43" borderId="5" xfId="0" applyFont="1" applyFill="1" applyBorder="1" applyAlignment="1">
      <alignment horizontal="left"/>
    </xf>
    <xf numFmtId="0" fontId="10" fillId="43" borderId="5" xfId="0" applyFont="1" applyFill="1" applyBorder="1" applyAlignment="1">
      <alignment horizontal="left" vertical="top"/>
    </xf>
    <xf numFmtId="0" fontId="10" fillId="0" borderId="0" xfId="0" applyFont="1" applyAlignment="1">
      <alignment wrapText="1"/>
    </xf>
    <xf numFmtId="0" fontId="10" fillId="0" borderId="0" xfId="0" applyFont="1"/>
    <xf numFmtId="0" fontId="10" fillId="3" borderId="0" xfId="0" applyFont="1" applyFill="1"/>
    <xf numFmtId="0" fontId="10" fillId="0" borderId="0" xfId="0" applyFont="1" applyAlignment="1">
      <alignment horizontal="left"/>
    </xf>
    <xf numFmtId="0" fontId="10" fillId="42" borderId="0" xfId="0" applyFont="1" applyFill="1" applyAlignment="1">
      <alignment horizontal="left"/>
    </xf>
    <xf numFmtId="0" fontId="11" fillId="0" borderId="0" xfId="0" applyFont="1"/>
    <xf numFmtId="0" fontId="10" fillId="0" borderId="0" xfId="0" applyFont="1" applyAlignment="1">
      <alignment horizontal="right"/>
    </xf>
    <xf numFmtId="0" fontId="10" fillId="44" borderId="0" xfId="0" applyFont="1" applyFill="1" applyAlignment="1">
      <alignment horizontal="left"/>
    </xf>
    <xf numFmtId="0" fontId="11" fillId="44" borderId="0" xfId="1" applyFont="1" applyFill="1" applyAlignment="1">
      <alignment horizontal="left"/>
    </xf>
    <xf numFmtId="0" fontId="10" fillId="44" borderId="0" xfId="1" applyFont="1" applyFill="1" applyAlignment="1">
      <alignment horizontal="left" vertical="top"/>
    </xf>
    <xf numFmtId="3" fontId="10" fillId="0" borderId="1" xfId="0" applyNumberFormat="1" applyFont="1" applyBorder="1" applyAlignment="1">
      <alignment horizontal="right"/>
    </xf>
    <xf numFmtId="0" fontId="10" fillId="0" borderId="1" xfId="0" applyFont="1" applyBorder="1" applyAlignment="1">
      <alignment horizontal="right"/>
    </xf>
    <xf numFmtId="0" fontId="10" fillId="0" borderId="1" xfId="0" applyFont="1" applyBorder="1"/>
    <xf numFmtId="0" fontId="10" fillId="4" borderId="0" xfId="0" applyFont="1" applyFill="1"/>
    <xf numFmtId="0" fontId="10" fillId="5" borderId="0" xfId="0" applyFont="1" applyFill="1"/>
    <xf numFmtId="0" fontId="10" fillId="6" borderId="0" xfId="0" applyFont="1" applyFill="1"/>
    <xf numFmtId="0" fontId="10" fillId="7" borderId="0" xfId="0" applyFont="1" applyFill="1"/>
    <xf numFmtId="0" fontId="10" fillId="0" borderId="1" xfId="0" applyFont="1" applyBorder="1" applyAlignment="1">
      <alignment horizontal="left"/>
    </xf>
    <xf numFmtId="0" fontId="10" fillId="8" borderId="1" xfId="0" applyFont="1" applyFill="1" applyBorder="1" applyAlignment="1">
      <alignment horizontal="right"/>
    </xf>
    <xf numFmtId="3" fontId="10" fillId="0" borderId="0" xfId="0" applyNumberFormat="1" applyFont="1" applyAlignment="1">
      <alignment horizontal="left"/>
    </xf>
    <xf numFmtId="3" fontId="10" fillId="0" borderId="0" xfId="0" applyNumberFormat="1" applyFont="1"/>
    <xf numFmtId="0" fontId="10" fillId="9" borderId="0" xfId="0" applyFont="1" applyFill="1"/>
    <xf numFmtId="0" fontId="10" fillId="10" borderId="0" xfId="0" applyFont="1" applyFill="1"/>
    <xf numFmtId="0" fontId="10" fillId="11" borderId="0" xfId="0" applyFont="1" applyFill="1"/>
    <xf numFmtId="0" fontId="10" fillId="12" borderId="0" xfId="0" applyFont="1" applyFill="1"/>
    <xf numFmtId="0" fontId="10" fillId="13" borderId="0" xfId="0" applyFont="1" applyFill="1"/>
    <xf numFmtId="0" fontId="10" fillId="14" borderId="0" xfId="0" applyFont="1" applyFill="1"/>
    <xf numFmtId="0" fontId="10" fillId="15" borderId="0" xfId="0" applyFont="1" applyFill="1"/>
    <xf numFmtId="0" fontId="10" fillId="44" borderId="0" xfId="0" applyFont="1" applyFill="1" applyAlignment="1">
      <alignment horizontal="left" vertical="top"/>
    </xf>
    <xf numFmtId="0" fontId="10" fillId="16" borderId="0" xfId="0" applyFont="1" applyFill="1"/>
    <xf numFmtId="0" fontId="10" fillId="17" borderId="0" xfId="0" applyFont="1" applyFill="1"/>
    <xf numFmtId="0" fontId="10" fillId="18" borderId="0" xfId="0" applyFont="1" applyFill="1"/>
    <xf numFmtId="0" fontId="10" fillId="19" borderId="0" xfId="0" applyFont="1" applyFill="1"/>
    <xf numFmtId="0" fontId="10" fillId="20" borderId="0" xfId="0" applyFont="1" applyFill="1"/>
    <xf numFmtId="0" fontId="10" fillId="21" borderId="0" xfId="0" applyFont="1" applyFill="1"/>
    <xf numFmtId="0" fontId="11" fillId="21" borderId="0" xfId="0" applyFont="1" applyFill="1"/>
    <xf numFmtId="0" fontId="10" fillId="22" borderId="0" xfId="0" applyFont="1" applyFill="1"/>
    <xf numFmtId="0" fontId="10" fillId="22" borderId="0" xfId="0" applyFont="1" applyFill="1" applyAlignment="1">
      <alignment horizontal="left"/>
    </xf>
    <xf numFmtId="0" fontId="10" fillId="23" borderId="0" xfId="0" applyFont="1" applyFill="1"/>
    <xf numFmtId="0" fontId="10" fillId="23" borderId="0" xfId="0" applyFont="1" applyFill="1" applyAlignment="1">
      <alignment horizontal="left"/>
    </xf>
    <xf numFmtId="3" fontId="10" fillId="0" borderId="1" xfId="0" applyNumberFormat="1" applyFont="1" applyBorder="1"/>
    <xf numFmtId="0" fontId="10" fillId="24" borderId="0" xfId="0" applyFont="1" applyFill="1"/>
    <xf numFmtId="0" fontId="10" fillId="25" borderId="0" xfId="0" applyFont="1" applyFill="1"/>
    <xf numFmtId="0" fontId="10" fillId="0" borderId="0" xfId="0" applyFont="1" applyAlignment="1">
      <alignment horizontal="center"/>
    </xf>
    <xf numFmtId="3" fontId="10" fillId="0" borderId="0" xfId="0" applyNumberFormat="1" applyFont="1" applyAlignment="1">
      <alignment horizontal="right"/>
    </xf>
    <xf numFmtId="0" fontId="10" fillId="26" borderId="0" xfId="0" applyFont="1" applyFill="1"/>
    <xf numFmtId="0" fontId="11" fillId="26" borderId="0" xfId="0" applyFont="1" applyFill="1"/>
    <xf numFmtId="0" fontId="10" fillId="27" borderId="0" xfId="0" applyFont="1" applyFill="1"/>
    <xf numFmtId="0" fontId="10" fillId="28" borderId="0" xfId="0" applyFont="1" applyFill="1"/>
    <xf numFmtId="0" fontId="10" fillId="0" borderId="2" xfId="0" applyFont="1" applyBorder="1" applyAlignment="1">
      <alignment horizontal="left"/>
    </xf>
    <xf numFmtId="0" fontId="10" fillId="0" borderId="3" xfId="0" applyFont="1" applyBorder="1" applyAlignment="1">
      <alignment horizontal="left"/>
    </xf>
    <xf numFmtId="0" fontId="10" fillId="45" borderId="0" xfId="0" applyFont="1" applyFill="1" applyAlignment="1">
      <alignment horizontal="left"/>
    </xf>
    <xf numFmtId="0" fontId="11" fillId="45" borderId="0" xfId="1" applyFont="1" applyFill="1" applyAlignment="1">
      <alignment horizontal="left"/>
    </xf>
    <xf numFmtId="0" fontId="10" fillId="45" borderId="0" xfId="0" applyFont="1" applyFill="1" applyAlignment="1">
      <alignment horizontal="left" vertical="top"/>
    </xf>
    <xf numFmtId="0" fontId="10" fillId="29" borderId="0" xfId="0" applyFont="1" applyFill="1"/>
    <xf numFmtId="0" fontId="10" fillId="24" borderId="1" xfId="0" applyFont="1" applyFill="1" applyBorder="1"/>
    <xf numFmtId="0" fontId="11" fillId="29" borderId="0" xfId="0" applyFont="1" applyFill="1"/>
    <xf numFmtId="0" fontId="10" fillId="30" borderId="0" xfId="0" applyFont="1" applyFill="1"/>
    <xf numFmtId="0" fontId="10" fillId="31" borderId="0" xfId="0" applyFont="1" applyFill="1"/>
    <xf numFmtId="0" fontId="11" fillId="31" borderId="0" xfId="0" applyFont="1" applyFill="1"/>
    <xf numFmtId="0" fontId="10" fillId="32" borderId="0" xfId="0" applyFont="1" applyFill="1"/>
    <xf numFmtId="0" fontId="10" fillId="42" borderId="1" xfId="0" applyFont="1" applyFill="1" applyBorder="1" applyAlignment="1">
      <alignment horizontal="left"/>
    </xf>
    <xf numFmtId="0" fontId="12" fillId="33" borderId="6" xfId="0" applyFont="1" applyFill="1" applyBorder="1" applyAlignment="1">
      <alignment horizontal="left"/>
    </xf>
    <xf numFmtId="0" fontId="10" fillId="33" borderId="6" xfId="0" applyFont="1" applyFill="1" applyBorder="1" applyAlignment="1">
      <alignment horizontal="left"/>
    </xf>
    <xf numFmtId="0" fontId="10" fillId="33" borderId="0" xfId="0" applyFont="1" applyFill="1" applyAlignment="1">
      <alignment horizontal="left"/>
    </xf>
    <xf numFmtId="3" fontId="10" fillId="33" borderId="6" xfId="0" applyNumberFormat="1" applyFont="1" applyFill="1" applyBorder="1" applyAlignment="1">
      <alignment horizontal="left"/>
    </xf>
    <xf numFmtId="0" fontId="10" fillId="34" borderId="0" xfId="0" applyFont="1" applyFill="1"/>
    <xf numFmtId="0" fontId="11" fillId="34" borderId="0" xfId="0" applyFont="1" applyFill="1"/>
    <xf numFmtId="0" fontId="11" fillId="44" borderId="0" xfId="1" applyFont="1" applyFill="1"/>
    <xf numFmtId="0" fontId="11" fillId="32" borderId="0" xfId="0" applyFont="1" applyFill="1"/>
    <xf numFmtId="0" fontId="10" fillId="0" borderId="1" xfId="0" applyFont="1" applyBorder="1" applyAlignment="1">
      <alignment horizontal="left" wrapText="1"/>
    </xf>
    <xf numFmtId="0" fontId="10" fillId="12" borderId="0" xfId="0" applyFont="1" applyFill="1" applyAlignment="1">
      <alignment horizontal="left" vertical="top" wrapText="1"/>
    </xf>
    <xf numFmtId="0" fontId="10" fillId="35" borderId="0" xfId="0" applyFont="1" applyFill="1"/>
    <xf numFmtId="164" fontId="10" fillId="0" borderId="0" xfId="0" applyNumberFormat="1" applyFont="1" applyAlignment="1">
      <alignment horizontal="left" vertical="top" wrapText="1"/>
    </xf>
    <xf numFmtId="1" fontId="10" fillId="0" borderId="0" xfId="0" applyNumberFormat="1" applyFont="1" applyAlignment="1">
      <alignment horizontal="left" vertical="top" wrapText="1"/>
    </xf>
    <xf numFmtId="1" fontId="10" fillId="0" borderId="0" xfId="0" applyNumberFormat="1" applyFont="1" applyAlignment="1">
      <alignment horizontal="right"/>
    </xf>
    <xf numFmtId="3" fontId="10" fillId="0" borderId="0" xfId="0" applyNumberFormat="1" applyFont="1" applyAlignment="1">
      <alignment horizontal="left" vertical="top" wrapText="1"/>
    </xf>
    <xf numFmtId="165" fontId="10" fillId="0" borderId="0" xfId="0" applyNumberFormat="1" applyFont="1" applyAlignment="1">
      <alignment horizontal="left" vertical="top" wrapText="1"/>
    </xf>
    <xf numFmtId="166" fontId="10" fillId="0" borderId="0" xfId="0" applyNumberFormat="1" applyFont="1" applyAlignment="1">
      <alignment horizontal="left" vertical="top" wrapText="1"/>
    </xf>
    <xf numFmtId="0" fontId="11" fillId="7" borderId="0" xfId="0" applyFont="1" applyFill="1"/>
    <xf numFmtId="0" fontId="13" fillId="0" borderId="0" xfId="0" applyFont="1"/>
    <xf numFmtId="0" fontId="11" fillId="17" borderId="0" xfId="0" applyFont="1" applyFill="1"/>
    <xf numFmtId="0" fontId="11" fillId="18" borderId="0" xfId="0" applyFont="1" applyFill="1"/>
    <xf numFmtId="0" fontId="11" fillId="0" borderId="0" xfId="0" applyFont="1" applyAlignment="1">
      <alignment horizontal="center"/>
    </xf>
    <xf numFmtId="0" fontId="11" fillId="15" borderId="0" xfId="0" applyFont="1" applyFill="1"/>
    <xf numFmtId="0" fontId="10" fillId="36" borderId="7" xfId="0" applyFont="1" applyFill="1" applyBorder="1"/>
    <xf numFmtId="0" fontId="10" fillId="36" borderId="0" xfId="0" applyFont="1" applyFill="1"/>
    <xf numFmtId="0" fontId="10" fillId="0" borderId="8" xfId="0" applyFont="1" applyBorder="1" applyAlignment="1">
      <alignment horizontal="right"/>
    </xf>
    <xf numFmtId="3" fontId="10" fillId="0" borderId="8" xfId="0" applyNumberFormat="1" applyFont="1" applyBorder="1" applyAlignment="1">
      <alignment horizontal="right"/>
    </xf>
    <xf numFmtId="0" fontId="10" fillId="36" borderId="8" xfId="0" applyFont="1" applyFill="1" applyBorder="1"/>
    <xf numFmtId="0" fontId="10" fillId="9" borderId="8" xfId="0" applyFont="1" applyFill="1" applyBorder="1"/>
    <xf numFmtId="0" fontId="10" fillId="10" borderId="8" xfId="0" applyFont="1" applyFill="1" applyBorder="1"/>
    <xf numFmtId="0" fontId="10" fillId="11" borderId="8" xfId="0" applyFont="1" applyFill="1" applyBorder="1"/>
    <xf numFmtId="0" fontId="10" fillId="7" borderId="8" xfId="0" applyFont="1" applyFill="1" applyBorder="1"/>
    <xf numFmtId="0" fontId="10" fillId="26" borderId="8" xfId="0" applyFont="1" applyFill="1" applyBorder="1"/>
    <xf numFmtId="0" fontId="10" fillId="12" borderId="8" xfId="0" applyFont="1" applyFill="1" applyBorder="1"/>
    <xf numFmtId="0" fontId="10" fillId="27" borderId="8" xfId="0" applyFont="1" applyFill="1" applyBorder="1"/>
    <xf numFmtId="0" fontId="10" fillId="37" borderId="0" xfId="0" applyFont="1" applyFill="1"/>
    <xf numFmtId="0" fontId="10" fillId="14" borderId="8" xfId="0" applyFont="1" applyFill="1" applyBorder="1"/>
    <xf numFmtId="0" fontId="10" fillId="44" borderId="0" xfId="0" applyFont="1" applyFill="1"/>
    <xf numFmtId="0" fontId="10" fillId="45" borderId="0" xfId="0" applyFont="1" applyFill="1"/>
    <xf numFmtId="0" fontId="11" fillId="19" borderId="0" xfId="0" applyFont="1" applyFill="1"/>
    <xf numFmtId="0" fontId="11" fillId="24" borderId="0" xfId="0" applyFont="1" applyFill="1"/>
    <xf numFmtId="0" fontId="11" fillId="6" borderId="0" xfId="0" applyFont="1" applyFill="1"/>
    <xf numFmtId="0" fontId="11" fillId="16" borderId="0" xfId="0" applyFont="1" applyFill="1"/>
    <xf numFmtId="0" fontId="10" fillId="38" borderId="0" xfId="0" applyFont="1" applyFill="1"/>
    <xf numFmtId="0" fontId="10" fillId="0" borderId="9" xfId="0" applyFont="1" applyBorder="1" applyAlignment="1">
      <alignment horizontal="left" vertical="top"/>
    </xf>
    <xf numFmtId="0" fontId="10" fillId="0" borderId="9" xfId="0" applyFont="1" applyBorder="1" applyAlignment="1">
      <alignment vertical="top"/>
    </xf>
    <xf numFmtId="0" fontId="10" fillId="0" borderId="10" xfId="0" applyFont="1" applyBorder="1" applyAlignment="1">
      <alignment vertical="top"/>
    </xf>
    <xf numFmtId="0" fontId="10" fillId="0" borderId="0" xfId="0" applyFont="1" applyAlignment="1">
      <alignment horizontal="right" vertical="top"/>
    </xf>
    <xf numFmtId="3" fontId="10" fillId="0" borderId="11" xfId="0" applyNumberFormat="1" applyFont="1" applyBorder="1" applyAlignment="1">
      <alignment horizontal="right"/>
    </xf>
    <xf numFmtId="0" fontId="13" fillId="39" borderId="0" xfId="0" applyFont="1" applyFill="1"/>
    <xf numFmtId="3" fontId="10" fillId="33" borderId="0" xfId="0" applyNumberFormat="1" applyFont="1" applyFill="1" applyAlignment="1">
      <alignment horizontal="left"/>
    </xf>
    <xf numFmtId="0" fontId="10" fillId="40" borderId="0" xfId="0" applyFont="1" applyFill="1"/>
    <xf numFmtId="0" fontId="10" fillId="41" borderId="0" xfId="0" applyFont="1" applyFill="1"/>
    <xf numFmtId="0" fontId="11" fillId="36" borderId="0" xfId="0" applyFont="1" applyFill="1"/>
    <xf numFmtId="0" fontId="12" fillId="39" borderId="0" xfId="0" applyFont="1" applyFill="1"/>
    <xf numFmtId="0" fontId="10" fillId="17" borderId="1" xfId="0" applyFont="1" applyFill="1" applyBorder="1"/>
    <xf numFmtId="0" fontId="10" fillId="40" borderId="1" xfId="0" applyFont="1" applyFill="1" applyBorder="1"/>
    <xf numFmtId="0" fontId="10" fillId="0" borderId="0" xfId="0" applyFont="1" applyAlignment="1">
      <alignment horizontal="left" wrapText="1"/>
    </xf>
    <xf numFmtId="0" fontId="10" fillId="23" borderId="2" xfId="0" applyFont="1" applyFill="1" applyBorder="1"/>
    <xf numFmtId="0" fontId="10" fillId="0" borderId="3" xfId="0" applyFont="1" applyBorder="1"/>
    <xf numFmtId="0" fontId="11" fillId="23" borderId="0" xfId="0" applyFont="1" applyFill="1"/>
    <xf numFmtId="0" fontId="10" fillId="20" borderId="0" xfId="0" applyFont="1" applyFill="1" applyAlignment="1">
      <alignment horizontal="left"/>
    </xf>
    <xf numFmtId="0" fontId="10" fillId="38" borderId="0" xfId="0" applyFont="1" applyFill="1" applyAlignment="1">
      <alignment horizontal="left"/>
    </xf>
    <xf numFmtId="0" fontId="10" fillId="11" borderId="1" xfId="0" applyFont="1" applyFill="1" applyBorder="1"/>
    <xf numFmtId="0" fontId="10" fillId="42" borderId="0" xfId="0" applyFont="1" applyFill="1" applyAlignment="1">
      <alignment horizontal="left" wrapText="1"/>
    </xf>
    <xf numFmtId="0" fontId="10" fillId="44" borderId="0" xfId="0" applyFont="1" applyFill="1" applyAlignment="1">
      <alignment horizontal="left" wrapText="1"/>
    </xf>
    <xf numFmtId="0" fontId="14" fillId="0" borderId="0" xfId="0" applyFont="1" applyAlignment="1">
      <alignment horizontal="left"/>
    </xf>
    <xf numFmtId="0" fontId="10" fillId="0" borderId="8" xfId="0" applyFont="1" applyBorder="1"/>
    <xf numFmtId="3" fontId="10" fillId="0" borderId="8" xfId="0" applyNumberFormat="1" applyFont="1" applyBorder="1"/>
    <xf numFmtId="0" fontId="15" fillId="44" borderId="0" xfId="1" applyFont="1" applyFill="1"/>
    <xf numFmtId="0" fontId="16" fillId="44" borderId="0" xfId="1" applyFont="1" applyFill="1" applyAlignment="1">
      <alignment horizontal="left" vertical="top"/>
    </xf>
    <xf numFmtId="0" fontId="15" fillId="44" borderId="0" xfId="1" applyFont="1" applyFill="1" applyAlignment="1">
      <alignment horizontal="left"/>
    </xf>
    <xf numFmtId="0" fontId="7" fillId="44" borderId="0" xfId="0" applyFont="1" applyFill="1"/>
    <xf numFmtId="0" fontId="17" fillId="44" borderId="0" xfId="0" applyFont="1" applyFill="1"/>
    <xf numFmtId="0" fontId="9" fillId="44" borderId="0" xfId="1" applyFont="1" applyFill="1"/>
    <xf numFmtId="0" fontId="9" fillId="44" borderId="0" xfId="1" applyFont="1" applyFill="1" applyAlignment="1">
      <alignment horizontal="left"/>
    </xf>
    <xf numFmtId="0" fontId="11" fillId="41" borderId="0" xfId="0" applyFont="1" applyFill="1"/>
    <xf numFmtId="0" fontId="10" fillId="0" borderId="0" xfId="0" applyFont="1"/>
    <xf numFmtId="0" fontId="10" fillId="36" borderId="0" xfId="0" applyFont="1" applyFill="1"/>
    <xf numFmtId="0" fontId="10" fillId="7" borderId="0" xfId="0" applyFont="1" applyFill="1"/>
    <xf numFmtId="0" fontId="11" fillId="9" borderId="0" xfId="0" applyFont="1" applyFill="1"/>
    <xf numFmtId="0" fontId="11" fillId="10" borderId="0" xfId="0" applyFont="1" applyFill="1"/>
    <xf numFmtId="0" fontId="11" fillId="11" borderId="0" xfId="0" applyFont="1" applyFill="1"/>
    <xf numFmtId="0" fontId="11" fillId="12" borderId="0" xfId="0" applyFont="1" applyFill="1"/>
    <xf numFmtId="0" fontId="10" fillId="11" borderId="0" xfId="0" applyFont="1" applyFill="1"/>
    <xf numFmtId="0" fontId="11" fillId="31" borderId="0" xfId="0" applyFont="1" applyFill="1"/>
    <xf numFmtId="0" fontId="10" fillId="41" borderId="0" xfId="0" applyFont="1" applyFill="1"/>
    <xf numFmtId="0" fontId="11" fillId="36" borderId="0" xfId="0" applyFont="1" applyFill="1"/>
    <xf numFmtId="0" fontId="11" fillId="7" borderId="0" xfId="0" applyFont="1" applyFill="1"/>
    <xf numFmtId="0" fontId="10" fillId="22" borderId="0" xfId="0" applyFont="1" applyFill="1"/>
    <xf numFmtId="0" fontId="10" fillId="23" borderId="0" xfId="0" applyFont="1" applyFill="1"/>
    <xf numFmtId="0" fontId="10" fillId="38" borderId="0" xfId="0" applyFont="1" applyFill="1"/>
    <xf numFmtId="0" fontId="10" fillId="6" borderId="0" xfId="0" applyFont="1" applyFill="1"/>
    <xf numFmtId="0" fontId="10" fillId="23" borderId="12" xfId="0" applyFont="1" applyFill="1" applyBorder="1"/>
    <xf numFmtId="0" fontId="10" fillId="0" borderId="12" xfId="0" applyFont="1" applyBorder="1"/>
    <xf numFmtId="0" fontId="10" fillId="32" borderId="0" xfId="0" applyFont="1" applyFill="1"/>
    <xf numFmtId="0" fontId="10" fillId="20" borderId="0" xfId="0" applyFont="1" applyFill="1"/>
    <xf numFmtId="0" fontId="10" fillId="31" borderId="0" xfId="0" applyFont="1" applyFill="1"/>
    <xf numFmtId="0" fontId="10" fillId="25" borderId="0" xfId="0" applyFont="1" applyFill="1"/>
    <xf numFmtId="0" fontId="11" fillId="34" borderId="0" xfId="0" applyFont="1" applyFill="1"/>
    <xf numFmtId="0" fontId="10" fillId="15" borderId="0" xfId="0" applyFont="1" applyFill="1"/>
    <xf numFmtId="0" fontId="11" fillId="17" borderId="0" xfId="0" applyFont="1" applyFill="1"/>
    <xf numFmtId="0" fontId="10" fillId="16" borderId="0" xfId="0" applyFont="1" applyFill="1"/>
    <xf numFmtId="0" fontId="10" fillId="18" borderId="0" xfId="0" applyFont="1" applyFill="1"/>
    <xf numFmtId="0" fontId="10" fillId="37" borderId="0" xfId="0" applyFont="1" applyFill="1"/>
    <xf numFmtId="0" fontId="10" fillId="3" borderId="0" xfId="0" applyFont="1" applyFill="1"/>
    <xf numFmtId="0" fontId="10" fillId="4" borderId="0" xfId="0" applyFont="1" applyFill="1"/>
    <xf numFmtId="0" fontId="10" fillId="5" borderId="0" xfId="0" applyFont="1" applyFill="1"/>
    <xf numFmtId="0" fontId="10" fillId="29" borderId="0" xfId="0" applyFont="1" applyFill="1"/>
    <xf numFmtId="0" fontId="11" fillId="25" borderId="0" xfId="0" applyFont="1" applyFill="1"/>
    <xf numFmtId="0" fontId="10" fillId="21" borderId="0" xfId="0" applyFont="1" applyFill="1"/>
    <xf numFmtId="0" fontId="11" fillId="37" borderId="0" xfId="0" applyFont="1" applyFill="1"/>
    <xf numFmtId="0" fontId="11" fillId="5" borderId="0" xfId="0" applyFont="1" applyFill="1"/>
    <xf numFmtId="0" fontId="10" fillId="17" borderId="0" xfId="0" applyFont="1" applyFill="1"/>
    <xf numFmtId="0" fontId="11" fillId="27" borderId="0" xfId="0" applyFont="1" applyFill="1"/>
    <xf numFmtId="0" fontId="10" fillId="40" borderId="0" xfId="0" applyFont="1" applyFill="1"/>
    <xf numFmtId="0" fontId="10" fillId="28" borderId="0" xfId="0" applyFont="1" applyFill="1"/>
    <xf numFmtId="0" fontId="10" fillId="34" borderId="0" xfId="0" applyFont="1" applyFill="1"/>
    <xf numFmtId="0" fontId="10" fillId="27" borderId="0" xfId="0" applyFont="1" applyFill="1"/>
    <xf numFmtId="0" fontId="11" fillId="3" borderId="0" xfId="0" applyFont="1" applyFill="1"/>
    <xf numFmtId="0" fontId="11" fillId="28" borderId="0" xfId="0" applyFont="1" applyFill="1"/>
    <xf numFmtId="0" fontId="10" fillId="12" borderId="0" xfId="0" applyFont="1" applyFill="1"/>
    <xf numFmtId="0" fontId="10" fillId="9" borderId="0" xfId="0" applyFont="1" applyFill="1"/>
    <xf numFmtId="0" fontId="10" fillId="10" borderId="0" xfId="0" applyFont="1" applyFill="1"/>
    <xf numFmtId="0" fontId="10" fillId="12" borderId="0" xfId="0" applyFont="1" applyFill="1" applyAlignment="1">
      <alignment horizontal="left" vertical="top" wrapText="1"/>
    </xf>
    <xf numFmtId="0" fontId="10" fillId="24" borderId="0" xfId="0" applyFont="1" applyFill="1"/>
    <xf numFmtId="0" fontId="11" fillId="14" borderId="0" xfId="0" applyFont="1" applyFill="1"/>
    <xf numFmtId="0" fontId="10" fillId="19" borderId="0" xfId="0" applyFont="1" applyFill="1"/>
    <xf numFmtId="0" fontId="10" fillId="26" borderId="0" xfId="0" applyFont="1" applyFill="1"/>
    <xf numFmtId="0" fontId="11" fillId="26" borderId="0" xfId="0" applyFont="1" applyFill="1"/>
    <xf numFmtId="0" fontId="10" fillId="24" borderId="4" xfId="0" applyFont="1" applyFill="1" applyBorder="1"/>
    <xf numFmtId="0" fontId="10" fillId="0" borderId="5" xfId="0" applyFont="1" applyBorder="1"/>
    <xf numFmtId="0" fontId="11" fillId="29" borderId="0" xfId="0" applyFont="1" applyFill="1"/>
    <xf numFmtId="0" fontId="3" fillId="0" borderId="0" xfId="0" applyFont="1"/>
    <xf numFmtId="0" fontId="0" fillId="0" borderId="0" xfId="0"/>
    <xf numFmtId="0" fontId="6" fillId="0" borderId="0" xfId="1"/>
  </cellXfs>
  <cellStyles count="2">
    <cellStyle name="Hyperlink" xfId="1" builtinId="8"/>
    <cellStyle name="Normal" xfId="0" builtinId="0"/>
  </cellStyles>
  <dxfs count="8">
    <dxf>
      <fill>
        <patternFill patternType="solid">
          <fgColor rgb="FFF4CCCC"/>
          <bgColor rgb="FFF4CCCC"/>
        </patternFill>
      </fill>
    </dxf>
    <dxf>
      <font>
        <strike val="0"/>
        <outline val="0"/>
        <shadow val="0"/>
        <vertAlign val="baseline"/>
        <sz val="10"/>
        <color theme="1"/>
        <name val="Arial"/>
        <family val="2"/>
        <scheme val="major"/>
      </font>
    </dxf>
    <dxf>
      <font>
        <strike val="0"/>
        <outline val="0"/>
        <shadow val="0"/>
        <vertAlign val="baseline"/>
        <sz val="10"/>
        <color theme="1"/>
        <name val="Arial"/>
        <family val="2"/>
        <scheme val="major"/>
      </font>
    </dxf>
    <dxf>
      <font>
        <strike val="0"/>
        <outline val="0"/>
        <shadow val="0"/>
        <vertAlign val="baseline"/>
        <sz val="10"/>
        <color theme="1"/>
        <name val="Arial"/>
        <family val="2"/>
        <scheme val="major"/>
      </font>
    </dxf>
    <dxf>
      <font>
        <strike val="0"/>
        <outline val="0"/>
        <shadow val="0"/>
        <vertAlign val="baseline"/>
        <sz val="10"/>
        <color theme="1"/>
        <name val="Arial"/>
        <family val="2"/>
        <scheme val="major"/>
      </font>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Data with Duplicates Removed -style" pivot="0" count="3" xr9:uid="{00000000-0011-0000-FFFF-FFFF00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alcChain" Target="calcChain.xml"/><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Ellie Miller (Student)" id="{1750C034-171D-7B42-862C-20F37DB7BB0F}" userId="S::ellie_miller@mines.edu::816005e2-8c68-466b-8856-18ee89363ed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209:A1212" headerRowDxfId="4" dataDxfId="3" totalsRowDxfId="2">
  <tableColumns count="1">
    <tableColumn id="1" xr3:uid="{00000000-0010-0000-0000-000001000000}" name="11-ATH-204-WNR" dataDxfId="1"/>
  </tableColumns>
  <tableStyleInfo name="Data with Duplicates Removed -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S1" dT="2025-03-13T15:27:35.16" personId="{1750C034-171D-7B42-862C-20F37DB7BB0F}" id="{3E39B5CD-0E54-5349-AF74-E96FC2419204}">
    <text>Absolute elevation that came out of ICE-D.</text>
  </threadedComment>
  <threadedComment ref="T1" dT="2025-03-15T17:59:23.68" personId="{1750C034-171D-7B42-862C-20F37DB7BB0F}" id="{090D6F9D-D340-7B47-818B-AD6F8CFFB7FE}">
    <text xml:space="preserve">absolute elevation of the ice surface relative to mean sea level
</text>
  </threadedComment>
  <threadedComment ref="V1" dT="2025-03-13T15:28:22.17" personId="{1750C034-171D-7B42-862C-20F37DB7BB0F}" id="{61191182-543C-5A48-B665-A63D1D301F91}">
    <text xml:space="preserve">Height of the LGM surface relative to today. </text>
  </threadedComment>
  <threadedComment ref="X1" dT="2025-03-13T15:28:02.21" personId="{1750C034-171D-7B42-862C-20F37DB7BB0F}" id="{CC0764BA-4C3E-714B-A1A7-F95F28ECB2FC}">
    <text xml:space="preserve">Relative elevation above local ice surface. </text>
  </threadedComment>
  <threadedComment ref="U208" dT="2025-03-12T17:51:24.85" personId="{1750C034-171D-7B42-862C-20F37DB7BB0F}" id="{092E1FCB-3830-D948-B1E9-B45F7297C683}">
    <text xml:space="preserve">Fix this. </text>
  </threadedComment>
  <threadedComment ref="V590" dT="2025-03-11T17:50:25.47" personId="{1750C034-171D-7B42-862C-20F37DB7BB0F}" id="{1FD46BD8-738F-AF47-ABA6-265F85637DD1}">
    <text xml:space="preserve">From Claire Todd’s PhD Thesis. </text>
  </threadedComment>
  <threadedComment ref="V591" dT="2025-03-11T17:50:25.47" personId="{1750C034-171D-7B42-862C-20F37DB7BB0F}" id="{1817A015-5B19-CD4B-B58E-078A427734AD}">
    <text xml:space="preserve">From Claire Todd’s PhD Thesis. </text>
  </threadedComment>
  <threadedComment ref="V617" dT="2025-03-11T17:50:25.47" personId="{1750C034-171D-7B42-862C-20F37DB7BB0F}" id="{9D649DC3-6389-984E-A9BF-E64A6871354B}">
    <text xml:space="preserve">From Claire Todd’s PhD Thesis. </text>
  </threadedComment>
  <threadedComment ref="V981" dT="2025-03-11T17:50:07.33" personId="{1750C034-171D-7B42-862C-20F37DB7BB0F}" id="{D6205E2E-DF4F-1A41-81DA-30AA73F5EE69}">
    <text xml:space="preserve">One value for the Pensacola Mountains. </text>
  </threadedComment>
  <threadedComment ref="V982" dT="2025-03-11T17:50:07.33" personId="{1750C034-171D-7B42-862C-20F37DB7BB0F}" id="{FD3BAB89-1024-4344-942C-6C0C851A5645}">
    <text xml:space="preserve">One value for the Pensacola Mountains. </text>
  </threadedComment>
  <threadedComment ref="V983" dT="2025-03-11T17:50:07.33" personId="{1750C034-171D-7B42-862C-20F37DB7BB0F}" id="{A5988C50-1C8E-EF4C-8218-C3C40A926766}">
    <text xml:space="preserve">One value for the Pensacola Mountains. </text>
  </threadedComment>
  <threadedComment ref="V984" dT="2025-03-11T17:50:07.33" personId="{1750C034-171D-7B42-862C-20F37DB7BB0F}" id="{9D9E666E-29DF-DC4C-8787-8F713D1160C0}">
    <text xml:space="preserve">One value for the Pensacola Mountains. </text>
  </threadedComment>
  <threadedComment ref="V985" dT="2025-03-11T17:50:07.33" personId="{1750C034-171D-7B42-862C-20F37DB7BB0F}" id="{6A88A2EE-457C-F042-84C2-022B0FF07480}">
    <text xml:space="preserve">One value for the Pensacola Mountains. </text>
  </threadedComment>
  <threadedComment ref="V986" dT="2025-03-11T17:50:07.33" personId="{1750C034-171D-7B42-862C-20F37DB7BB0F}" id="{3BF752AB-8462-A840-BAAA-7F43C0E48744}">
    <text xml:space="preserve">One value for the Pensacola Mountains. </text>
  </threadedComment>
  <threadedComment ref="V987" dT="2025-03-11T17:50:07.33" personId="{1750C034-171D-7B42-862C-20F37DB7BB0F}" id="{A661E8A9-FE32-3B44-98EA-3419F10514EA}">
    <text xml:space="preserve">One value for the Pensacola Mountains. </text>
  </threadedComment>
  <threadedComment ref="V988" dT="2025-03-11T17:50:07.33" personId="{1750C034-171D-7B42-862C-20F37DB7BB0F}" id="{555B8918-A069-F74C-AE14-E76CEE37A08D}">
    <text xml:space="preserve">One value for the Pensacola Mountains. </text>
  </threadedComment>
  <threadedComment ref="V989" dT="2025-03-11T17:50:07.33" personId="{1750C034-171D-7B42-862C-20F37DB7BB0F}" id="{3F2CBB02-E9FB-A44D-81B5-704A07C36031}">
    <text xml:space="preserve">One value for the Pensacola Mountains. </text>
  </threadedComment>
  <threadedComment ref="V990" dT="2025-03-11T17:50:07.33" personId="{1750C034-171D-7B42-862C-20F37DB7BB0F}" id="{5CC5CA7C-41D2-EF44-9DE7-F5DF2D89F358}">
    <text xml:space="preserve">One value for the Pensacola Mountains. </text>
  </threadedComment>
  <threadedComment ref="V991" dT="2025-03-11T17:50:07.33" personId="{1750C034-171D-7B42-862C-20F37DB7BB0F}" id="{9B3CF970-DD2D-634A-8F94-D5F40512CCB9}">
    <text xml:space="preserve">One value for the Pensacola Mountains. </text>
  </threadedComment>
  <threadedComment ref="V992" dT="2025-03-11T17:50:07.33" personId="{1750C034-171D-7B42-862C-20F37DB7BB0F}" id="{4918726B-EAFB-9342-961D-B1BCCC0AD268}">
    <text xml:space="preserve">One value for the Pensacola Mountains. </text>
  </threadedComment>
  <threadedComment ref="V993" dT="2025-03-11T17:50:07.33" personId="{1750C034-171D-7B42-862C-20F37DB7BB0F}" id="{DB6884B7-9CF2-9A42-B9A2-E4E91C1075ED}">
    <text xml:space="preserve">One value for the Pensacola Mountains. </text>
  </threadedComment>
  <threadedComment ref="V994" dT="2025-03-11T17:50:07.33" personId="{1750C034-171D-7B42-862C-20F37DB7BB0F}" id="{24F2D3FC-D85B-C24E-87FD-4908983FC035}">
    <text xml:space="preserve">One value for the Pensacola Mountains. </text>
  </threadedComment>
  <threadedComment ref="V995" dT="2025-03-11T17:50:07.33" personId="{1750C034-171D-7B42-862C-20F37DB7BB0F}" id="{0E4FCFAD-C56F-F34F-A3AB-D59619F511A0}">
    <text xml:space="preserve">One value for the Pensacola Mountains. </text>
  </threadedComment>
  <threadedComment ref="V996" dT="2025-03-11T17:50:07.33" personId="{1750C034-171D-7B42-862C-20F37DB7BB0F}" id="{76295E77-5092-F640-883E-D41A2D303049}">
    <text xml:space="preserve">One value for the Pensacola Mountains. </text>
  </threadedComment>
  <threadedComment ref="V997" dT="2025-03-11T17:50:07.33" personId="{1750C034-171D-7B42-862C-20F37DB7BB0F}" id="{CA235324-A94F-404A-8363-C70B90C01515}">
    <text xml:space="preserve">One value for the Pensacola Mountains. </text>
  </threadedComment>
  <threadedComment ref="V998" dT="2025-03-11T17:50:07.33" personId="{1750C034-171D-7B42-862C-20F37DB7BB0F}" id="{038E695B-FF26-814C-98E2-548123F74FFB}">
    <text xml:space="preserve">One value for the Pensacola Mountains. </text>
  </threadedComment>
  <threadedComment ref="V999" dT="2025-03-11T17:50:07.33" personId="{1750C034-171D-7B42-862C-20F37DB7BB0F}" id="{A5F265C6-A4DC-BB43-866C-4175882CD5F8}">
    <text xml:space="preserve">One value for the Pensacola Mountains. </text>
  </threadedComment>
  <threadedComment ref="V1000" dT="2025-03-11T17:50:07.33" personId="{1750C034-171D-7B42-862C-20F37DB7BB0F}" id="{47FC0344-6BA9-C347-A84D-3242E0439408}">
    <text xml:space="preserve">One value for the Pensacola Mountains. </text>
  </threadedComment>
  <threadedComment ref="V1001" dT="2025-03-11T17:50:07.33" personId="{1750C034-171D-7B42-862C-20F37DB7BB0F}" id="{7CA4EE3B-9021-7749-B8AD-AD8E546AD261}">
    <text xml:space="preserve">One value for the Pensacola Mountains. </text>
  </threadedComment>
  <threadedComment ref="V1002" dT="2025-03-11T17:50:07.33" personId="{1750C034-171D-7B42-862C-20F37DB7BB0F}" id="{37532158-DD11-5148-AA34-5373A9985FF9}">
    <text xml:space="preserve">One value for the Pensacola Mountains. </text>
  </threadedComment>
  <threadedComment ref="V1003" dT="2025-03-11T17:50:07.33" personId="{1750C034-171D-7B42-862C-20F37DB7BB0F}" id="{7C304A5B-116F-EF46-90AD-B7FF7B34E914}">
    <text xml:space="preserve">One value for the Pensacola Mountains. </text>
  </threadedComment>
  <threadedComment ref="V1004" dT="2025-03-11T17:50:07.33" personId="{1750C034-171D-7B42-862C-20F37DB7BB0F}" id="{02CC558C-34C2-E841-8D42-F426CC3289C7}">
    <text xml:space="preserve">One value for the Pensacola Mountains. </text>
  </threadedComment>
  <threadedComment ref="V1005" dT="2025-03-11T17:50:07.33" personId="{1750C034-171D-7B42-862C-20F37DB7BB0F}" id="{FABEA68D-F3AE-E54A-A25A-8FF22CF7DBD6}">
    <text xml:space="preserve">One value for the Pensacola Mountains. </text>
  </threadedComment>
  <threadedComment ref="V1006" dT="2025-03-11T17:50:07.33" personId="{1750C034-171D-7B42-862C-20F37DB7BB0F}" id="{9F4957BF-148A-3F42-98AB-D89C3DF1E3E9}">
    <text xml:space="preserve">One value for the Pensacola Mountains. </text>
  </threadedComment>
  <threadedComment ref="V1007" dT="2025-03-11T17:50:07.33" personId="{1750C034-171D-7B42-862C-20F37DB7BB0F}" id="{A2B7C1D8-2664-8344-BF31-46BBD1EC23C5}">
    <text xml:space="preserve">One value for the Pensacola Mountains. </text>
  </threadedComment>
  <threadedComment ref="V1008" dT="2025-03-11T17:50:07.33" personId="{1750C034-171D-7B42-862C-20F37DB7BB0F}" id="{1B89AA15-236C-094F-9931-CE4BAB834957}">
    <text xml:space="preserve">One value for the Pensacola Mountains. </text>
  </threadedComment>
  <threadedComment ref="V1009" dT="2025-03-11T17:50:07.33" personId="{1750C034-171D-7B42-862C-20F37DB7BB0F}" id="{9AEFB5D8-6758-B849-B368-888CA6448DAB}">
    <text xml:space="preserve">One value for the Pensacola Mountains. </text>
  </threadedComment>
  <threadedComment ref="V1010" dT="2025-03-11T17:50:07.33" personId="{1750C034-171D-7B42-862C-20F37DB7BB0F}" id="{A164176F-7BD5-2447-BED4-BEFB98C13429}">
    <text xml:space="preserve">One value for the Pensacola Mountains. </text>
  </threadedComment>
  <threadedComment ref="V1011" dT="2025-03-11T17:50:07.33" personId="{1750C034-171D-7B42-862C-20F37DB7BB0F}" id="{D24EA285-1D1D-AE4C-8B32-60E153FC0F62}">
    <text xml:space="preserve">One value for the Pensacola Mountains. </text>
  </threadedComment>
  <threadedComment ref="V1012" dT="2025-03-11T17:50:07.33" personId="{1750C034-171D-7B42-862C-20F37DB7BB0F}" id="{95E575AE-9713-5842-A8F1-3A8D7E55FFA1}">
    <text xml:space="preserve">One value for the Pensacola Mountains. </text>
  </threadedComment>
  <threadedComment ref="V1013" dT="2025-03-11T17:50:07.33" personId="{1750C034-171D-7B42-862C-20F37DB7BB0F}" id="{104BB465-5177-C44E-8EE0-5AAC3183722C}">
    <text xml:space="preserve">One value for the Pensacola Mountains. </text>
  </threadedComment>
  <threadedComment ref="V1014" dT="2025-03-11T17:50:07.33" personId="{1750C034-171D-7B42-862C-20F37DB7BB0F}" id="{C09B8D2E-669C-9B49-86E1-77983FA6113E}">
    <text xml:space="preserve">One value for the Pensacola Mountains. </text>
  </threadedComment>
  <threadedComment ref="V1015" dT="2025-03-11T17:50:07.33" personId="{1750C034-171D-7B42-862C-20F37DB7BB0F}" id="{0DD1F562-57AA-0845-A555-5F171710FB65}">
    <text xml:space="preserve">One value for the Pensacola Mountains. </text>
  </threadedComment>
  <threadedComment ref="V1016" dT="2025-03-11T17:50:07.33" personId="{1750C034-171D-7B42-862C-20F37DB7BB0F}" id="{AF161167-605B-324D-96F7-5F9B2D21BE21}">
    <text xml:space="preserve">One value for the Pensacola Mountains. </text>
  </threadedComment>
  <threadedComment ref="V1017" dT="2025-03-11T17:50:07.33" personId="{1750C034-171D-7B42-862C-20F37DB7BB0F}" id="{3348F545-69E3-8C4F-ADF1-7FEC20D3D88D}">
    <text xml:space="preserve">One value for the Pensacola Mountains. </text>
  </threadedComment>
  <threadedComment ref="V1018" dT="2025-03-11T17:50:07.33" personId="{1750C034-171D-7B42-862C-20F37DB7BB0F}" id="{893433B2-0F0F-A347-A020-DDB343400461}">
    <text xml:space="preserve">One value for the Pensacola Mountains. </text>
  </threadedComment>
  <threadedComment ref="V1019" dT="2025-03-11T17:50:07.33" personId="{1750C034-171D-7B42-862C-20F37DB7BB0F}" id="{8DD6BD6C-7B86-A14D-8309-A276D78A8B35}">
    <text xml:space="preserve">One value for the Pensacola Mountains. </text>
  </threadedComment>
  <threadedComment ref="V1020" dT="2025-03-11T17:50:07.33" personId="{1750C034-171D-7B42-862C-20F37DB7BB0F}" id="{F8C48BE8-48E2-7345-8766-5ED9EF6A6CB9}">
    <text xml:space="preserve">One value for the Pensacola Mountains. </text>
  </threadedComment>
  <threadedComment ref="V1021" dT="2025-03-11T17:50:07.33" personId="{1750C034-171D-7B42-862C-20F37DB7BB0F}" id="{C4FFCEC6-3482-1D47-AFA6-517F9D24FF2F}">
    <text xml:space="preserve">One value for the Pensacola Mountains. </text>
  </threadedComment>
  <threadedComment ref="V1022" dT="2025-03-11T17:50:07.33" personId="{1750C034-171D-7B42-862C-20F37DB7BB0F}" id="{D743B19F-E810-5640-B523-4460BFA1333C}">
    <text xml:space="preserve">One value for the Pensacola Mountains. </text>
  </threadedComment>
  <threadedComment ref="V1023" dT="2025-03-11T17:50:07.33" personId="{1750C034-171D-7B42-862C-20F37DB7BB0F}" id="{B1BE8147-F765-EA40-92EB-07DB87EB3A93}">
    <text xml:space="preserve">One value for the Pensacola Mountains. </text>
  </threadedComment>
  <threadedComment ref="U1025" dT="2025-03-14T02:02:03.05" personId="{1750C034-171D-7B42-862C-20F37DB7BB0F}" id="{482CA20A-7B9D-6D41-843C-CC191F34D607}">
    <text xml:space="preserve">Need to find where Roger got this value! If I can’t find, I’ll put values from Nichols et al. (2019). </text>
  </threadedComment>
  <threadedComment ref="V1049" dT="2025-03-10T22:23:24.00" personId="{1750C034-171D-7B42-862C-20F37DB7BB0F}" id="{B0038152-D303-C640-B109-04AF96442864}">
    <text>NIchols et al. (2019) says &gt;640</text>
  </threadedComment>
  <threadedComment ref="U1166" dT="2025-03-15T19:03:54.90" personId="{1750C034-171D-7B42-862C-20F37DB7BB0F}" id="{59AD860E-AE1A-8A4C-AED8-92C80E83B527}">
    <text xml:space="preserve">873? Golledge et al. (2012)
</text>
  </threadedComment>
  <threadedComment ref="U1174" dT="2025-03-15T19:04:20.94" personId="{1750C034-171D-7B42-862C-20F37DB7BB0F}" id="{E1237277-CEAD-9744-9C63-FFFBB0A16592}">
    <text>909 m? Golledge et al. (2012)</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version2.ice-d.org/antarctica/sample/14-HAT-050-MV/" TargetMode="External"/><Relationship Id="rId671" Type="http://schemas.openxmlformats.org/officeDocument/2006/relationships/hyperlink" Target="https://doi.org/10.1130/G21165.1" TargetMode="External"/><Relationship Id="rId21" Type="http://schemas.openxmlformats.org/officeDocument/2006/relationships/hyperlink" Target="https://version2.ice-d.org/antarctica/sample/W2011-LM-C8b/" TargetMode="External"/><Relationship Id="rId324" Type="http://schemas.openxmlformats.org/officeDocument/2006/relationships/hyperlink" Target="https://doi.org/10.1016/j.quascirev.2020.106305" TargetMode="External"/><Relationship Id="rId531" Type="http://schemas.openxmlformats.org/officeDocument/2006/relationships/hyperlink" Target="https://doi.org/10.1657/1523-0430(2003)035%5b0175:GACHOT%5d2.0.CO;2" TargetMode="External"/><Relationship Id="rId629" Type="http://schemas.openxmlformats.org/officeDocument/2006/relationships/hyperlink" Target="https://doi.org/10.5194/tc-13-2935-2019" TargetMode="External"/><Relationship Id="rId170" Type="http://schemas.openxmlformats.org/officeDocument/2006/relationships/hyperlink" Target="https://dx.doi.org/10.1016/j.quascirev.2013.11.012" TargetMode="External"/><Relationship Id="rId268" Type="http://schemas.openxmlformats.org/officeDocument/2006/relationships/hyperlink" Target="https://doi.org/10.1002/jqs.1465" TargetMode="External"/><Relationship Id="rId475" Type="http://schemas.openxmlformats.org/officeDocument/2006/relationships/hyperlink" Target="https://doi.org/10.1657/1523-0430(2003)035%5b0175:GACHOT%5d2.0.CO;2" TargetMode="External"/><Relationship Id="rId682" Type="http://schemas.openxmlformats.org/officeDocument/2006/relationships/hyperlink" Target="https://doi.org/10.1130/G21165.1" TargetMode="External"/><Relationship Id="rId32" Type="http://schemas.openxmlformats.org/officeDocument/2006/relationships/hyperlink" Target="https://www.ice-d.org/antarctica/sample/S2010-LW14-3/" TargetMode="External"/><Relationship Id="rId128" Type="http://schemas.openxmlformats.org/officeDocument/2006/relationships/hyperlink" Target="https://version2.ice-d.org/antarctica/sample/14-HAT-066-MV/" TargetMode="External"/><Relationship Id="rId335" Type="http://schemas.openxmlformats.org/officeDocument/2006/relationships/hyperlink" Target="https://doi.org/10.1016/j.quascirev.2016.12.007" TargetMode="External"/><Relationship Id="rId542" Type="http://schemas.openxmlformats.org/officeDocument/2006/relationships/hyperlink" Target="https://doi.org/10.1657/1523-0430(2003)035%5b0175:GACHOT%5d2.0.CO;2" TargetMode="External"/><Relationship Id="rId181" Type="http://schemas.openxmlformats.org/officeDocument/2006/relationships/hyperlink" Target="https://www.ice-d.org/antarctica/sample/10-MPS-006-COU/" TargetMode="External"/><Relationship Id="rId402" Type="http://schemas.openxmlformats.org/officeDocument/2006/relationships/hyperlink" Target="https://www.nature.com/articles/ncomms9910" TargetMode="External"/><Relationship Id="rId279" Type="http://schemas.openxmlformats.org/officeDocument/2006/relationships/hyperlink" Target="https://doi.org/10.5194/tc-13-2935-2019" TargetMode="External"/><Relationship Id="rId486" Type="http://schemas.openxmlformats.org/officeDocument/2006/relationships/hyperlink" Target="https://doi.org/10.1657/1523-0430(2003)035%5b0175:GACHOT%5d2.0.CO;2" TargetMode="External"/><Relationship Id="rId693" Type="http://schemas.openxmlformats.org/officeDocument/2006/relationships/hyperlink" Target="https://doi.org/10.1130/G21165.1" TargetMode="External"/><Relationship Id="rId707" Type="http://schemas.openxmlformats.org/officeDocument/2006/relationships/comments" Target="../comments1.xml"/><Relationship Id="rId43" Type="http://schemas.openxmlformats.org/officeDocument/2006/relationships/hyperlink" Target="https://version2.ice-d.org/antarctica/sample/10-BDM-059-HOP/" TargetMode="External"/><Relationship Id="rId139" Type="http://schemas.openxmlformats.org/officeDocument/2006/relationships/hyperlink" Target="https://doi.org/10.1016/j.epsl.2024.118803" TargetMode="External"/><Relationship Id="rId346" Type="http://schemas.openxmlformats.org/officeDocument/2006/relationships/hyperlink" Target="https://doi.org/10.1002/esp.5701" TargetMode="External"/><Relationship Id="rId553" Type="http://schemas.openxmlformats.org/officeDocument/2006/relationships/hyperlink" Target="https://doi.org/10.1657/1523-0430(2003)035%5b0175:GACHOT%5d2.0.CO;2" TargetMode="External"/><Relationship Id="rId192" Type="http://schemas.openxmlformats.org/officeDocument/2006/relationships/hyperlink" Target="https://www.ice-d.org/antarctica/sample/10-MPS-011-NNS/" TargetMode="External"/><Relationship Id="rId206" Type="http://schemas.openxmlformats.org/officeDocument/2006/relationships/hyperlink" Target="https://www.ice-d.org/antarctica/sample/10-MPS-038-NNS/" TargetMode="External"/><Relationship Id="rId413" Type="http://schemas.openxmlformats.org/officeDocument/2006/relationships/hyperlink" Target="https://intranet.ess.uw.edu/content/people/student_publications_files/todd--claire-e/3289774.pdf" TargetMode="External"/><Relationship Id="rId497" Type="http://schemas.openxmlformats.org/officeDocument/2006/relationships/hyperlink" Target="https://doi.org/10.1657/1523-0430(2003)035%5b0175:GACHOT%5d2.0.CO;2" TargetMode="External"/><Relationship Id="rId620" Type="http://schemas.openxmlformats.org/officeDocument/2006/relationships/hyperlink" Target="https://doi.org/10.5194/tc-13-2935-2019" TargetMode="External"/><Relationship Id="rId357" Type="http://schemas.openxmlformats.org/officeDocument/2006/relationships/hyperlink" Target="https://doi.org/10.5194/tc-15-3329-2021" TargetMode="External"/><Relationship Id="rId54" Type="http://schemas.openxmlformats.org/officeDocument/2006/relationships/hyperlink" Target="https://www.ice-d.org/antarctica/sample/07-SCT-004-RGB/" TargetMode="External"/><Relationship Id="rId217" Type="http://schemas.openxmlformats.org/officeDocument/2006/relationships/hyperlink" Target="https://www.ice-d.org/antarctica/sample/10-MPS-016-CSP/" TargetMode="External"/><Relationship Id="rId564" Type="http://schemas.openxmlformats.org/officeDocument/2006/relationships/hyperlink" Target="https://doi.org/10.1657/1523-0430(2003)035%5b0175:GACHOT%5d2.0.CO;2" TargetMode="External"/><Relationship Id="rId424" Type="http://schemas.openxmlformats.org/officeDocument/2006/relationships/hyperlink" Target="https://doi.org/10.5194/tc-15-3329-2021" TargetMode="External"/><Relationship Id="rId631" Type="http://schemas.openxmlformats.org/officeDocument/2006/relationships/hyperlink" Target="https://doi.org/10.5194/tc-13-2935-2019" TargetMode="External"/><Relationship Id="rId270" Type="http://schemas.openxmlformats.org/officeDocument/2006/relationships/hyperlink" Target="https://doi.org/10.1130/G51326.1" TargetMode="External"/><Relationship Id="rId65" Type="http://schemas.openxmlformats.org/officeDocument/2006/relationships/hyperlink" Target="https://version2.ice-d.org/antarctica/sample/14-TUG-036-CCR/" TargetMode="External"/><Relationship Id="rId130" Type="http://schemas.openxmlformats.org/officeDocument/2006/relationships/hyperlink" Target="https://version2.ice-d.org/antarctica/sample/14-HAT-070-MV/" TargetMode="External"/><Relationship Id="rId368" Type="http://schemas.openxmlformats.org/officeDocument/2006/relationships/hyperlink" Target="https://www.nature.com/articles/ncomms9910" TargetMode="External"/><Relationship Id="rId575" Type="http://schemas.openxmlformats.org/officeDocument/2006/relationships/hyperlink" Target="https://doi.org/10.1657/1523-0430(2003)035%5b0175:GACHOT%5d2.0.CO;2" TargetMode="External"/><Relationship Id="rId228" Type="http://schemas.openxmlformats.org/officeDocument/2006/relationships/hyperlink" Target="https://www.ice-d.org/antarctica/sample/10-MPS-027-CSP/" TargetMode="External"/><Relationship Id="rId435" Type="http://schemas.openxmlformats.org/officeDocument/2006/relationships/hyperlink" Target="https://doi.org/10.1016/j.quascirev.2014.06.023" TargetMode="External"/><Relationship Id="rId642" Type="http://schemas.openxmlformats.org/officeDocument/2006/relationships/hyperlink" Target="https://doi.org/10.1130/G21165.1" TargetMode="External"/><Relationship Id="rId281" Type="http://schemas.openxmlformats.org/officeDocument/2006/relationships/hyperlink" Target="https://doi.org/10.5194/tc-13-2935-2019" TargetMode="External"/><Relationship Id="rId502" Type="http://schemas.openxmlformats.org/officeDocument/2006/relationships/hyperlink" Target="https://doi.org/10.1657/1523-0430(2003)035%5b0175:GACHOT%5d2.0.CO;2" TargetMode="External"/><Relationship Id="rId76" Type="http://schemas.openxmlformats.org/officeDocument/2006/relationships/hyperlink" Target="https://version2.ice-d.org/antarctica/sample/13-HAT-068-DV/" TargetMode="External"/><Relationship Id="rId141" Type="http://schemas.openxmlformats.org/officeDocument/2006/relationships/hyperlink" Target="https://doi.org/10.1016/j.epsl.2024.118803" TargetMode="External"/><Relationship Id="rId379" Type="http://schemas.openxmlformats.org/officeDocument/2006/relationships/hyperlink" Target="https://www.nature.com/articles/ncomms9910" TargetMode="External"/><Relationship Id="rId586" Type="http://schemas.openxmlformats.org/officeDocument/2006/relationships/hyperlink" Target="https://doi.org/10.1657/1523-0430(2003)035%5b0175:GACHOT%5d2.0.CO;2" TargetMode="External"/><Relationship Id="rId7" Type="http://schemas.openxmlformats.org/officeDocument/2006/relationships/hyperlink" Target="https://www.ice-d.org/antarctica/sample/Y2011-SV3-1/" TargetMode="External"/><Relationship Id="rId239" Type="http://schemas.openxmlformats.org/officeDocument/2006/relationships/hyperlink" Target="https://version2.ice-d.org/antarctica/sample/11-ATH-266-SML/" TargetMode="External"/><Relationship Id="rId446" Type="http://schemas.openxmlformats.org/officeDocument/2006/relationships/hyperlink" Target="https://doi.org/10.1016/j.quascirev.2014.06.023" TargetMode="External"/><Relationship Id="rId653" Type="http://schemas.openxmlformats.org/officeDocument/2006/relationships/hyperlink" Target="https://doi.org/10.1130/G21165.1" TargetMode="External"/><Relationship Id="rId292" Type="http://schemas.openxmlformats.org/officeDocument/2006/relationships/hyperlink" Target="https://doi.org/10.5194/tc-13-2935-2031" TargetMode="External"/><Relationship Id="rId306" Type="http://schemas.openxmlformats.org/officeDocument/2006/relationships/hyperlink" Target="https://doi.org/10.1016/j.yqres.2009.04.001" TargetMode="External"/><Relationship Id="rId87" Type="http://schemas.openxmlformats.org/officeDocument/2006/relationships/hyperlink" Target="https://version2.ice-d.org/antarctica/sample/13-HAT-100-BV/" TargetMode="External"/><Relationship Id="rId513" Type="http://schemas.openxmlformats.org/officeDocument/2006/relationships/hyperlink" Target="https://doi.org/10.1657/1523-0430(2003)035%5b0175:GACHOT%5d2.0.CO;2" TargetMode="External"/><Relationship Id="rId597" Type="http://schemas.openxmlformats.org/officeDocument/2006/relationships/hyperlink" Target="https://doi.org/10.5194/tc-13-2935-2019" TargetMode="External"/><Relationship Id="rId152" Type="http://schemas.openxmlformats.org/officeDocument/2006/relationships/hyperlink" Target="https://version2.ice-d.org/antarctica/sample/J2011-JOH-02/" TargetMode="External"/><Relationship Id="rId457" Type="http://schemas.openxmlformats.org/officeDocument/2006/relationships/hyperlink" Target="https://doi.org/10.1657/1523-0430(2003)035%5b0175:GACHOT%5d2.0.CO;2" TargetMode="External"/><Relationship Id="rId664" Type="http://schemas.openxmlformats.org/officeDocument/2006/relationships/hyperlink" Target="https://doi.org/10.1130/G21165.1" TargetMode="External"/><Relationship Id="rId14" Type="http://schemas.openxmlformats.org/officeDocument/2006/relationships/hyperlink" Target="https://version2.ice-d.org/antarctica/sample/JS2017-MK-03/" TargetMode="External"/><Relationship Id="rId317" Type="http://schemas.openxmlformats.org/officeDocument/2006/relationships/hyperlink" Target="https://doi.org/10.1016/j.quascirev.2020.106305" TargetMode="External"/><Relationship Id="rId524" Type="http://schemas.openxmlformats.org/officeDocument/2006/relationships/hyperlink" Target="https://doi.org/10.1657/1523-0430(2003)035%5b0175:GACHOT%5d2.0.CO;2" TargetMode="External"/><Relationship Id="rId98" Type="http://schemas.openxmlformats.org/officeDocument/2006/relationships/hyperlink" Target="https://version2.ice-d.org/antarctica/sample/13-HAT-125-DAN/" TargetMode="External"/><Relationship Id="rId163" Type="http://schemas.openxmlformats.org/officeDocument/2006/relationships/hyperlink" Target="https://version2.ice-d.org/antarctica/sample/K2020-JRQ-13-08/" TargetMode="External"/><Relationship Id="rId370" Type="http://schemas.openxmlformats.org/officeDocument/2006/relationships/hyperlink" Target="https://www.nature.com/articles/ncomms9910" TargetMode="External"/><Relationship Id="rId230" Type="http://schemas.openxmlformats.org/officeDocument/2006/relationships/hyperlink" Target="https://www.ice-d.org/antarctica/sample/10-MPS-035-CSP/" TargetMode="External"/><Relationship Id="rId468" Type="http://schemas.openxmlformats.org/officeDocument/2006/relationships/hyperlink" Target="https://doi.org/10.1657/1523-0430(2003)035%5b0175:GACHOT%5d2.0.CO;2" TargetMode="External"/><Relationship Id="rId675" Type="http://schemas.openxmlformats.org/officeDocument/2006/relationships/hyperlink" Target="https://doi.org/10.1130/G21165.1" TargetMode="External"/><Relationship Id="rId25" Type="http://schemas.openxmlformats.org/officeDocument/2006/relationships/hyperlink" Target="https://version2.ice-d.org/antarctica/sample/W2011-LM-C14b/" TargetMode="External"/><Relationship Id="rId328" Type="http://schemas.openxmlformats.org/officeDocument/2006/relationships/hyperlink" Target="https://doi.org/10.1016/j.quascirev.2016.12.007" TargetMode="External"/><Relationship Id="rId535" Type="http://schemas.openxmlformats.org/officeDocument/2006/relationships/hyperlink" Target="https://doi.org/10.1657/1523-0430(2003)035%5b0175:GACHOT%5d2.0.CO;2" TargetMode="External"/><Relationship Id="rId174" Type="http://schemas.openxmlformats.org/officeDocument/2006/relationships/hyperlink" Target="https://version2.ice-d.org/antarctica/sample/JJ2011-P11-12-2/" TargetMode="External"/><Relationship Id="rId381" Type="http://schemas.openxmlformats.org/officeDocument/2006/relationships/hyperlink" Target="https://www.nature.com/articles/ncomms9910" TargetMode="External"/><Relationship Id="rId602" Type="http://schemas.openxmlformats.org/officeDocument/2006/relationships/hyperlink" Target="https://doi.org/10.5194/tc-13-2935-2019" TargetMode="External"/><Relationship Id="rId241" Type="http://schemas.openxmlformats.org/officeDocument/2006/relationships/hyperlink" Target="https://www.ice-d.org/antarctica/sample/99-MBL-010-MGM/" TargetMode="External"/><Relationship Id="rId479" Type="http://schemas.openxmlformats.org/officeDocument/2006/relationships/hyperlink" Target="https://doi.org/10.1657/1523-0430(2003)035%5b0175:GACHOT%5d2.0.CO;2" TargetMode="External"/><Relationship Id="rId686" Type="http://schemas.openxmlformats.org/officeDocument/2006/relationships/hyperlink" Target="https://doi.org/10.1130/G21165.1" TargetMode="External"/><Relationship Id="rId36" Type="http://schemas.openxmlformats.org/officeDocument/2006/relationships/hyperlink" Target="https://www.ice-d.org/antarctica/sample/S2010-LW23-2/" TargetMode="External"/><Relationship Id="rId339" Type="http://schemas.openxmlformats.org/officeDocument/2006/relationships/hyperlink" Target="https://doi.org/10.1002/esp.5701" TargetMode="External"/><Relationship Id="rId546" Type="http://schemas.openxmlformats.org/officeDocument/2006/relationships/hyperlink" Target="https://doi.org/10.1657/1523-0430(2003)035%5b0175:GACHOT%5d2.0.CO;2" TargetMode="External"/><Relationship Id="rId101" Type="http://schemas.openxmlformats.org/officeDocument/2006/relationships/hyperlink" Target="https://version2.ice-d.org/antarctica/sample/13-HAT-129-DAN/" TargetMode="External"/><Relationship Id="rId185" Type="http://schemas.openxmlformats.org/officeDocument/2006/relationships/hyperlink" Target="https://www.ice-d.org/antarctica/sample/10-MPS-006-COU/" TargetMode="External"/><Relationship Id="rId406" Type="http://schemas.openxmlformats.org/officeDocument/2006/relationships/hyperlink" Target="https://intranet.ess.uw.edu/content/people/student_publications_files/todd--claire-e/3289774.pdf" TargetMode="External"/><Relationship Id="rId392" Type="http://schemas.openxmlformats.org/officeDocument/2006/relationships/hyperlink" Target="https://www.nature.com/articles/ncomms9910" TargetMode="External"/><Relationship Id="rId613" Type="http://schemas.openxmlformats.org/officeDocument/2006/relationships/hyperlink" Target="https://doi.org/10.5194/tc-13-2935-2019" TargetMode="External"/><Relationship Id="rId697" Type="http://schemas.openxmlformats.org/officeDocument/2006/relationships/hyperlink" Target="https://doi.org/10.1016/j.yqres.2009.04.001" TargetMode="External"/><Relationship Id="rId252" Type="http://schemas.openxmlformats.org/officeDocument/2006/relationships/hyperlink" Target="https://version2.ice-d.org/antarctica/sample/JJ2015-KAY-109/" TargetMode="External"/><Relationship Id="rId47" Type="http://schemas.openxmlformats.org/officeDocument/2006/relationships/hyperlink" Target="https://www.ice-d.org/antarctica/sample/04-RDY-047-KRO/" TargetMode="External"/><Relationship Id="rId112" Type="http://schemas.openxmlformats.org/officeDocument/2006/relationships/hyperlink" Target="https://version2.ice-d.org/antarctica/sample/14-HAT-041-MV/" TargetMode="External"/><Relationship Id="rId557" Type="http://schemas.openxmlformats.org/officeDocument/2006/relationships/hyperlink" Target="https://doi.org/10.1657/1523-0430(2003)035%5b0175:GACHOT%5d2.0.CO;2" TargetMode="External"/><Relationship Id="rId196" Type="http://schemas.openxmlformats.org/officeDocument/2006/relationships/hyperlink" Target="https://www.ice-d.org/antarctica/sample/10-MPS-012-NNS/" TargetMode="External"/><Relationship Id="rId417" Type="http://schemas.openxmlformats.org/officeDocument/2006/relationships/hyperlink" Target="https://doi.org/10.5194/tc-15-3329-2021" TargetMode="External"/><Relationship Id="rId624" Type="http://schemas.openxmlformats.org/officeDocument/2006/relationships/hyperlink" Target="https://doi.org/10.5194/tc-13-2935-2019" TargetMode="External"/><Relationship Id="rId263" Type="http://schemas.openxmlformats.org/officeDocument/2006/relationships/hyperlink" Target="https://doi.org/10.1016/j.quascirev.2020.106540" TargetMode="External"/><Relationship Id="rId470" Type="http://schemas.openxmlformats.org/officeDocument/2006/relationships/hyperlink" Target="https://doi.org/10.1657/1523-0430(2003)035%5b0175:GACHOT%5d2.0.CO;2" TargetMode="External"/><Relationship Id="rId58" Type="http://schemas.openxmlformats.org/officeDocument/2006/relationships/hyperlink" Target="https://www.ice-d.org/antarctica/sample/07-SCT-010-RGB/" TargetMode="External"/><Relationship Id="rId123" Type="http://schemas.openxmlformats.org/officeDocument/2006/relationships/hyperlink" Target="https://version2.ice-d.org/antarctica/sample/14-HAT-048-MV/" TargetMode="External"/><Relationship Id="rId330" Type="http://schemas.openxmlformats.org/officeDocument/2006/relationships/hyperlink" Target="https://doi.org/10.1016/j.quascirev.2016.12.007" TargetMode="External"/><Relationship Id="rId568" Type="http://schemas.openxmlformats.org/officeDocument/2006/relationships/hyperlink" Target="https://doi.org/10.1657/1523-0430(2003)035%5b0175:GACHOT%5d2.0.CO;2" TargetMode="External"/><Relationship Id="rId428" Type="http://schemas.openxmlformats.org/officeDocument/2006/relationships/hyperlink" Target="https://doi.org/10.5194/tc-15-3329-2021" TargetMode="External"/><Relationship Id="rId635" Type="http://schemas.openxmlformats.org/officeDocument/2006/relationships/hyperlink" Target="https://doi.org/10.1130/G21165.1" TargetMode="External"/><Relationship Id="rId274" Type="http://schemas.openxmlformats.org/officeDocument/2006/relationships/hyperlink" Target="https://doi.org/10.1016/j.quascirev.2019.105897" TargetMode="External"/><Relationship Id="rId481" Type="http://schemas.openxmlformats.org/officeDocument/2006/relationships/hyperlink" Target="https://doi.org/10.1657/1523-0430(2003)035%5b0175:GACHOT%5d2.0.CO;2" TargetMode="External"/><Relationship Id="rId702" Type="http://schemas.openxmlformats.org/officeDocument/2006/relationships/hyperlink" Target="https://doi.org/10.1130/G21165.1" TargetMode="External"/><Relationship Id="rId69" Type="http://schemas.openxmlformats.org/officeDocument/2006/relationships/hyperlink" Target="https://version2.ice-d.org/antarctica/sample/14-TUG-038-CCR/" TargetMode="External"/><Relationship Id="rId134" Type="http://schemas.openxmlformats.org/officeDocument/2006/relationships/hyperlink" Target="https://doi.org/10.1016/j.epsl.2024.118803" TargetMode="External"/><Relationship Id="rId579" Type="http://schemas.openxmlformats.org/officeDocument/2006/relationships/hyperlink" Target="https://doi.org/10.1657/1523-0430(2003)035%5b0175:GACHOT%5d2.0.CO;2" TargetMode="External"/><Relationship Id="rId341" Type="http://schemas.openxmlformats.org/officeDocument/2006/relationships/hyperlink" Target="https://doi.org/10.1002/esp.5701" TargetMode="External"/><Relationship Id="rId439" Type="http://schemas.openxmlformats.org/officeDocument/2006/relationships/hyperlink" Target="https://doi.org/10.1016/j.quascirev.2014.06.023" TargetMode="External"/><Relationship Id="rId646" Type="http://schemas.openxmlformats.org/officeDocument/2006/relationships/hyperlink" Target="https://doi.org/10.1130/G21165.1" TargetMode="External"/><Relationship Id="rId201" Type="http://schemas.openxmlformats.org/officeDocument/2006/relationships/hyperlink" Target="https://www.ice-d.org/antarctica/sample/10-MPS-008-NNS/" TargetMode="External"/><Relationship Id="rId285" Type="http://schemas.openxmlformats.org/officeDocument/2006/relationships/hyperlink" Target="https://doi.org/10.5194/tc-13-2935-2019" TargetMode="External"/><Relationship Id="rId506" Type="http://schemas.openxmlformats.org/officeDocument/2006/relationships/hyperlink" Target="https://doi.org/10.1657/1523-0430(2003)035%5b0175:GACHOT%5d2.0.CO;2" TargetMode="External"/><Relationship Id="rId492" Type="http://schemas.openxmlformats.org/officeDocument/2006/relationships/hyperlink" Target="https://doi.org/10.1657/1523-0430(2003)035%5b0175:GACHOT%5d2.0.CO;2" TargetMode="External"/><Relationship Id="rId145" Type="http://schemas.openxmlformats.org/officeDocument/2006/relationships/hyperlink" Target="https://doi.org/10.1016/j.epsl.2024.118803" TargetMode="External"/><Relationship Id="rId352" Type="http://schemas.openxmlformats.org/officeDocument/2006/relationships/hyperlink" Target="https://doi.org/10.1002/esp.5701" TargetMode="External"/><Relationship Id="rId212" Type="http://schemas.openxmlformats.org/officeDocument/2006/relationships/hyperlink" Target="https://www.ice-d.org/antarctica/sample/10-MPS-043-NNS/" TargetMode="External"/><Relationship Id="rId657" Type="http://schemas.openxmlformats.org/officeDocument/2006/relationships/hyperlink" Target="https://doi.org/10.1130/G21165.1" TargetMode="External"/><Relationship Id="rId296" Type="http://schemas.openxmlformats.org/officeDocument/2006/relationships/hyperlink" Target="https://doi.org/10.1016/j.quascirev.2013.07.024" TargetMode="External"/><Relationship Id="rId517" Type="http://schemas.openxmlformats.org/officeDocument/2006/relationships/hyperlink" Target="https://doi.org/10.1657/1523-0430(2003)035%5b0175:GACHOT%5d2.0.CO;2" TargetMode="External"/><Relationship Id="rId60" Type="http://schemas.openxmlformats.org/officeDocument/2006/relationships/hyperlink" Target="https://version2.ice-d.org/antarctica/sample/04-RDY-154-PGN/" TargetMode="External"/><Relationship Id="rId156" Type="http://schemas.openxmlformats.org/officeDocument/2006/relationships/hyperlink" Target="https://version2.ice-d.org/antarctica/sample/J2011-LAC-05/" TargetMode="External"/><Relationship Id="rId363" Type="http://schemas.openxmlformats.org/officeDocument/2006/relationships/hyperlink" Target="https://www.nature.com/articles/ncomms9910" TargetMode="External"/><Relationship Id="rId570" Type="http://schemas.openxmlformats.org/officeDocument/2006/relationships/hyperlink" Target="https://doi.org/10.1657/1523-0430(2003)035%5b0175:GACHOT%5d2.0.CO;2" TargetMode="External"/><Relationship Id="rId223" Type="http://schemas.openxmlformats.org/officeDocument/2006/relationships/hyperlink" Target="https://www.ice-d.org/antarctica/sample/10-MPS-024-CSP/" TargetMode="External"/><Relationship Id="rId430" Type="http://schemas.openxmlformats.org/officeDocument/2006/relationships/hyperlink" Target="https://doi.org/10.5194/tc-15-3329-2021" TargetMode="External"/><Relationship Id="rId668" Type="http://schemas.openxmlformats.org/officeDocument/2006/relationships/hyperlink" Target="https://doi.org/10.1130/G21165.1" TargetMode="External"/><Relationship Id="rId18" Type="http://schemas.openxmlformats.org/officeDocument/2006/relationships/hyperlink" Target="https://version2.ice-d.org/antarctica/sample/W2011-LM-C12a/" TargetMode="External"/><Relationship Id="rId528" Type="http://schemas.openxmlformats.org/officeDocument/2006/relationships/hyperlink" Target="https://doi.org/10.1657/1523-0430(2003)035%5b0175:GACHOT%5d2.0.CO;2" TargetMode="External"/><Relationship Id="rId125" Type="http://schemas.openxmlformats.org/officeDocument/2006/relationships/hyperlink" Target="https://version2.ice-d.org/antarctica/sample/14-HAT-063-MV/" TargetMode="External"/><Relationship Id="rId167" Type="http://schemas.openxmlformats.org/officeDocument/2006/relationships/hyperlink" Target="https://version2.ice-d.org/antarctica/sample/K2020-JRQ-13-25/" TargetMode="External"/><Relationship Id="rId332" Type="http://schemas.openxmlformats.org/officeDocument/2006/relationships/hyperlink" Target="https://doi.org/10.1016/j.quascirev.2016.12.007" TargetMode="External"/><Relationship Id="rId374" Type="http://schemas.openxmlformats.org/officeDocument/2006/relationships/hyperlink" Target="https://www.nature.com/articles/ncomms9910" TargetMode="External"/><Relationship Id="rId581" Type="http://schemas.openxmlformats.org/officeDocument/2006/relationships/hyperlink" Target="https://doi.org/10.1657/1523-0430(2003)035%5b0175:GACHOT%5d2.0.CO;2" TargetMode="External"/><Relationship Id="rId71" Type="http://schemas.openxmlformats.org/officeDocument/2006/relationships/hyperlink" Target="https://version2.ice-d.org/antarctica/sample/14-HAT-011-DH/" TargetMode="External"/><Relationship Id="rId234" Type="http://schemas.openxmlformats.org/officeDocument/2006/relationships/hyperlink" Target="https://version2.ice-d.org/antarctica/sample/10-MPS-127-LNK/" TargetMode="External"/><Relationship Id="rId637" Type="http://schemas.openxmlformats.org/officeDocument/2006/relationships/hyperlink" Target="https://doi.org/10.1130/G21165.1" TargetMode="External"/><Relationship Id="rId679" Type="http://schemas.openxmlformats.org/officeDocument/2006/relationships/hyperlink" Target="https://doi.org/10.1130/G21165.1" TargetMode="External"/><Relationship Id="rId2" Type="http://schemas.openxmlformats.org/officeDocument/2006/relationships/hyperlink" Target="https://www.ice-d.org/antarctica/sample/Y2011-SK2/" TargetMode="External"/><Relationship Id="rId29" Type="http://schemas.openxmlformats.org/officeDocument/2006/relationships/hyperlink" Target="https://www.ice-d.org/antarctica/sample/DN2009-BROW11/" TargetMode="External"/><Relationship Id="rId276" Type="http://schemas.openxmlformats.org/officeDocument/2006/relationships/hyperlink" Target="https://doi.org/10.5194/tc-13-2935-2019" TargetMode="External"/><Relationship Id="rId441" Type="http://schemas.openxmlformats.org/officeDocument/2006/relationships/hyperlink" Target="https://doi.org/10.1016/j.quascirev.2014.06.023" TargetMode="External"/><Relationship Id="rId483" Type="http://schemas.openxmlformats.org/officeDocument/2006/relationships/hyperlink" Target="https://doi.org/10.1657/1523-0430(2003)035%5b0175:GACHOT%5d2.0.CO;2" TargetMode="External"/><Relationship Id="rId539" Type="http://schemas.openxmlformats.org/officeDocument/2006/relationships/hyperlink" Target="https://doi.org/10.1657/1523-0430(2003)035%5b0175:GACHOT%5d2.0.CO;2" TargetMode="External"/><Relationship Id="rId690" Type="http://schemas.openxmlformats.org/officeDocument/2006/relationships/hyperlink" Target="https://doi.org/10.1130/G21165.1" TargetMode="External"/><Relationship Id="rId704" Type="http://schemas.openxmlformats.org/officeDocument/2006/relationships/hyperlink" Target="https://doi.org/10.1016/j.quascirev.2020.106540" TargetMode="External"/><Relationship Id="rId40" Type="http://schemas.openxmlformats.org/officeDocument/2006/relationships/hyperlink" Target="https://www.ice-d.org/antarctica/sample/S2010-LW25-1/" TargetMode="External"/><Relationship Id="rId136" Type="http://schemas.openxmlformats.org/officeDocument/2006/relationships/hyperlink" Target="https://doi.org/10.1016/j.epsl.2024.118803" TargetMode="External"/><Relationship Id="rId178" Type="http://schemas.openxmlformats.org/officeDocument/2006/relationships/hyperlink" Target="https://version2.ice-d.org/antarctica/sample/MH12-55/" TargetMode="External"/><Relationship Id="rId301" Type="http://schemas.openxmlformats.org/officeDocument/2006/relationships/hyperlink" Target="https://doi.org/10.1016/j.quascirev.2013.07.024" TargetMode="External"/><Relationship Id="rId343" Type="http://schemas.openxmlformats.org/officeDocument/2006/relationships/hyperlink" Target="https://doi.org/10.1002/esp.5701" TargetMode="External"/><Relationship Id="rId550" Type="http://schemas.openxmlformats.org/officeDocument/2006/relationships/hyperlink" Target="https://doi.org/10.1657/1523-0430(2003)035%5b0175:GACHOT%5d2.0.CO;2" TargetMode="External"/><Relationship Id="rId82" Type="http://schemas.openxmlformats.org/officeDocument/2006/relationships/hyperlink" Target="https://version2.ice-d.org/antarctica/sample/13-HAT-059-DV/" TargetMode="External"/><Relationship Id="rId203" Type="http://schemas.openxmlformats.org/officeDocument/2006/relationships/hyperlink" Target="https://www.ice-d.org/antarctica/sample/10-MPS-037-NNS/" TargetMode="External"/><Relationship Id="rId385" Type="http://schemas.openxmlformats.org/officeDocument/2006/relationships/hyperlink" Target="https://www.nature.com/articles/ncomms9910" TargetMode="External"/><Relationship Id="rId592" Type="http://schemas.openxmlformats.org/officeDocument/2006/relationships/hyperlink" Target="https://doi.org/10.5194/tc-13-2935-2019" TargetMode="External"/><Relationship Id="rId606" Type="http://schemas.openxmlformats.org/officeDocument/2006/relationships/hyperlink" Target="https://doi.org/10.5194/tc-13-2935-2019" TargetMode="External"/><Relationship Id="rId648" Type="http://schemas.openxmlformats.org/officeDocument/2006/relationships/hyperlink" Target="https://doi.org/10.1130/G21165.1" TargetMode="External"/><Relationship Id="rId245" Type="http://schemas.openxmlformats.org/officeDocument/2006/relationships/hyperlink" Target="https://www.ice-d.org/antarctica/sample/99-MBL-017-MGM/" TargetMode="External"/><Relationship Id="rId287" Type="http://schemas.openxmlformats.org/officeDocument/2006/relationships/hyperlink" Target="https://doi.org/10.5194/tc-13-2935-2019" TargetMode="External"/><Relationship Id="rId410" Type="http://schemas.openxmlformats.org/officeDocument/2006/relationships/hyperlink" Target="https://intranet.ess.uw.edu/content/people/student_publications_files/todd--claire-e/3289774.pdf" TargetMode="External"/><Relationship Id="rId452" Type="http://schemas.openxmlformats.org/officeDocument/2006/relationships/hyperlink" Target="https://doi.org/10.1016/j.quascirev.2014.06.023" TargetMode="External"/><Relationship Id="rId494" Type="http://schemas.openxmlformats.org/officeDocument/2006/relationships/hyperlink" Target="https://doi.org/10.1657/1523-0430(2003)035%5b0175:GACHOT%5d2.0.CO;2" TargetMode="External"/><Relationship Id="rId508" Type="http://schemas.openxmlformats.org/officeDocument/2006/relationships/hyperlink" Target="https://doi.org/10.1657/1523-0430(2003)035%5b0175:GACHOT%5d2.0.CO;2" TargetMode="External"/><Relationship Id="rId105" Type="http://schemas.openxmlformats.org/officeDocument/2006/relationships/hyperlink" Target="https://version2.ice-d.org/antarctica/sample/13-HAT-138-UM/" TargetMode="External"/><Relationship Id="rId147" Type="http://schemas.openxmlformats.org/officeDocument/2006/relationships/hyperlink" Target="https://doi.org/10.1016/j.epsl.2024.118803" TargetMode="External"/><Relationship Id="rId312" Type="http://schemas.openxmlformats.org/officeDocument/2006/relationships/hyperlink" Target="https://doi.org/10.1016/j.quascirev.2020.106541" TargetMode="External"/><Relationship Id="rId354" Type="http://schemas.openxmlformats.org/officeDocument/2006/relationships/hyperlink" Target="https://doi.org/10.1002/esp.5701" TargetMode="External"/><Relationship Id="rId51" Type="http://schemas.openxmlformats.org/officeDocument/2006/relationships/hyperlink" Target="https://www.ice-d.org/antarctica/sample/04-RDY-050-KRO/" TargetMode="External"/><Relationship Id="rId93" Type="http://schemas.openxmlformats.org/officeDocument/2006/relationships/hyperlink" Target="https://version2.ice-d.org/antarctica/sample/13-HAT-118-DAN/" TargetMode="External"/><Relationship Id="rId189" Type="http://schemas.openxmlformats.org/officeDocument/2006/relationships/hyperlink" Target="https://www.ice-d.org/antarctica/sample/10-MPS-008-NNS/" TargetMode="External"/><Relationship Id="rId396" Type="http://schemas.openxmlformats.org/officeDocument/2006/relationships/hyperlink" Target="https://www.nature.com/articles/ncomms9910" TargetMode="External"/><Relationship Id="rId561" Type="http://schemas.openxmlformats.org/officeDocument/2006/relationships/hyperlink" Target="https://doi.org/10.1657/1523-0430(2003)035%5b0175:GACHOT%5d2.0.CO;2" TargetMode="External"/><Relationship Id="rId617" Type="http://schemas.openxmlformats.org/officeDocument/2006/relationships/hyperlink" Target="https://doi.org/10.5194/tc-13-2935-2019" TargetMode="External"/><Relationship Id="rId659" Type="http://schemas.openxmlformats.org/officeDocument/2006/relationships/hyperlink" Target="https://doi.org/10.1130/G21165.1" TargetMode="External"/><Relationship Id="rId214" Type="http://schemas.openxmlformats.org/officeDocument/2006/relationships/hyperlink" Target="https://www.ice-d.org/antarctica/sample/10-MPS-046-NNS/" TargetMode="External"/><Relationship Id="rId256" Type="http://schemas.openxmlformats.org/officeDocument/2006/relationships/hyperlink" Target="https://version2.ice-d.org/antarctica/sample/JBG2008-TR3/" TargetMode="External"/><Relationship Id="rId298" Type="http://schemas.openxmlformats.org/officeDocument/2006/relationships/hyperlink" Target="https://doi.org/10.1016/j.quascirev.2013.07.036" TargetMode="External"/><Relationship Id="rId421" Type="http://schemas.openxmlformats.org/officeDocument/2006/relationships/hyperlink" Target="https://doi.org/10.5194/tc-15-3329-2021" TargetMode="External"/><Relationship Id="rId463" Type="http://schemas.openxmlformats.org/officeDocument/2006/relationships/hyperlink" Target="https://doi.org/10.1657/1523-0430(2003)035%5b0175:GACHOT%5d2.0.CO;2" TargetMode="External"/><Relationship Id="rId519" Type="http://schemas.openxmlformats.org/officeDocument/2006/relationships/hyperlink" Target="https://doi.org/10.1657/1523-0430(2003)035%5b0175:GACHOT%5d2.0.CO;2" TargetMode="External"/><Relationship Id="rId670" Type="http://schemas.openxmlformats.org/officeDocument/2006/relationships/hyperlink" Target="https://doi.org/10.1130/G21165.1" TargetMode="External"/><Relationship Id="rId116" Type="http://schemas.openxmlformats.org/officeDocument/2006/relationships/hyperlink" Target="https://version2.ice-d.org/antarctica/sample/14-HAT-046-MV/" TargetMode="External"/><Relationship Id="rId158" Type="http://schemas.openxmlformats.org/officeDocument/2006/relationships/hyperlink" Target="https://doi.org/10.1016/j.epsl.2024.118803" TargetMode="External"/><Relationship Id="rId323" Type="http://schemas.openxmlformats.org/officeDocument/2006/relationships/hyperlink" Target="https://doi.org/10.1016/j.quascirev.2020.106305" TargetMode="External"/><Relationship Id="rId530" Type="http://schemas.openxmlformats.org/officeDocument/2006/relationships/hyperlink" Target="https://doi.org/10.1657/1523-0430(2003)035%5b0175:GACHOT%5d2.0.CO;2" TargetMode="External"/><Relationship Id="rId20" Type="http://schemas.openxmlformats.org/officeDocument/2006/relationships/hyperlink" Target="https://version2.ice-d.org/antarctica/sample/W2011-LM-C8b/" TargetMode="External"/><Relationship Id="rId62" Type="http://schemas.openxmlformats.org/officeDocument/2006/relationships/hyperlink" Target="https://version2.ice-d.org/antarctica/sample/14-TUG-011-SKB/" TargetMode="External"/><Relationship Id="rId365" Type="http://schemas.openxmlformats.org/officeDocument/2006/relationships/hyperlink" Target="https://www.nature.com/articles/ncomms9910" TargetMode="External"/><Relationship Id="rId572" Type="http://schemas.openxmlformats.org/officeDocument/2006/relationships/hyperlink" Target="https://doi.org/10.1657/1523-0430(2003)035%5b0175:GACHOT%5d2.0.CO;2" TargetMode="External"/><Relationship Id="rId628" Type="http://schemas.openxmlformats.org/officeDocument/2006/relationships/hyperlink" Target="https://doi.org/10.5194/tc-13-2935-2019" TargetMode="External"/><Relationship Id="rId225" Type="http://schemas.openxmlformats.org/officeDocument/2006/relationships/hyperlink" Target="https://www.ice-d.org/antarctica/sample/10-MPS-027-CSP/" TargetMode="External"/><Relationship Id="rId267" Type="http://schemas.openxmlformats.org/officeDocument/2006/relationships/hyperlink" Target="https://doi.org/10.1016/j.quascirev.2020.106540" TargetMode="External"/><Relationship Id="rId432" Type="http://schemas.openxmlformats.org/officeDocument/2006/relationships/hyperlink" Target="https://doi.org/10.5194/tc-15-3329-2021" TargetMode="External"/><Relationship Id="rId474" Type="http://schemas.openxmlformats.org/officeDocument/2006/relationships/hyperlink" Target="https://doi.org/10.1657/1523-0430(2003)035%5b0175:GACHOT%5d2.0.CO;2" TargetMode="External"/><Relationship Id="rId127" Type="http://schemas.openxmlformats.org/officeDocument/2006/relationships/hyperlink" Target="https://version2.ice-d.org/antarctica/sample/14-HAT-065-MV/" TargetMode="External"/><Relationship Id="rId681" Type="http://schemas.openxmlformats.org/officeDocument/2006/relationships/hyperlink" Target="https://doi.org/10.1130/G21165.1" TargetMode="External"/><Relationship Id="rId31" Type="http://schemas.openxmlformats.org/officeDocument/2006/relationships/hyperlink" Target="https://version2.ice-d.org/antarctica/sample/13-HAT-047-LW/" TargetMode="External"/><Relationship Id="rId73" Type="http://schemas.openxmlformats.org/officeDocument/2006/relationships/hyperlink" Target="https://version2.ice-d.org/antarctica/sample/13-HAT-067-DV/" TargetMode="External"/><Relationship Id="rId169" Type="http://schemas.openxmlformats.org/officeDocument/2006/relationships/hyperlink" Target="https://dx.doi.org/10.1016/j.quascirev.2013.11.012" TargetMode="External"/><Relationship Id="rId334" Type="http://schemas.openxmlformats.org/officeDocument/2006/relationships/hyperlink" Target="https://doi.org/10.1016/j.quascirev.2016.12.007" TargetMode="External"/><Relationship Id="rId376" Type="http://schemas.openxmlformats.org/officeDocument/2006/relationships/hyperlink" Target="https://www.nature.com/articles/ncomms9910" TargetMode="External"/><Relationship Id="rId541" Type="http://schemas.openxmlformats.org/officeDocument/2006/relationships/hyperlink" Target="https://doi.org/10.1657/1523-0430(2003)035%5b0175:GACHOT%5d2.0.CO;2" TargetMode="External"/><Relationship Id="rId583" Type="http://schemas.openxmlformats.org/officeDocument/2006/relationships/hyperlink" Target="https://doi.org/10.1657/1523-0430(2003)035%5b0175:GACHOT%5d2.0.CO;2" TargetMode="External"/><Relationship Id="rId639" Type="http://schemas.openxmlformats.org/officeDocument/2006/relationships/hyperlink" Target="https://doi.org/10.1130/G21165.1" TargetMode="External"/><Relationship Id="rId4" Type="http://schemas.openxmlformats.org/officeDocument/2006/relationships/hyperlink" Target="https://www.ice-d.org/antarctica/sample/Y2011-SK2/" TargetMode="External"/><Relationship Id="rId180" Type="http://schemas.openxmlformats.org/officeDocument/2006/relationships/hyperlink" Target="https://www.ice-d.org/antarctica/sample/10-MPS-006-COU/" TargetMode="External"/><Relationship Id="rId236" Type="http://schemas.openxmlformats.org/officeDocument/2006/relationships/hyperlink" Target="https://version2.ice-d.org/antarctica/sample/11-ATH-217-CRN/" TargetMode="External"/><Relationship Id="rId278" Type="http://schemas.openxmlformats.org/officeDocument/2006/relationships/hyperlink" Target="https://doi.org/10.5194/tc-13-2935-2019" TargetMode="External"/><Relationship Id="rId401" Type="http://schemas.openxmlformats.org/officeDocument/2006/relationships/hyperlink" Target="https://www.nature.com/articles/ncomms9910" TargetMode="External"/><Relationship Id="rId443" Type="http://schemas.openxmlformats.org/officeDocument/2006/relationships/hyperlink" Target="https://doi.org/10.1016/j.quascirev.2014.06.023" TargetMode="External"/><Relationship Id="rId650" Type="http://schemas.openxmlformats.org/officeDocument/2006/relationships/hyperlink" Target="https://doi.org/10.1130/G21165.1" TargetMode="External"/><Relationship Id="rId303" Type="http://schemas.openxmlformats.org/officeDocument/2006/relationships/hyperlink" Target="https://doi.org/10.1130/G23503A.1" TargetMode="External"/><Relationship Id="rId485" Type="http://schemas.openxmlformats.org/officeDocument/2006/relationships/hyperlink" Target="https://doi.org/10.1657/1523-0430(2003)035%5b0175:GACHOT%5d2.0.CO;2" TargetMode="External"/><Relationship Id="rId692" Type="http://schemas.openxmlformats.org/officeDocument/2006/relationships/hyperlink" Target="https://doi.org/10.1130/G21165.1" TargetMode="External"/><Relationship Id="rId706" Type="http://schemas.openxmlformats.org/officeDocument/2006/relationships/table" Target="../tables/table1.xml"/><Relationship Id="rId42" Type="http://schemas.openxmlformats.org/officeDocument/2006/relationships/hyperlink" Target="https://www.ice-d.org/antarctica/sample/S2010-LW25-2/" TargetMode="External"/><Relationship Id="rId84" Type="http://schemas.openxmlformats.org/officeDocument/2006/relationships/hyperlink" Target="https://version2.ice-d.org/antarctica/sample/13-HAT-082-BV/" TargetMode="External"/><Relationship Id="rId138" Type="http://schemas.openxmlformats.org/officeDocument/2006/relationships/hyperlink" Target="https://doi.org/10.1016/j.epsl.2024.118803" TargetMode="External"/><Relationship Id="rId345" Type="http://schemas.openxmlformats.org/officeDocument/2006/relationships/hyperlink" Target="https://doi.org/10.1002/esp.5701" TargetMode="External"/><Relationship Id="rId387" Type="http://schemas.openxmlformats.org/officeDocument/2006/relationships/hyperlink" Target="https://www.nature.com/articles/ncomms9910" TargetMode="External"/><Relationship Id="rId510" Type="http://schemas.openxmlformats.org/officeDocument/2006/relationships/hyperlink" Target="https://doi.org/10.1657/1523-0430(2003)035%5b0175:GACHOT%5d2.0.CO;2" TargetMode="External"/><Relationship Id="rId552" Type="http://schemas.openxmlformats.org/officeDocument/2006/relationships/hyperlink" Target="https://doi.org/10.1657/1523-0430(2003)035%5b0175:GACHOT%5d2.0.CO;2" TargetMode="External"/><Relationship Id="rId594" Type="http://schemas.openxmlformats.org/officeDocument/2006/relationships/hyperlink" Target="https://doi.org/10.5194/tc-13-2935-2019" TargetMode="External"/><Relationship Id="rId608" Type="http://schemas.openxmlformats.org/officeDocument/2006/relationships/hyperlink" Target="https://doi.org/10.5194/tc-13-2935-2019" TargetMode="External"/><Relationship Id="rId191" Type="http://schemas.openxmlformats.org/officeDocument/2006/relationships/hyperlink" Target="https://www.ice-d.org/antarctica/sample/10-MPS-008-NNS/" TargetMode="External"/><Relationship Id="rId205" Type="http://schemas.openxmlformats.org/officeDocument/2006/relationships/hyperlink" Target="https://www.ice-d.org/antarctica/sample/10-MPS-038-NNS/" TargetMode="External"/><Relationship Id="rId247" Type="http://schemas.openxmlformats.org/officeDocument/2006/relationships/hyperlink" Target="https://www.ice-d.org/antarctica/sample/99-MBL-011-MGM/" TargetMode="External"/><Relationship Id="rId412" Type="http://schemas.openxmlformats.org/officeDocument/2006/relationships/hyperlink" Target="https://intranet.ess.uw.edu/content/people/student_publications_files/todd--claire-e/3289774.pdf" TargetMode="External"/><Relationship Id="rId107" Type="http://schemas.openxmlformats.org/officeDocument/2006/relationships/hyperlink" Target="https://version2.ice-d.org/antarctica/sample/13-HAT-137-UM/" TargetMode="External"/><Relationship Id="rId289" Type="http://schemas.openxmlformats.org/officeDocument/2006/relationships/hyperlink" Target="https://doi.org/10.5194/tc-13-2935-2032" TargetMode="External"/><Relationship Id="rId454" Type="http://schemas.openxmlformats.org/officeDocument/2006/relationships/hyperlink" Target="https://doi.org/10.1657/1523-0430(2003)035%5b0175:GACHOT%5d2.0.CO;2" TargetMode="External"/><Relationship Id="rId496" Type="http://schemas.openxmlformats.org/officeDocument/2006/relationships/hyperlink" Target="https://doi.org/10.1657/1523-0430(2003)035%5b0175:GACHOT%5d2.0.CO;2" TargetMode="External"/><Relationship Id="rId661" Type="http://schemas.openxmlformats.org/officeDocument/2006/relationships/hyperlink" Target="https://doi.org/10.1130/G21165.1" TargetMode="External"/><Relationship Id="rId11" Type="http://schemas.openxmlformats.org/officeDocument/2006/relationships/hyperlink" Target="https://version2.ice-d.org/antarctica/sample/W2022-VH-669b/" TargetMode="External"/><Relationship Id="rId53" Type="http://schemas.openxmlformats.org/officeDocument/2006/relationships/hyperlink" Target="https://version2.ice-d.org/antarctica/sample/07-SCT-033-KHL/" TargetMode="External"/><Relationship Id="rId149" Type="http://schemas.openxmlformats.org/officeDocument/2006/relationships/hyperlink" Target="https://doi.org/10.1016/j.epsl.2024.118803" TargetMode="External"/><Relationship Id="rId314" Type="http://schemas.openxmlformats.org/officeDocument/2006/relationships/hyperlink" Target="https://doi.org/10.5194/tc-15-5447-2021" TargetMode="External"/><Relationship Id="rId356" Type="http://schemas.openxmlformats.org/officeDocument/2006/relationships/hyperlink" Target="https://doi.org/10.1002/esp.5701" TargetMode="External"/><Relationship Id="rId398" Type="http://schemas.openxmlformats.org/officeDocument/2006/relationships/hyperlink" Target="https://www.nature.com/articles/ncomms9910" TargetMode="External"/><Relationship Id="rId521" Type="http://schemas.openxmlformats.org/officeDocument/2006/relationships/hyperlink" Target="https://doi.org/10.1657/1523-0430(2003)035%5b0175:GACHOT%5d2.0.CO;2" TargetMode="External"/><Relationship Id="rId563" Type="http://schemas.openxmlformats.org/officeDocument/2006/relationships/hyperlink" Target="https://doi.org/10.1657/1523-0430(2003)035%5b0175:GACHOT%5d2.0.CO;2" TargetMode="External"/><Relationship Id="rId619" Type="http://schemas.openxmlformats.org/officeDocument/2006/relationships/hyperlink" Target="https://doi.org/10.5194/tc-13-2935-2019" TargetMode="External"/><Relationship Id="rId95" Type="http://schemas.openxmlformats.org/officeDocument/2006/relationships/hyperlink" Target="https://version2.ice-d.org/antarctica/sample/13-HAT-121-DAN/" TargetMode="External"/><Relationship Id="rId160" Type="http://schemas.openxmlformats.org/officeDocument/2006/relationships/hyperlink" Target="https://doi.org/10.1016/j.epsl.2024.118803" TargetMode="External"/><Relationship Id="rId216" Type="http://schemas.openxmlformats.org/officeDocument/2006/relationships/hyperlink" Target="https://www.ice-d.org/antarctica/sample/10-MPS-015-CSP/" TargetMode="External"/><Relationship Id="rId423" Type="http://schemas.openxmlformats.org/officeDocument/2006/relationships/hyperlink" Target="https://doi.org/10.5194/tc-15-3329-2021" TargetMode="External"/><Relationship Id="rId258" Type="http://schemas.openxmlformats.org/officeDocument/2006/relationships/hyperlink" Target="https://doi.org/10.1002/2013JF002870" TargetMode="External"/><Relationship Id="rId465" Type="http://schemas.openxmlformats.org/officeDocument/2006/relationships/hyperlink" Target="https://doi.org/10.1657/1523-0430(2003)035%5b0175:GACHOT%5d2.0.CO;2" TargetMode="External"/><Relationship Id="rId630" Type="http://schemas.openxmlformats.org/officeDocument/2006/relationships/hyperlink" Target="https://doi.org/10.5194/tc-13-2935-2019" TargetMode="External"/><Relationship Id="rId672" Type="http://schemas.openxmlformats.org/officeDocument/2006/relationships/hyperlink" Target="https://doi.org/10.1130/G21165.1" TargetMode="External"/><Relationship Id="rId22" Type="http://schemas.openxmlformats.org/officeDocument/2006/relationships/hyperlink" Target="https://version2.ice-d.org/antarctica/sample/W2011-LM-C3/" TargetMode="External"/><Relationship Id="rId64" Type="http://schemas.openxmlformats.org/officeDocument/2006/relationships/hyperlink" Target="https://version2.ice-d.org/antarctica/sample/14-TUG-035-CCR/" TargetMode="External"/><Relationship Id="rId118" Type="http://schemas.openxmlformats.org/officeDocument/2006/relationships/hyperlink" Target="https://version2.ice-d.org/antarctica/sample/14-HAT-052-MV/" TargetMode="External"/><Relationship Id="rId325" Type="http://schemas.openxmlformats.org/officeDocument/2006/relationships/hyperlink" Target="https://doi.org/10.1016/j.quascirev.2016.12.007" TargetMode="External"/><Relationship Id="rId367" Type="http://schemas.openxmlformats.org/officeDocument/2006/relationships/hyperlink" Target="https://www.nature.com/articles/ncomms9910" TargetMode="External"/><Relationship Id="rId532" Type="http://schemas.openxmlformats.org/officeDocument/2006/relationships/hyperlink" Target="https://doi.org/10.1657/1523-0430(2003)035%5b0175:GACHOT%5d2.0.CO;2" TargetMode="External"/><Relationship Id="rId574" Type="http://schemas.openxmlformats.org/officeDocument/2006/relationships/hyperlink" Target="https://doi.org/10.1657/1523-0430(2003)035%5b0175:GACHOT%5d2.0.CO;2" TargetMode="External"/><Relationship Id="rId171" Type="http://schemas.openxmlformats.org/officeDocument/2006/relationships/hyperlink" Target="https://version2.ice-d.org/antarctica/sample/BFKS2006-BAT-8/" TargetMode="External"/><Relationship Id="rId227" Type="http://schemas.openxmlformats.org/officeDocument/2006/relationships/hyperlink" Target="https://www.ice-d.org/antarctica/sample/10-MPS-027-CSP/" TargetMode="External"/><Relationship Id="rId269" Type="http://schemas.openxmlformats.org/officeDocument/2006/relationships/hyperlink" Target="https://doi.org/10.1130/G51326.1" TargetMode="External"/><Relationship Id="rId434" Type="http://schemas.openxmlformats.org/officeDocument/2006/relationships/hyperlink" Target="https://doi.org/10.1016/j.quascirev.2014.06.023" TargetMode="External"/><Relationship Id="rId476" Type="http://schemas.openxmlformats.org/officeDocument/2006/relationships/hyperlink" Target="https://doi.org/10.1657/1523-0430(2003)035%5b0175:GACHOT%5d2.0.CO;2" TargetMode="External"/><Relationship Id="rId641" Type="http://schemas.openxmlformats.org/officeDocument/2006/relationships/hyperlink" Target="https://doi.org/10.1130/G21165.1" TargetMode="External"/><Relationship Id="rId683" Type="http://schemas.openxmlformats.org/officeDocument/2006/relationships/hyperlink" Target="https://doi.org/10.1130/G21165.1" TargetMode="External"/><Relationship Id="rId33" Type="http://schemas.openxmlformats.org/officeDocument/2006/relationships/hyperlink" Target="https://www.ice-d.org/antarctica/sample/S2010-LW2-2/" TargetMode="External"/><Relationship Id="rId129" Type="http://schemas.openxmlformats.org/officeDocument/2006/relationships/hyperlink" Target="https://version2.ice-d.org/antarctica/sample/14-HAT-067-MV/" TargetMode="External"/><Relationship Id="rId280" Type="http://schemas.openxmlformats.org/officeDocument/2006/relationships/hyperlink" Target="https://doi.org/10.5194/tc-13-2935-2019" TargetMode="External"/><Relationship Id="rId336" Type="http://schemas.openxmlformats.org/officeDocument/2006/relationships/hyperlink" Target="https://doi.org/10.1016/j.quascirev.2016.12.007" TargetMode="External"/><Relationship Id="rId501" Type="http://schemas.openxmlformats.org/officeDocument/2006/relationships/hyperlink" Target="https://doi.org/10.1657/1523-0430(2003)035%5b0175:GACHOT%5d2.0.CO;2" TargetMode="External"/><Relationship Id="rId543" Type="http://schemas.openxmlformats.org/officeDocument/2006/relationships/hyperlink" Target="https://doi.org/10.1657/1523-0430(2003)035%5b0175:GACHOT%5d2.0.CO;2" TargetMode="External"/><Relationship Id="rId75" Type="http://schemas.openxmlformats.org/officeDocument/2006/relationships/hyperlink" Target="https://version2.ice-d.org/antarctica/sample/13-HAT-068-DV/" TargetMode="External"/><Relationship Id="rId140" Type="http://schemas.openxmlformats.org/officeDocument/2006/relationships/hyperlink" Target="https://doi.org/10.1016/j.epsl.2024.118803" TargetMode="External"/><Relationship Id="rId182" Type="http://schemas.openxmlformats.org/officeDocument/2006/relationships/hyperlink" Target="https://www.ice-d.org/antarctica/sample/10-MPS-006-COU/" TargetMode="External"/><Relationship Id="rId378" Type="http://schemas.openxmlformats.org/officeDocument/2006/relationships/hyperlink" Target="https://www.nature.com/articles/ncomms9910" TargetMode="External"/><Relationship Id="rId403" Type="http://schemas.openxmlformats.org/officeDocument/2006/relationships/hyperlink" Target="https://intranet.ess.uw.edu/content/people/student_publications_files/todd--claire-e/3289774.pdf" TargetMode="External"/><Relationship Id="rId585" Type="http://schemas.openxmlformats.org/officeDocument/2006/relationships/hyperlink" Target="https://doi.org/10.1657/1523-0430(2003)035%5b0175:GACHOT%5d2.0.CO;2" TargetMode="External"/><Relationship Id="rId6" Type="http://schemas.openxmlformats.org/officeDocument/2006/relationships/hyperlink" Target="https://www.ice-d.org/antarctica/sample/Y2011-SV11/" TargetMode="External"/><Relationship Id="rId238" Type="http://schemas.openxmlformats.org/officeDocument/2006/relationships/hyperlink" Target="https://version2.ice-d.org/antarctica/sample/10-MPS-127-LNK/" TargetMode="External"/><Relationship Id="rId445" Type="http://schemas.openxmlformats.org/officeDocument/2006/relationships/hyperlink" Target="https://doi.org/10.1016/j.quascirev.2014.06.023" TargetMode="External"/><Relationship Id="rId487" Type="http://schemas.openxmlformats.org/officeDocument/2006/relationships/hyperlink" Target="https://doi.org/10.1657/1523-0430(2003)035%5b0175:GACHOT%5d2.0.CO;2" TargetMode="External"/><Relationship Id="rId610" Type="http://schemas.openxmlformats.org/officeDocument/2006/relationships/hyperlink" Target="https://doi.org/10.5194/tc-13-2935-2019" TargetMode="External"/><Relationship Id="rId652" Type="http://schemas.openxmlformats.org/officeDocument/2006/relationships/hyperlink" Target="https://doi.org/10.1130/G21165.1" TargetMode="External"/><Relationship Id="rId694" Type="http://schemas.openxmlformats.org/officeDocument/2006/relationships/hyperlink" Target="https://doi.org/10.1016/j.quascirev.2017.11.003" TargetMode="External"/><Relationship Id="rId708" Type="http://schemas.microsoft.com/office/2017/10/relationships/threadedComment" Target="../threadedComments/threadedComment1.xml"/><Relationship Id="rId291" Type="http://schemas.openxmlformats.org/officeDocument/2006/relationships/hyperlink" Target="https://doi.org/10.5194/tc-13-2935-2031" TargetMode="External"/><Relationship Id="rId305" Type="http://schemas.openxmlformats.org/officeDocument/2006/relationships/hyperlink" Target="https://doi.org/10.1130/G23503A.1" TargetMode="External"/><Relationship Id="rId347" Type="http://schemas.openxmlformats.org/officeDocument/2006/relationships/hyperlink" Target="https://doi.org/10.1002/esp.5701" TargetMode="External"/><Relationship Id="rId512" Type="http://schemas.openxmlformats.org/officeDocument/2006/relationships/hyperlink" Target="https://doi.org/10.1657/1523-0430(2003)035%5b0175:GACHOT%5d2.0.CO;2" TargetMode="External"/><Relationship Id="rId44" Type="http://schemas.openxmlformats.org/officeDocument/2006/relationships/hyperlink" Target="https://version2.ice-d.org/antarctica/sample/10-BDM-032-KYF/" TargetMode="External"/><Relationship Id="rId86" Type="http://schemas.openxmlformats.org/officeDocument/2006/relationships/hyperlink" Target="https://version2.ice-d.org/antarctica/sample/13-HAT-081-BV/" TargetMode="External"/><Relationship Id="rId151" Type="http://schemas.openxmlformats.org/officeDocument/2006/relationships/hyperlink" Target="https://version2.ice-d.org/antarctica/sample/J2011-JOH-02/" TargetMode="External"/><Relationship Id="rId389" Type="http://schemas.openxmlformats.org/officeDocument/2006/relationships/hyperlink" Target="https://www.nature.com/articles/ncomms9910" TargetMode="External"/><Relationship Id="rId554" Type="http://schemas.openxmlformats.org/officeDocument/2006/relationships/hyperlink" Target="https://doi.org/10.1657/1523-0430(2003)035%5b0175:GACHOT%5d2.0.CO;2" TargetMode="External"/><Relationship Id="rId596" Type="http://schemas.openxmlformats.org/officeDocument/2006/relationships/hyperlink" Target="https://doi.org/10.5194/tc-13-2935-2019" TargetMode="External"/><Relationship Id="rId193" Type="http://schemas.openxmlformats.org/officeDocument/2006/relationships/hyperlink" Target="https://www.ice-d.org/antarctica/sample/10-MPS-011-NNS/" TargetMode="External"/><Relationship Id="rId207" Type="http://schemas.openxmlformats.org/officeDocument/2006/relationships/hyperlink" Target="https://www.ice-d.org/antarctica/sample/10-MPS-038-NNS/" TargetMode="External"/><Relationship Id="rId249" Type="http://schemas.openxmlformats.org/officeDocument/2006/relationships/hyperlink" Target="https://www.ice-d.org/antarctica/sample/01-MBL-094-FLM/" TargetMode="External"/><Relationship Id="rId414" Type="http://schemas.openxmlformats.org/officeDocument/2006/relationships/hyperlink" Target="https://intranet.ess.uw.edu/content/people/student_publications_files/todd--claire-e/3289774.pdf" TargetMode="External"/><Relationship Id="rId456" Type="http://schemas.openxmlformats.org/officeDocument/2006/relationships/hyperlink" Target="https://doi.org/10.1657/1523-0430(2003)035%5b0175:GACHOT%5d2.0.CO;2" TargetMode="External"/><Relationship Id="rId498" Type="http://schemas.openxmlformats.org/officeDocument/2006/relationships/hyperlink" Target="https://doi.org/10.1657/1523-0430(2003)035%5b0175:GACHOT%5d2.0.CO;2" TargetMode="External"/><Relationship Id="rId621" Type="http://schemas.openxmlformats.org/officeDocument/2006/relationships/hyperlink" Target="https://doi.org/10.5194/tc-13-2935-2019" TargetMode="External"/><Relationship Id="rId663" Type="http://schemas.openxmlformats.org/officeDocument/2006/relationships/hyperlink" Target="https://doi.org/10.1130/G21165.1" TargetMode="External"/><Relationship Id="rId13" Type="http://schemas.openxmlformats.org/officeDocument/2006/relationships/hyperlink" Target="https://version2.ice-d.org/antarctica/sample/J06/" TargetMode="External"/><Relationship Id="rId109" Type="http://schemas.openxmlformats.org/officeDocument/2006/relationships/hyperlink" Target="https://version2.ice-d.org/antarctica/sample/14-HAT-044-MV/" TargetMode="External"/><Relationship Id="rId260" Type="http://schemas.openxmlformats.org/officeDocument/2006/relationships/hyperlink" Target="https://doi.org/10.1002/2013JF002870" TargetMode="External"/><Relationship Id="rId316" Type="http://schemas.openxmlformats.org/officeDocument/2006/relationships/hyperlink" Target="https://doi.org/10.1016/j.quascirev.2020.106305" TargetMode="External"/><Relationship Id="rId523" Type="http://schemas.openxmlformats.org/officeDocument/2006/relationships/hyperlink" Target="https://doi.org/10.1657/1523-0430(2003)035%5b0175:GACHOT%5d2.0.CO;2" TargetMode="External"/><Relationship Id="rId55" Type="http://schemas.openxmlformats.org/officeDocument/2006/relationships/hyperlink" Target="https://www.ice-d.org/antarctica/sample/07-SCT-005-RGB/" TargetMode="External"/><Relationship Id="rId97" Type="http://schemas.openxmlformats.org/officeDocument/2006/relationships/hyperlink" Target="https://version2.ice-d.org/antarctica/sample/13-HAT-119-DAN/" TargetMode="External"/><Relationship Id="rId120" Type="http://schemas.openxmlformats.org/officeDocument/2006/relationships/hyperlink" Target="https://version2.ice-d.org/antarctica/sample/14-HAT-056-MV/" TargetMode="External"/><Relationship Id="rId358" Type="http://schemas.openxmlformats.org/officeDocument/2006/relationships/hyperlink" Target="https://www.nature.com/articles/ncomms9910" TargetMode="External"/><Relationship Id="rId565" Type="http://schemas.openxmlformats.org/officeDocument/2006/relationships/hyperlink" Target="https://doi.org/10.1657/1523-0430(2003)035%5b0175:GACHOT%5d2.0.CO;2" TargetMode="External"/><Relationship Id="rId162" Type="http://schemas.openxmlformats.org/officeDocument/2006/relationships/hyperlink" Target="https://doi.org/10.1016/j.epsl.2024.118803" TargetMode="External"/><Relationship Id="rId218" Type="http://schemas.openxmlformats.org/officeDocument/2006/relationships/hyperlink" Target="https://www.ice-d.org/antarctica/sample/10-MPS-015-CSP/" TargetMode="External"/><Relationship Id="rId425" Type="http://schemas.openxmlformats.org/officeDocument/2006/relationships/hyperlink" Target="https://doi.org/10.5194/tc-15-3329-2021" TargetMode="External"/><Relationship Id="rId467" Type="http://schemas.openxmlformats.org/officeDocument/2006/relationships/hyperlink" Target="https://doi.org/10.1657/1523-0430(2003)035%5b0175:GACHOT%5d2.0.CO;2" TargetMode="External"/><Relationship Id="rId632" Type="http://schemas.openxmlformats.org/officeDocument/2006/relationships/hyperlink" Target="https://doi.org/10.5194/tc-13-2935-2019" TargetMode="External"/><Relationship Id="rId271" Type="http://schemas.openxmlformats.org/officeDocument/2006/relationships/hyperlink" Target="https://doi.org/10.1016/j.quascirev.2020.106540" TargetMode="External"/><Relationship Id="rId674" Type="http://schemas.openxmlformats.org/officeDocument/2006/relationships/hyperlink" Target="https://doi.org/10.1130/G21165.1" TargetMode="External"/><Relationship Id="rId24" Type="http://schemas.openxmlformats.org/officeDocument/2006/relationships/hyperlink" Target="https://version2.ice-d.org/antarctica/sample/W2011-LM-C14b/" TargetMode="External"/><Relationship Id="rId66" Type="http://schemas.openxmlformats.org/officeDocument/2006/relationships/hyperlink" Target="https://version2.ice-d.org/antarctica/sample/14-TUG-036-CCR/" TargetMode="External"/><Relationship Id="rId131" Type="http://schemas.openxmlformats.org/officeDocument/2006/relationships/hyperlink" Target="https://version2.ice-d.org/antarctica/sample/14-HAT-070-MV/" TargetMode="External"/><Relationship Id="rId327" Type="http://schemas.openxmlformats.org/officeDocument/2006/relationships/hyperlink" Target="https://doi.org/10.1016/j.quascirev.2016.12.007" TargetMode="External"/><Relationship Id="rId369" Type="http://schemas.openxmlformats.org/officeDocument/2006/relationships/hyperlink" Target="https://www.nature.com/articles/ncomms9910" TargetMode="External"/><Relationship Id="rId534" Type="http://schemas.openxmlformats.org/officeDocument/2006/relationships/hyperlink" Target="https://doi.org/10.1657/1523-0430(2003)035%5b0175:GACHOT%5d2.0.CO;2" TargetMode="External"/><Relationship Id="rId576" Type="http://schemas.openxmlformats.org/officeDocument/2006/relationships/hyperlink" Target="https://doi.org/10.1657/1523-0430(2003)035%5b0175:GACHOT%5d2.0.CO;2" TargetMode="External"/><Relationship Id="rId173" Type="http://schemas.openxmlformats.org/officeDocument/2006/relationships/hyperlink" Target="https://version2.ice-d.org/antarctica/sample/BFKS2006-MV2/" TargetMode="External"/><Relationship Id="rId229" Type="http://schemas.openxmlformats.org/officeDocument/2006/relationships/hyperlink" Target="https://www.ice-d.org/antarctica/sample/10-MPS-031-CSP/" TargetMode="External"/><Relationship Id="rId380" Type="http://schemas.openxmlformats.org/officeDocument/2006/relationships/hyperlink" Target="https://www.nature.com/articles/ncomms9910" TargetMode="External"/><Relationship Id="rId436" Type="http://schemas.openxmlformats.org/officeDocument/2006/relationships/hyperlink" Target="https://doi.org/10.1016/j.quascirev.2014.06.023" TargetMode="External"/><Relationship Id="rId601" Type="http://schemas.openxmlformats.org/officeDocument/2006/relationships/hyperlink" Target="https://doi.org/10.5194/tc-13-2935-2019" TargetMode="External"/><Relationship Id="rId643" Type="http://schemas.openxmlformats.org/officeDocument/2006/relationships/hyperlink" Target="https://doi.org/10.1130/G21165.1" TargetMode="External"/><Relationship Id="rId240" Type="http://schemas.openxmlformats.org/officeDocument/2006/relationships/hyperlink" Target="https://version2.ice-d.org/antarctica/sample/13-NTK-044-WHT/" TargetMode="External"/><Relationship Id="rId478" Type="http://schemas.openxmlformats.org/officeDocument/2006/relationships/hyperlink" Target="https://doi.org/10.1657/1523-0430(2003)035%5b0175:GACHOT%5d2.0.CO;2" TargetMode="External"/><Relationship Id="rId685" Type="http://schemas.openxmlformats.org/officeDocument/2006/relationships/hyperlink" Target="https://doi.org/10.1130/G21165.1" TargetMode="External"/><Relationship Id="rId35" Type="http://schemas.openxmlformats.org/officeDocument/2006/relationships/hyperlink" Target="https://www.ice-d.org/antarctica/sample/S2010-LW23-1/" TargetMode="External"/><Relationship Id="rId77" Type="http://schemas.openxmlformats.org/officeDocument/2006/relationships/hyperlink" Target="https://version2.ice-d.org/antarctica/sample/13-HAT-069-DV/" TargetMode="External"/><Relationship Id="rId100" Type="http://schemas.openxmlformats.org/officeDocument/2006/relationships/hyperlink" Target="https://version2.ice-d.org/antarctica/sample/13-HAT-128-DAN/" TargetMode="External"/><Relationship Id="rId282" Type="http://schemas.openxmlformats.org/officeDocument/2006/relationships/hyperlink" Target="https://doi.org/10.5194/tc-13-2935-2019" TargetMode="External"/><Relationship Id="rId338" Type="http://schemas.openxmlformats.org/officeDocument/2006/relationships/hyperlink" Target="https://doi.org/10.1002/esp.5701" TargetMode="External"/><Relationship Id="rId503" Type="http://schemas.openxmlformats.org/officeDocument/2006/relationships/hyperlink" Target="https://doi.org/10.1657/1523-0430(2003)035%5b0175:GACHOT%5d2.0.CO;2" TargetMode="External"/><Relationship Id="rId545" Type="http://schemas.openxmlformats.org/officeDocument/2006/relationships/hyperlink" Target="https://doi.org/10.1657/1523-0430(2003)035%5b0175:GACHOT%5d2.0.CO;2" TargetMode="External"/><Relationship Id="rId587" Type="http://schemas.openxmlformats.org/officeDocument/2006/relationships/hyperlink" Target="https://doi.org/10.1657/1523-0430(2003)035%5b0175:GACHOT%5d2.0.CO;2" TargetMode="External"/><Relationship Id="rId8" Type="http://schemas.openxmlformats.org/officeDocument/2006/relationships/hyperlink" Target="https://www.ice-d.org/antarctica/sample/Y2011-SV11/" TargetMode="External"/><Relationship Id="rId142" Type="http://schemas.openxmlformats.org/officeDocument/2006/relationships/hyperlink" Target="https://doi.org/10.1016/j.epsl.2024.118803" TargetMode="External"/><Relationship Id="rId184" Type="http://schemas.openxmlformats.org/officeDocument/2006/relationships/hyperlink" Target="https://www.ice-d.org/antarctica/sample/10-MPS-006-COU/" TargetMode="External"/><Relationship Id="rId391" Type="http://schemas.openxmlformats.org/officeDocument/2006/relationships/hyperlink" Target="https://www.nature.com/articles/ncomms9910" TargetMode="External"/><Relationship Id="rId405" Type="http://schemas.openxmlformats.org/officeDocument/2006/relationships/hyperlink" Target="https://intranet.ess.uw.edu/content/people/student_publications_files/todd--claire-e/3289774.pdf" TargetMode="External"/><Relationship Id="rId447" Type="http://schemas.openxmlformats.org/officeDocument/2006/relationships/hyperlink" Target="https://doi.org/10.1016/j.quascirev.2014.06.023" TargetMode="External"/><Relationship Id="rId612" Type="http://schemas.openxmlformats.org/officeDocument/2006/relationships/hyperlink" Target="https://doi.org/10.5194/tc-13-2935-2019" TargetMode="External"/><Relationship Id="rId251" Type="http://schemas.openxmlformats.org/officeDocument/2006/relationships/hyperlink" Target="https://version2.ice-d.org/antarctica/sample/JJ2015-KAY-105/" TargetMode="External"/><Relationship Id="rId489" Type="http://schemas.openxmlformats.org/officeDocument/2006/relationships/hyperlink" Target="https://doi.org/10.1657/1523-0430(2003)035%5b0175:GACHOT%5d2.0.CO;2" TargetMode="External"/><Relationship Id="rId654" Type="http://schemas.openxmlformats.org/officeDocument/2006/relationships/hyperlink" Target="https://doi.org/10.1130/G21165.1" TargetMode="External"/><Relationship Id="rId696" Type="http://schemas.openxmlformats.org/officeDocument/2006/relationships/hyperlink" Target="https://doi.org/10.1016/j.quascirev.2017.11.003" TargetMode="External"/><Relationship Id="rId46" Type="http://schemas.openxmlformats.org/officeDocument/2006/relationships/hyperlink" Target="https://www.ice-d.org/antarctica/sample/04-RDY-044-KRO/" TargetMode="External"/><Relationship Id="rId293" Type="http://schemas.openxmlformats.org/officeDocument/2006/relationships/hyperlink" Target="https://doi.org/10.5194/tc-13-2935-2031" TargetMode="External"/><Relationship Id="rId307" Type="http://schemas.openxmlformats.org/officeDocument/2006/relationships/hyperlink" Target="https://doi.org/10.1016/j.yqres.2009.04.001" TargetMode="External"/><Relationship Id="rId349" Type="http://schemas.openxmlformats.org/officeDocument/2006/relationships/hyperlink" Target="https://doi.org/10.1002/esp.5701" TargetMode="External"/><Relationship Id="rId514" Type="http://schemas.openxmlformats.org/officeDocument/2006/relationships/hyperlink" Target="https://doi.org/10.1657/1523-0430(2003)035%5b0175:GACHOT%5d2.0.CO;2" TargetMode="External"/><Relationship Id="rId556" Type="http://schemas.openxmlformats.org/officeDocument/2006/relationships/hyperlink" Target="https://doi.org/10.1657/1523-0430(2003)035%5b0175:GACHOT%5d2.0.CO;2" TargetMode="External"/><Relationship Id="rId88" Type="http://schemas.openxmlformats.org/officeDocument/2006/relationships/hyperlink" Target="https://version2.ice-d.org/antarctica/sample/13-HAT-102-BV/" TargetMode="External"/><Relationship Id="rId111" Type="http://schemas.openxmlformats.org/officeDocument/2006/relationships/hyperlink" Target="https://version2.ice-d.org/antarctica/sample/14-HAT-042-MV/" TargetMode="External"/><Relationship Id="rId153" Type="http://schemas.openxmlformats.org/officeDocument/2006/relationships/hyperlink" Target="https://version2.ice-d.org/antarctica/sample/J2011-LAC-02/" TargetMode="External"/><Relationship Id="rId195" Type="http://schemas.openxmlformats.org/officeDocument/2006/relationships/hyperlink" Target="https://www.ice-d.org/antarctica/sample/10-MPS-011-NNS/" TargetMode="External"/><Relationship Id="rId209" Type="http://schemas.openxmlformats.org/officeDocument/2006/relationships/hyperlink" Target="https://www.ice-d.org/antarctica/sample/10-MPS-040-NNS/" TargetMode="External"/><Relationship Id="rId360" Type="http://schemas.openxmlformats.org/officeDocument/2006/relationships/hyperlink" Target="https://www.nature.com/articles/ncomms9910" TargetMode="External"/><Relationship Id="rId416" Type="http://schemas.openxmlformats.org/officeDocument/2006/relationships/hyperlink" Target="https://doi.org/10.5194/tc-15-3329-2021" TargetMode="External"/><Relationship Id="rId598" Type="http://schemas.openxmlformats.org/officeDocument/2006/relationships/hyperlink" Target="https://doi.org/10.5194/tc-13-2935-2019" TargetMode="External"/><Relationship Id="rId220" Type="http://schemas.openxmlformats.org/officeDocument/2006/relationships/hyperlink" Target="https://www.ice-d.org/antarctica/sample/10-MPS-015-CSP/" TargetMode="External"/><Relationship Id="rId458" Type="http://schemas.openxmlformats.org/officeDocument/2006/relationships/hyperlink" Target="https://doi.org/10.1657/1523-0430(2003)035%5b0175:GACHOT%5d2.0.CO;2" TargetMode="External"/><Relationship Id="rId623" Type="http://schemas.openxmlformats.org/officeDocument/2006/relationships/hyperlink" Target="https://doi.org/10.5194/tc-13-2935-2019" TargetMode="External"/><Relationship Id="rId665" Type="http://schemas.openxmlformats.org/officeDocument/2006/relationships/hyperlink" Target="https://doi.org/10.1130/G21165.1" TargetMode="External"/><Relationship Id="rId15" Type="http://schemas.openxmlformats.org/officeDocument/2006/relationships/hyperlink" Target="https://version2.ice-d.org/antarctica/sample/JS2022-R3-5/" TargetMode="External"/><Relationship Id="rId57" Type="http://schemas.openxmlformats.org/officeDocument/2006/relationships/hyperlink" Target="https://www.ice-d.org/antarctica/sample/07-SCT-008-RGB/" TargetMode="External"/><Relationship Id="rId262" Type="http://schemas.openxmlformats.org/officeDocument/2006/relationships/hyperlink" Target="https://doi.org/10.1016/j.quascirev.2020.106540" TargetMode="External"/><Relationship Id="rId318" Type="http://schemas.openxmlformats.org/officeDocument/2006/relationships/hyperlink" Target="https://doi.org/10.1016/j.quascirev.2020.106305" TargetMode="External"/><Relationship Id="rId525" Type="http://schemas.openxmlformats.org/officeDocument/2006/relationships/hyperlink" Target="https://doi.org/10.1657/1523-0430(2003)035%5b0175:GACHOT%5d2.0.CO;2" TargetMode="External"/><Relationship Id="rId567" Type="http://schemas.openxmlformats.org/officeDocument/2006/relationships/hyperlink" Target="https://doi.org/10.1657/1523-0430(2003)035%5b0175:GACHOT%5d2.0.CO;2" TargetMode="External"/><Relationship Id="rId99" Type="http://schemas.openxmlformats.org/officeDocument/2006/relationships/hyperlink" Target="https://version2.ice-d.org/antarctica/sample/13-HAT-127-DAN/" TargetMode="External"/><Relationship Id="rId122" Type="http://schemas.openxmlformats.org/officeDocument/2006/relationships/hyperlink" Target="https://version2.ice-d.org/antarctica/sample/14-HAT-059-MV/" TargetMode="External"/><Relationship Id="rId164" Type="http://schemas.openxmlformats.org/officeDocument/2006/relationships/hyperlink" Target="https://version2.ice-d.org/antarctica/sample/K2020-JRQ-13-09/" TargetMode="External"/><Relationship Id="rId371" Type="http://schemas.openxmlformats.org/officeDocument/2006/relationships/hyperlink" Target="https://www.nature.com/articles/ncomms9910" TargetMode="External"/><Relationship Id="rId427" Type="http://schemas.openxmlformats.org/officeDocument/2006/relationships/hyperlink" Target="https://doi.org/10.5194/tc-15-3329-2021" TargetMode="External"/><Relationship Id="rId469" Type="http://schemas.openxmlformats.org/officeDocument/2006/relationships/hyperlink" Target="https://doi.org/10.1657/1523-0430(2003)035%5b0175:GACHOT%5d2.0.CO;2" TargetMode="External"/><Relationship Id="rId634" Type="http://schemas.openxmlformats.org/officeDocument/2006/relationships/hyperlink" Target="https://doi.org/10.1130/G21165.1" TargetMode="External"/><Relationship Id="rId676" Type="http://schemas.openxmlformats.org/officeDocument/2006/relationships/hyperlink" Target="https://doi.org/10.1130/G21165.1" TargetMode="External"/><Relationship Id="rId26" Type="http://schemas.openxmlformats.org/officeDocument/2006/relationships/hyperlink" Target="https://version2.ice-d.org/antarctica/sample/R2020-IEI028/" TargetMode="External"/><Relationship Id="rId231" Type="http://schemas.openxmlformats.org/officeDocument/2006/relationships/hyperlink" Target="https://www.ice-d.org/antarctica/sample/10-MPS-035-CSP/" TargetMode="External"/><Relationship Id="rId273" Type="http://schemas.openxmlformats.org/officeDocument/2006/relationships/hyperlink" Target="https://doi.org/10.1016/j.quascirev.2019.105897" TargetMode="External"/><Relationship Id="rId329" Type="http://schemas.openxmlformats.org/officeDocument/2006/relationships/hyperlink" Target="https://doi.org/10.1016/j.quascirev.2016.12.007" TargetMode="External"/><Relationship Id="rId480" Type="http://schemas.openxmlformats.org/officeDocument/2006/relationships/hyperlink" Target="https://doi.org/10.1657/1523-0430(2003)035%5b0175:GACHOT%5d2.0.CO;2" TargetMode="External"/><Relationship Id="rId536" Type="http://schemas.openxmlformats.org/officeDocument/2006/relationships/hyperlink" Target="https://doi.org/10.1657/1523-0430(2003)035%5b0175:GACHOT%5d2.0.CO;2" TargetMode="External"/><Relationship Id="rId701" Type="http://schemas.openxmlformats.org/officeDocument/2006/relationships/hyperlink" Target="https://doi.org/10.1016/j.quascirev.2013.07.101" TargetMode="External"/><Relationship Id="rId68" Type="http://schemas.openxmlformats.org/officeDocument/2006/relationships/hyperlink" Target="https://version2.ice-d.org/antarctica/sample/14-TUG-037-CCR/" TargetMode="External"/><Relationship Id="rId133" Type="http://schemas.openxmlformats.org/officeDocument/2006/relationships/hyperlink" Target="https://version2.ice-d.org/antarctica/sample/14-HAT-069-MV/" TargetMode="External"/><Relationship Id="rId175" Type="http://schemas.openxmlformats.org/officeDocument/2006/relationships/hyperlink" Target="https://version2.ice-d.org/antarctica/sample/JJ2011-P11-13-3/" TargetMode="External"/><Relationship Id="rId340" Type="http://schemas.openxmlformats.org/officeDocument/2006/relationships/hyperlink" Target="https://doi.org/10.1002/esp.5701" TargetMode="External"/><Relationship Id="rId578" Type="http://schemas.openxmlformats.org/officeDocument/2006/relationships/hyperlink" Target="https://doi.org/10.1657/1523-0430(2003)035%5b0175:GACHOT%5d2.0.CO;2" TargetMode="External"/><Relationship Id="rId200" Type="http://schemas.openxmlformats.org/officeDocument/2006/relationships/hyperlink" Target="https://www.ice-d.org/antarctica/sample/10-MPS-037-NNS/" TargetMode="External"/><Relationship Id="rId382" Type="http://schemas.openxmlformats.org/officeDocument/2006/relationships/hyperlink" Target="https://www.nature.com/articles/ncomms9910" TargetMode="External"/><Relationship Id="rId438" Type="http://schemas.openxmlformats.org/officeDocument/2006/relationships/hyperlink" Target="https://doi.org/10.1016/j.quascirev.2014.06.023" TargetMode="External"/><Relationship Id="rId603" Type="http://schemas.openxmlformats.org/officeDocument/2006/relationships/hyperlink" Target="https://doi.org/10.5194/tc-13-2935-2019" TargetMode="External"/><Relationship Id="rId645" Type="http://schemas.openxmlformats.org/officeDocument/2006/relationships/hyperlink" Target="https://doi.org/10.1130/G21165.1" TargetMode="External"/><Relationship Id="rId687" Type="http://schemas.openxmlformats.org/officeDocument/2006/relationships/hyperlink" Target="https://doi.org/10.1130/G21165.1" TargetMode="External"/><Relationship Id="rId242" Type="http://schemas.openxmlformats.org/officeDocument/2006/relationships/hyperlink" Target="https://www.ice-d.org/antarctica/sample/99-MBL-011-MGM/" TargetMode="External"/><Relationship Id="rId284" Type="http://schemas.openxmlformats.org/officeDocument/2006/relationships/hyperlink" Target="https://doi.org/10.5194/tc-13-2935-2019" TargetMode="External"/><Relationship Id="rId491" Type="http://schemas.openxmlformats.org/officeDocument/2006/relationships/hyperlink" Target="https://doi.org/10.1657/1523-0430(2003)035%5b0175:GACHOT%5d2.0.CO;2" TargetMode="External"/><Relationship Id="rId505" Type="http://schemas.openxmlformats.org/officeDocument/2006/relationships/hyperlink" Target="https://doi.org/10.1657/1523-0430(2003)035%5b0175:GACHOT%5d2.0.CO;2" TargetMode="External"/><Relationship Id="rId37" Type="http://schemas.openxmlformats.org/officeDocument/2006/relationships/hyperlink" Target="https://www.ice-d.org/antarctica/sample/S2010-LW24-2/" TargetMode="External"/><Relationship Id="rId79" Type="http://schemas.openxmlformats.org/officeDocument/2006/relationships/hyperlink" Target="https://version2.ice-d.org/antarctica/sample/13-HAT-063-DV/" TargetMode="External"/><Relationship Id="rId102" Type="http://schemas.openxmlformats.org/officeDocument/2006/relationships/hyperlink" Target="https://version2.ice-d.org/antarctica/sample/13-HAT-130-DAN/" TargetMode="External"/><Relationship Id="rId144" Type="http://schemas.openxmlformats.org/officeDocument/2006/relationships/hyperlink" Target="https://doi.org/10.1016/j.epsl.2024.118803" TargetMode="External"/><Relationship Id="rId547" Type="http://schemas.openxmlformats.org/officeDocument/2006/relationships/hyperlink" Target="https://doi.org/10.1657/1523-0430(2003)035%5b0175:GACHOT%5d2.0.CO;2" TargetMode="External"/><Relationship Id="rId589" Type="http://schemas.openxmlformats.org/officeDocument/2006/relationships/hyperlink" Target="https://doi.org/10.1657/1523-0430(2003)035%5b0175:GACHOT%5d2.0.CO;2" TargetMode="External"/><Relationship Id="rId90" Type="http://schemas.openxmlformats.org/officeDocument/2006/relationships/hyperlink" Target="https://version2.ice-d.org/antarctica/sample/13-HAT-111-BV/" TargetMode="External"/><Relationship Id="rId186" Type="http://schemas.openxmlformats.org/officeDocument/2006/relationships/hyperlink" Target="https://www.ice-d.org/antarctica/sample/10-MPS-008-NNS/" TargetMode="External"/><Relationship Id="rId351" Type="http://schemas.openxmlformats.org/officeDocument/2006/relationships/hyperlink" Target="https://doi.org/10.1002/esp.5701" TargetMode="External"/><Relationship Id="rId393" Type="http://schemas.openxmlformats.org/officeDocument/2006/relationships/hyperlink" Target="https://www.nature.com/articles/ncomms9910" TargetMode="External"/><Relationship Id="rId407" Type="http://schemas.openxmlformats.org/officeDocument/2006/relationships/hyperlink" Target="https://intranet.ess.uw.edu/content/people/student_publications_files/todd--claire-e/3289774.pdf" TargetMode="External"/><Relationship Id="rId449" Type="http://schemas.openxmlformats.org/officeDocument/2006/relationships/hyperlink" Target="https://doi.org/10.1016/j.quascirev.2014.06.023" TargetMode="External"/><Relationship Id="rId614" Type="http://schemas.openxmlformats.org/officeDocument/2006/relationships/hyperlink" Target="https://doi.org/10.5194/tc-13-2935-2019" TargetMode="External"/><Relationship Id="rId656" Type="http://schemas.openxmlformats.org/officeDocument/2006/relationships/hyperlink" Target="https://doi.org/10.1130/G21165.1" TargetMode="External"/><Relationship Id="rId211" Type="http://schemas.openxmlformats.org/officeDocument/2006/relationships/hyperlink" Target="https://www.ice-d.org/antarctica/sample/10-MPS-043-NNS/" TargetMode="External"/><Relationship Id="rId253" Type="http://schemas.openxmlformats.org/officeDocument/2006/relationships/hyperlink" Target="https://version2.ice-d.org/antarctica/sample/JJ2015-KAY-110/" TargetMode="External"/><Relationship Id="rId295" Type="http://schemas.openxmlformats.org/officeDocument/2006/relationships/hyperlink" Target="https://doi.org/10.1002/jqs.1465" TargetMode="External"/><Relationship Id="rId309" Type="http://schemas.openxmlformats.org/officeDocument/2006/relationships/hyperlink" Target="https://doi.org/10.1016/j.quascirev.2020.106595" TargetMode="External"/><Relationship Id="rId460" Type="http://schemas.openxmlformats.org/officeDocument/2006/relationships/hyperlink" Target="https://doi.org/10.1657/1523-0430(2003)035%5b0175:GACHOT%5d2.0.CO;2" TargetMode="External"/><Relationship Id="rId516" Type="http://schemas.openxmlformats.org/officeDocument/2006/relationships/hyperlink" Target="https://doi.org/10.1657/1523-0430(2003)035%5b0175:GACHOT%5d2.0.CO;2" TargetMode="External"/><Relationship Id="rId698" Type="http://schemas.openxmlformats.org/officeDocument/2006/relationships/hyperlink" Target="https://doi.org/10.1002/esp.5701" TargetMode="External"/><Relationship Id="rId48" Type="http://schemas.openxmlformats.org/officeDocument/2006/relationships/hyperlink" Target="https://www.ice-d.org/antarctica/sample/04-RDY-047-KRO/" TargetMode="External"/><Relationship Id="rId113" Type="http://schemas.openxmlformats.org/officeDocument/2006/relationships/hyperlink" Target="https://version2.ice-d.org/antarctica/sample/14-HAT-040-MV/" TargetMode="External"/><Relationship Id="rId320" Type="http://schemas.openxmlformats.org/officeDocument/2006/relationships/hyperlink" Target="https://doi.org/10.1016/j.quascirev.2020.106305" TargetMode="External"/><Relationship Id="rId558" Type="http://schemas.openxmlformats.org/officeDocument/2006/relationships/hyperlink" Target="https://doi.org/10.1657/1523-0430(2003)035%5b0175:GACHOT%5d2.0.CO;2" TargetMode="External"/><Relationship Id="rId155" Type="http://schemas.openxmlformats.org/officeDocument/2006/relationships/hyperlink" Target="https://version2.ice-d.org/antarctica/sample/J2011-LAC-04/" TargetMode="External"/><Relationship Id="rId197" Type="http://schemas.openxmlformats.org/officeDocument/2006/relationships/hyperlink" Target="https://www.ice-d.org/antarctica/sample/10-MPS-012-NNS/" TargetMode="External"/><Relationship Id="rId362" Type="http://schemas.openxmlformats.org/officeDocument/2006/relationships/hyperlink" Target="https://www.nature.com/articles/ncomms9910" TargetMode="External"/><Relationship Id="rId418" Type="http://schemas.openxmlformats.org/officeDocument/2006/relationships/hyperlink" Target="https://doi.org/10.5194/tc-15-3329-2021" TargetMode="External"/><Relationship Id="rId625" Type="http://schemas.openxmlformats.org/officeDocument/2006/relationships/hyperlink" Target="https://doi.org/10.5194/tc-13-2935-2019" TargetMode="External"/><Relationship Id="rId222" Type="http://schemas.openxmlformats.org/officeDocument/2006/relationships/hyperlink" Target="https://www.ice-d.org/antarctica/sample/10-MPS-024-CSP/" TargetMode="External"/><Relationship Id="rId264" Type="http://schemas.openxmlformats.org/officeDocument/2006/relationships/hyperlink" Target="https://doi.org/10.1016/j.quascirev.2020.106540" TargetMode="External"/><Relationship Id="rId471" Type="http://schemas.openxmlformats.org/officeDocument/2006/relationships/hyperlink" Target="https://doi.org/10.1657/1523-0430(2003)035%5b0175:GACHOT%5d2.0.CO;2" TargetMode="External"/><Relationship Id="rId667" Type="http://schemas.openxmlformats.org/officeDocument/2006/relationships/hyperlink" Target="https://doi.org/10.1130/G21165.1" TargetMode="External"/><Relationship Id="rId17" Type="http://schemas.openxmlformats.org/officeDocument/2006/relationships/hyperlink" Target="https://version2.ice-d.org/antarctica/sample/JA2019-EP01P01/" TargetMode="External"/><Relationship Id="rId59" Type="http://schemas.openxmlformats.org/officeDocument/2006/relationships/hyperlink" Target="https://www.ice-d.org/antarctica/sample/07-SCT-014-RGB/" TargetMode="External"/><Relationship Id="rId124" Type="http://schemas.openxmlformats.org/officeDocument/2006/relationships/hyperlink" Target="https://version2.ice-d.org/antarctica/sample/14-HAT-060-MV/" TargetMode="External"/><Relationship Id="rId527" Type="http://schemas.openxmlformats.org/officeDocument/2006/relationships/hyperlink" Target="https://doi.org/10.1657/1523-0430(2003)035%5b0175:GACHOT%5d2.0.CO;2" TargetMode="External"/><Relationship Id="rId569" Type="http://schemas.openxmlformats.org/officeDocument/2006/relationships/hyperlink" Target="https://doi.org/10.1657/1523-0430(2003)035%5b0175:GACHOT%5d2.0.CO;2" TargetMode="External"/><Relationship Id="rId70" Type="http://schemas.openxmlformats.org/officeDocument/2006/relationships/hyperlink" Target="https://version2.ice-d.org/antarctica/sample/14-HAT-030-DH/" TargetMode="External"/><Relationship Id="rId166" Type="http://schemas.openxmlformats.org/officeDocument/2006/relationships/hyperlink" Target="https://version2.ice-d.org/antarctica/sample/K2020-JRQ-13-24/" TargetMode="External"/><Relationship Id="rId331" Type="http://schemas.openxmlformats.org/officeDocument/2006/relationships/hyperlink" Target="https://doi.org/10.1016/j.quascirev.2016.12.007" TargetMode="External"/><Relationship Id="rId373" Type="http://schemas.openxmlformats.org/officeDocument/2006/relationships/hyperlink" Target="https://www.nature.com/articles/ncomms9910" TargetMode="External"/><Relationship Id="rId429" Type="http://schemas.openxmlformats.org/officeDocument/2006/relationships/hyperlink" Target="https://doi.org/10.5194/tc-15-3329-2021" TargetMode="External"/><Relationship Id="rId580" Type="http://schemas.openxmlformats.org/officeDocument/2006/relationships/hyperlink" Target="https://doi.org/10.1657/1523-0430(2003)035%5b0175:GACHOT%5d2.0.CO;2" TargetMode="External"/><Relationship Id="rId636" Type="http://schemas.openxmlformats.org/officeDocument/2006/relationships/hyperlink" Target="https://doi.org/10.1130/G21165.1" TargetMode="External"/><Relationship Id="rId1" Type="http://schemas.openxmlformats.org/officeDocument/2006/relationships/hyperlink" Target="https://www.ice-d.org/antarctica/sample/Y2011-SK2/" TargetMode="External"/><Relationship Id="rId233" Type="http://schemas.openxmlformats.org/officeDocument/2006/relationships/hyperlink" Target="https://version2.ice-d.org/antarctica/sample/10-MPS-072-CRK/" TargetMode="External"/><Relationship Id="rId440" Type="http://schemas.openxmlformats.org/officeDocument/2006/relationships/hyperlink" Target="https://doi.org/10.1016/j.quascirev.2014.06.023" TargetMode="External"/><Relationship Id="rId678" Type="http://schemas.openxmlformats.org/officeDocument/2006/relationships/hyperlink" Target="https://doi.org/10.1130/G21165.1" TargetMode="External"/><Relationship Id="rId28" Type="http://schemas.openxmlformats.org/officeDocument/2006/relationships/hyperlink" Target="https://www.ice-d.org/antarctica/sample/DN2009-BROW10/" TargetMode="External"/><Relationship Id="rId275" Type="http://schemas.openxmlformats.org/officeDocument/2006/relationships/hyperlink" Target="https://doi.org/10.1016/j.quascirev.2020.106305" TargetMode="External"/><Relationship Id="rId300" Type="http://schemas.openxmlformats.org/officeDocument/2006/relationships/hyperlink" Target="https://doi.org/10.1016/j.quascirev.2013.07.024" TargetMode="External"/><Relationship Id="rId482" Type="http://schemas.openxmlformats.org/officeDocument/2006/relationships/hyperlink" Target="https://doi.org/10.1657/1523-0430(2003)035%5b0175:GACHOT%5d2.0.CO;2" TargetMode="External"/><Relationship Id="rId538" Type="http://schemas.openxmlformats.org/officeDocument/2006/relationships/hyperlink" Target="https://doi.org/10.1657/1523-0430(2003)035%5b0175:GACHOT%5d2.0.CO;2" TargetMode="External"/><Relationship Id="rId703" Type="http://schemas.openxmlformats.org/officeDocument/2006/relationships/hyperlink" Target="https://doi.org/10.1016/j.quascirev.2013.07.024" TargetMode="External"/><Relationship Id="rId81" Type="http://schemas.openxmlformats.org/officeDocument/2006/relationships/hyperlink" Target="https://version2.ice-d.org/antarctica/sample/13-HAT-061-DV/" TargetMode="External"/><Relationship Id="rId135" Type="http://schemas.openxmlformats.org/officeDocument/2006/relationships/hyperlink" Target="https://doi.org/10.1016/j.epsl.2024.118803" TargetMode="External"/><Relationship Id="rId177" Type="http://schemas.openxmlformats.org/officeDocument/2006/relationships/hyperlink" Target="https://version2.ice-d.org/antarctica/sample/IH12-02/" TargetMode="External"/><Relationship Id="rId342" Type="http://schemas.openxmlformats.org/officeDocument/2006/relationships/hyperlink" Target="https://doi.org/10.1002/esp.5701" TargetMode="External"/><Relationship Id="rId384" Type="http://schemas.openxmlformats.org/officeDocument/2006/relationships/hyperlink" Target="https://www.nature.com/articles/ncomms9910" TargetMode="External"/><Relationship Id="rId591" Type="http://schemas.openxmlformats.org/officeDocument/2006/relationships/hyperlink" Target="https://doi.org/10.5194/tc-13-2935-2019" TargetMode="External"/><Relationship Id="rId605" Type="http://schemas.openxmlformats.org/officeDocument/2006/relationships/hyperlink" Target="https://doi.org/10.5194/tc-13-2935-2019" TargetMode="External"/><Relationship Id="rId202" Type="http://schemas.openxmlformats.org/officeDocument/2006/relationships/hyperlink" Target="https://www.ice-d.org/antarctica/sample/10-MPS-037-NNS/" TargetMode="External"/><Relationship Id="rId244" Type="http://schemas.openxmlformats.org/officeDocument/2006/relationships/hyperlink" Target="https://www.ice-d.org/antarctica/sample/99-MBL-010-MGM/" TargetMode="External"/><Relationship Id="rId647" Type="http://schemas.openxmlformats.org/officeDocument/2006/relationships/hyperlink" Target="https://doi.org/10.1130/G21165.1" TargetMode="External"/><Relationship Id="rId689" Type="http://schemas.openxmlformats.org/officeDocument/2006/relationships/hyperlink" Target="https://doi.org/10.1130/G21165.1" TargetMode="External"/><Relationship Id="rId39" Type="http://schemas.openxmlformats.org/officeDocument/2006/relationships/hyperlink" Target="https://www.ice-d.org/antarctica/sample/S2010-LW25-1/" TargetMode="External"/><Relationship Id="rId286" Type="http://schemas.openxmlformats.org/officeDocument/2006/relationships/hyperlink" Target="https://doi.org/10.5194/tc-13-2935-2019" TargetMode="External"/><Relationship Id="rId451" Type="http://schemas.openxmlformats.org/officeDocument/2006/relationships/hyperlink" Target="https://doi.org/10.1016/j.quascirev.2014.06.023" TargetMode="External"/><Relationship Id="rId493" Type="http://schemas.openxmlformats.org/officeDocument/2006/relationships/hyperlink" Target="https://doi.org/10.1657/1523-0430(2003)035%5b0175:GACHOT%5d2.0.CO;2" TargetMode="External"/><Relationship Id="rId507" Type="http://schemas.openxmlformats.org/officeDocument/2006/relationships/hyperlink" Target="https://doi.org/10.1657/1523-0430(2003)035%5b0175:GACHOT%5d2.0.CO;2" TargetMode="External"/><Relationship Id="rId549" Type="http://schemas.openxmlformats.org/officeDocument/2006/relationships/hyperlink" Target="https://doi.org/10.1657/1523-0430(2003)035%5b0175:GACHOT%5d2.0.CO;2" TargetMode="External"/><Relationship Id="rId50" Type="http://schemas.openxmlformats.org/officeDocument/2006/relationships/hyperlink" Target="https://www.ice-d.org/antarctica/sample/04-RDY-049-KRO/" TargetMode="External"/><Relationship Id="rId104" Type="http://schemas.openxmlformats.org/officeDocument/2006/relationships/hyperlink" Target="https://version2.ice-d.org/antarctica/sample/13-HAT-138-UM/" TargetMode="External"/><Relationship Id="rId146" Type="http://schemas.openxmlformats.org/officeDocument/2006/relationships/hyperlink" Target="https://doi.org/10.1016/j.epsl.2024.118803" TargetMode="External"/><Relationship Id="rId188" Type="http://schemas.openxmlformats.org/officeDocument/2006/relationships/hyperlink" Target="https://www.ice-d.org/antarctica/sample/10-MPS-008-NNS/" TargetMode="External"/><Relationship Id="rId311" Type="http://schemas.openxmlformats.org/officeDocument/2006/relationships/hyperlink" Target="https://doi.org/10.1016/j.quascirev.2013.07.024" TargetMode="External"/><Relationship Id="rId353" Type="http://schemas.openxmlformats.org/officeDocument/2006/relationships/hyperlink" Target="https://doi.org/10.1002/esp.5701" TargetMode="External"/><Relationship Id="rId395" Type="http://schemas.openxmlformats.org/officeDocument/2006/relationships/hyperlink" Target="https://www.nature.com/articles/ncomms9910" TargetMode="External"/><Relationship Id="rId409" Type="http://schemas.openxmlformats.org/officeDocument/2006/relationships/hyperlink" Target="https://intranet.ess.uw.edu/content/people/student_publications_files/todd--claire-e/3289774.pdf" TargetMode="External"/><Relationship Id="rId560" Type="http://schemas.openxmlformats.org/officeDocument/2006/relationships/hyperlink" Target="https://doi.org/10.1657/1523-0430(2003)035%5b0175:GACHOT%5d2.0.CO;2" TargetMode="External"/><Relationship Id="rId92" Type="http://schemas.openxmlformats.org/officeDocument/2006/relationships/hyperlink" Target="https://version2.ice-d.org/antarctica/sample/13-HAT-120-DAN/" TargetMode="External"/><Relationship Id="rId213" Type="http://schemas.openxmlformats.org/officeDocument/2006/relationships/hyperlink" Target="https://www.ice-d.org/antarctica/sample/10-MPS-043-NNS/" TargetMode="External"/><Relationship Id="rId420" Type="http://schemas.openxmlformats.org/officeDocument/2006/relationships/hyperlink" Target="https://doi.org/10.5194/tc-15-3329-2021" TargetMode="External"/><Relationship Id="rId616" Type="http://schemas.openxmlformats.org/officeDocument/2006/relationships/hyperlink" Target="https://doi.org/10.5194/tc-13-2935-2019" TargetMode="External"/><Relationship Id="rId658" Type="http://schemas.openxmlformats.org/officeDocument/2006/relationships/hyperlink" Target="https://doi.org/10.1130/G21165.1" TargetMode="External"/><Relationship Id="rId255" Type="http://schemas.openxmlformats.org/officeDocument/2006/relationships/hyperlink" Target="https://version2.ice-d.org/antarctica/sample/JS2010-R9-3-5/" TargetMode="External"/><Relationship Id="rId297" Type="http://schemas.openxmlformats.org/officeDocument/2006/relationships/hyperlink" Target="https://doi.org/10.1016/j.quascirev.2013.07.024" TargetMode="External"/><Relationship Id="rId462" Type="http://schemas.openxmlformats.org/officeDocument/2006/relationships/hyperlink" Target="https://doi.org/10.1657/1523-0430(2003)035%5b0175:GACHOT%5d2.0.CO;2" TargetMode="External"/><Relationship Id="rId518" Type="http://schemas.openxmlformats.org/officeDocument/2006/relationships/hyperlink" Target="https://doi.org/10.1657/1523-0430(2003)035%5b0175:GACHOT%5d2.0.CO;2" TargetMode="External"/><Relationship Id="rId115" Type="http://schemas.openxmlformats.org/officeDocument/2006/relationships/hyperlink" Target="https://version2.ice-d.org/antarctica/sample/14-HAT-046-MV/" TargetMode="External"/><Relationship Id="rId157" Type="http://schemas.openxmlformats.org/officeDocument/2006/relationships/hyperlink" Target="https://doi.org/10.1016/j.epsl.2024.118803" TargetMode="External"/><Relationship Id="rId322" Type="http://schemas.openxmlformats.org/officeDocument/2006/relationships/hyperlink" Target="https://doi.org/10.1016/j.quascirev.2020.106305" TargetMode="External"/><Relationship Id="rId364" Type="http://schemas.openxmlformats.org/officeDocument/2006/relationships/hyperlink" Target="https://www.nature.com/articles/ncomms9910" TargetMode="External"/><Relationship Id="rId61" Type="http://schemas.openxmlformats.org/officeDocument/2006/relationships/hyperlink" Target="https://version2.ice-d.org/antarctica/sample/14-TUG-027-SKF/" TargetMode="External"/><Relationship Id="rId199" Type="http://schemas.openxmlformats.org/officeDocument/2006/relationships/hyperlink" Target="https://www.ice-d.org/antarctica/sample/10-MPS-012-NNS/" TargetMode="External"/><Relationship Id="rId571" Type="http://schemas.openxmlformats.org/officeDocument/2006/relationships/hyperlink" Target="https://doi.org/10.1657/1523-0430(2003)035%5b0175:GACHOT%5d2.0.CO;2" TargetMode="External"/><Relationship Id="rId627" Type="http://schemas.openxmlformats.org/officeDocument/2006/relationships/hyperlink" Target="https://doi.org/10.5194/tc-13-2935-2019" TargetMode="External"/><Relationship Id="rId669" Type="http://schemas.openxmlformats.org/officeDocument/2006/relationships/hyperlink" Target="https://doi.org/10.1130/G21165.1" TargetMode="External"/><Relationship Id="rId19" Type="http://schemas.openxmlformats.org/officeDocument/2006/relationships/hyperlink" Target="https://version2.ice-d.org/antarctica/sample/W2011-LM-C12a/" TargetMode="External"/><Relationship Id="rId224" Type="http://schemas.openxmlformats.org/officeDocument/2006/relationships/hyperlink" Target="https://www.ice-d.org/antarctica/sample/10-MPS-024-CSP/" TargetMode="External"/><Relationship Id="rId266" Type="http://schemas.openxmlformats.org/officeDocument/2006/relationships/hyperlink" Target="https://doi.org/10.1016/j.quascirev.2020.106540" TargetMode="External"/><Relationship Id="rId431" Type="http://schemas.openxmlformats.org/officeDocument/2006/relationships/hyperlink" Target="https://doi.org/10.5194/tc-15-3329-2021" TargetMode="External"/><Relationship Id="rId473" Type="http://schemas.openxmlformats.org/officeDocument/2006/relationships/hyperlink" Target="https://doi.org/10.1657/1523-0430(2003)035%5b0175:GACHOT%5d2.0.CO;2" TargetMode="External"/><Relationship Id="rId529" Type="http://schemas.openxmlformats.org/officeDocument/2006/relationships/hyperlink" Target="https://doi.org/10.1657/1523-0430(2003)035%5b0175:GACHOT%5d2.0.CO;2" TargetMode="External"/><Relationship Id="rId680" Type="http://schemas.openxmlformats.org/officeDocument/2006/relationships/hyperlink" Target="https://doi.org/10.1130/G21165.1" TargetMode="External"/><Relationship Id="rId30" Type="http://schemas.openxmlformats.org/officeDocument/2006/relationships/hyperlink" Target="https://www.ice-d.org/antarctica/sample/DN2009-BROW11/" TargetMode="External"/><Relationship Id="rId126" Type="http://schemas.openxmlformats.org/officeDocument/2006/relationships/hyperlink" Target="https://version2.ice-d.org/antarctica/sample/14-HAT-065-MV/" TargetMode="External"/><Relationship Id="rId168" Type="http://schemas.openxmlformats.org/officeDocument/2006/relationships/hyperlink" Target="https://version2.ice-d.org/antarctica/sample/K2020-JRQ-13-27/" TargetMode="External"/><Relationship Id="rId333" Type="http://schemas.openxmlformats.org/officeDocument/2006/relationships/hyperlink" Target="https://doi.org/10.1016/j.quascirev.2016.12.007" TargetMode="External"/><Relationship Id="rId540" Type="http://schemas.openxmlformats.org/officeDocument/2006/relationships/hyperlink" Target="https://doi.org/10.1657/1523-0430(2003)035%5b0175:GACHOT%5d2.0.CO;2" TargetMode="External"/><Relationship Id="rId72" Type="http://schemas.openxmlformats.org/officeDocument/2006/relationships/hyperlink" Target="https://version2.ice-d.org/antarctica/sample/14-HAT-035-DH/" TargetMode="External"/><Relationship Id="rId375" Type="http://schemas.openxmlformats.org/officeDocument/2006/relationships/hyperlink" Target="https://www.nature.com/articles/ncomms9910" TargetMode="External"/><Relationship Id="rId582" Type="http://schemas.openxmlformats.org/officeDocument/2006/relationships/hyperlink" Target="https://doi.org/10.1657/1523-0430(2003)035%5b0175:GACHOT%5d2.0.CO;2" TargetMode="External"/><Relationship Id="rId638" Type="http://schemas.openxmlformats.org/officeDocument/2006/relationships/hyperlink" Target="https://doi.org/10.1130/G21165.1" TargetMode="External"/><Relationship Id="rId3" Type="http://schemas.openxmlformats.org/officeDocument/2006/relationships/hyperlink" Target="https://www.ice-d.org/antarctica/sample/Y2011-SK2/" TargetMode="External"/><Relationship Id="rId235" Type="http://schemas.openxmlformats.org/officeDocument/2006/relationships/hyperlink" Target="https://version2.ice-d.org/antarctica/sample/11-ATH-203-WNR/" TargetMode="External"/><Relationship Id="rId277" Type="http://schemas.openxmlformats.org/officeDocument/2006/relationships/hyperlink" Target="https://doi.org/10.5194/tc-13-2935-2019" TargetMode="External"/><Relationship Id="rId400" Type="http://schemas.openxmlformats.org/officeDocument/2006/relationships/hyperlink" Target="https://www.nature.com/articles/ncomms9910" TargetMode="External"/><Relationship Id="rId442" Type="http://schemas.openxmlformats.org/officeDocument/2006/relationships/hyperlink" Target="https://doi.org/10.1016/j.quascirev.2014.06.023" TargetMode="External"/><Relationship Id="rId484" Type="http://schemas.openxmlformats.org/officeDocument/2006/relationships/hyperlink" Target="https://doi.org/10.1657/1523-0430(2003)035%5b0175:GACHOT%5d2.0.CO;2" TargetMode="External"/><Relationship Id="rId705" Type="http://schemas.openxmlformats.org/officeDocument/2006/relationships/vmlDrawing" Target="../drawings/vmlDrawing1.vml"/><Relationship Id="rId137" Type="http://schemas.openxmlformats.org/officeDocument/2006/relationships/hyperlink" Target="https://doi.org/10.1016/j.epsl.2024.118803" TargetMode="External"/><Relationship Id="rId302" Type="http://schemas.openxmlformats.org/officeDocument/2006/relationships/hyperlink" Target="https://doi.org/10.1016/j.quascirev.2013.07.101" TargetMode="External"/><Relationship Id="rId344" Type="http://schemas.openxmlformats.org/officeDocument/2006/relationships/hyperlink" Target="https://doi.org/10.1002/esp.5701" TargetMode="External"/><Relationship Id="rId691" Type="http://schemas.openxmlformats.org/officeDocument/2006/relationships/hyperlink" Target="https://doi.org/10.1130/G21165.1" TargetMode="External"/><Relationship Id="rId41" Type="http://schemas.openxmlformats.org/officeDocument/2006/relationships/hyperlink" Target="https://www.ice-d.org/antarctica/sample/S2010-LW25-2/" TargetMode="External"/><Relationship Id="rId83" Type="http://schemas.openxmlformats.org/officeDocument/2006/relationships/hyperlink" Target="https://version2.ice-d.org/antarctica/sample/13-HAT-099-BV/" TargetMode="External"/><Relationship Id="rId179" Type="http://schemas.openxmlformats.org/officeDocument/2006/relationships/hyperlink" Target="https://version2.ice-d.org/antarctica/sample/PH12-48/" TargetMode="External"/><Relationship Id="rId386" Type="http://schemas.openxmlformats.org/officeDocument/2006/relationships/hyperlink" Target="https://www.nature.com/articles/ncomms9910" TargetMode="External"/><Relationship Id="rId551" Type="http://schemas.openxmlformats.org/officeDocument/2006/relationships/hyperlink" Target="https://doi.org/10.1657/1523-0430(2003)035%5b0175:GACHOT%5d2.0.CO;2" TargetMode="External"/><Relationship Id="rId593" Type="http://schemas.openxmlformats.org/officeDocument/2006/relationships/hyperlink" Target="https://doi.org/10.5194/tc-13-2935-2019" TargetMode="External"/><Relationship Id="rId607" Type="http://schemas.openxmlformats.org/officeDocument/2006/relationships/hyperlink" Target="https://doi.org/10.5194/tc-13-2935-2019" TargetMode="External"/><Relationship Id="rId649" Type="http://schemas.openxmlformats.org/officeDocument/2006/relationships/hyperlink" Target="https://doi.org/10.1130/G21165.1" TargetMode="External"/><Relationship Id="rId190" Type="http://schemas.openxmlformats.org/officeDocument/2006/relationships/hyperlink" Target="https://www.ice-d.org/antarctica/sample/10-MPS-008-NNS/" TargetMode="External"/><Relationship Id="rId204" Type="http://schemas.openxmlformats.org/officeDocument/2006/relationships/hyperlink" Target="https://www.ice-d.org/antarctica/sample/10-MPS-038-NNS/" TargetMode="External"/><Relationship Id="rId246" Type="http://schemas.openxmlformats.org/officeDocument/2006/relationships/hyperlink" Target="https://www.ice-d.org/antarctica/sample/99-MBL-017-MGM/" TargetMode="External"/><Relationship Id="rId288" Type="http://schemas.openxmlformats.org/officeDocument/2006/relationships/hyperlink" Target="https://doi.org/10.5194/tc-13-2935-2031" TargetMode="External"/><Relationship Id="rId411" Type="http://schemas.openxmlformats.org/officeDocument/2006/relationships/hyperlink" Target="https://intranet.ess.uw.edu/content/people/student_publications_files/todd--claire-e/3289774.pdf" TargetMode="External"/><Relationship Id="rId453" Type="http://schemas.openxmlformats.org/officeDocument/2006/relationships/hyperlink" Target="https://doi.org/10.1016/j.quascirev.2014.06.023" TargetMode="External"/><Relationship Id="rId509" Type="http://schemas.openxmlformats.org/officeDocument/2006/relationships/hyperlink" Target="https://doi.org/10.1657/1523-0430(2003)035%5b0175:GACHOT%5d2.0.CO;2" TargetMode="External"/><Relationship Id="rId660" Type="http://schemas.openxmlformats.org/officeDocument/2006/relationships/hyperlink" Target="https://doi.org/10.1130/G21165.1" TargetMode="External"/><Relationship Id="rId106" Type="http://schemas.openxmlformats.org/officeDocument/2006/relationships/hyperlink" Target="https://version2.ice-d.org/antarctica/sample/13-HAT-137-UM/" TargetMode="External"/><Relationship Id="rId313" Type="http://schemas.openxmlformats.org/officeDocument/2006/relationships/hyperlink" Target="https://doi.org/10.5194/tc-15-5447-2021" TargetMode="External"/><Relationship Id="rId495" Type="http://schemas.openxmlformats.org/officeDocument/2006/relationships/hyperlink" Target="https://doi.org/10.1657/1523-0430(2003)035%5b0175:GACHOT%5d2.0.CO;2" TargetMode="External"/><Relationship Id="rId10" Type="http://schemas.openxmlformats.org/officeDocument/2006/relationships/hyperlink" Target="https://doi.org/10.1016/j.quascirev.2022.107401" TargetMode="External"/><Relationship Id="rId52" Type="http://schemas.openxmlformats.org/officeDocument/2006/relationships/hyperlink" Target="https://www.ice-d.org/antarctica/sample/04-RDY-052-KRO/" TargetMode="External"/><Relationship Id="rId94" Type="http://schemas.openxmlformats.org/officeDocument/2006/relationships/hyperlink" Target="https://version2.ice-d.org/antarctica/sample/13-HAT-118-DAN/" TargetMode="External"/><Relationship Id="rId148" Type="http://schemas.openxmlformats.org/officeDocument/2006/relationships/hyperlink" Target="https://doi.org/10.1016/j.epsl.2024.118803" TargetMode="External"/><Relationship Id="rId355" Type="http://schemas.openxmlformats.org/officeDocument/2006/relationships/hyperlink" Target="https://doi.org/10.1002/esp.5701" TargetMode="External"/><Relationship Id="rId397" Type="http://schemas.openxmlformats.org/officeDocument/2006/relationships/hyperlink" Target="https://www.nature.com/articles/ncomms9910" TargetMode="External"/><Relationship Id="rId520" Type="http://schemas.openxmlformats.org/officeDocument/2006/relationships/hyperlink" Target="https://doi.org/10.1657/1523-0430(2003)035%5b0175:GACHOT%5d2.0.CO;2" TargetMode="External"/><Relationship Id="rId562" Type="http://schemas.openxmlformats.org/officeDocument/2006/relationships/hyperlink" Target="https://doi.org/10.1657/1523-0430(2003)035%5b0175:GACHOT%5d2.0.CO;2" TargetMode="External"/><Relationship Id="rId618" Type="http://schemas.openxmlformats.org/officeDocument/2006/relationships/hyperlink" Target="https://doi.org/10.5194/tc-13-2935-2019" TargetMode="External"/><Relationship Id="rId215" Type="http://schemas.openxmlformats.org/officeDocument/2006/relationships/hyperlink" Target="https://www.ice-d.org/antarctica/sample/10-MPS-046-NNS/" TargetMode="External"/><Relationship Id="rId257" Type="http://schemas.openxmlformats.org/officeDocument/2006/relationships/hyperlink" Target="https://version2.ice-d.org/antarctica/sample/L2014-ISL-1/" TargetMode="External"/><Relationship Id="rId422" Type="http://schemas.openxmlformats.org/officeDocument/2006/relationships/hyperlink" Target="https://doi.org/10.5194/tc-15-3329-2021" TargetMode="External"/><Relationship Id="rId464" Type="http://schemas.openxmlformats.org/officeDocument/2006/relationships/hyperlink" Target="https://doi.org/10.1657/1523-0430(2003)035%5b0175:GACHOT%5d2.0.CO;2" TargetMode="External"/><Relationship Id="rId299" Type="http://schemas.openxmlformats.org/officeDocument/2006/relationships/hyperlink" Target="https://doi.org/10.1016/j.quascirev.2013.07.024" TargetMode="External"/><Relationship Id="rId63" Type="http://schemas.openxmlformats.org/officeDocument/2006/relationships/hyperlink" Target="https://version2.ice-d.org/antarctica/sample/14-TUG-040-SKB/" TargetMode="External"/><Relationship Id="rId159" Type="http://schemas.openxmlformats.org/officeDocument/2006/relationships/hyperlink" Target="https://doi.org/10.1016/j.epsl.2024.118803" TargetMode="External"/><Relationship Id="rId366" Type="http://schemas.openxmlformats.org/officeDocument/2006/relationships/hyperlink" Target="https://www.nature.com/articles/ncomms9910" TargetMode="External"/><Relationship Id="rId573" Type="http://schemas.openxmlformats.org/officeDocument/2006/relationships/hyperlink" Target="https://doi.org/10.1657/1523-0430(2003)035%5b0175:GACHOT%5d2.0.CO;2" TargetMode="External"/><Relationship Id="rId226" Type="http://schemas.openxmlformats.org/officeDocument/2006/relationships/hyperlink" Target="https://www.ice-d.org/antarctica/sample/10-MPS-027-CSP/" TargetMode="External"/><Relationship Id="rId433" Type="http://schemas.openxmlformats.org/officeDocument/2006/relationships/hyperlink" Target="https://doi.org/10.5194/tc-15-3329-2021" TargetMode="External"/><Relationship Id="rId640" Type="http://schemas.openxmlformats.org/officeDocument/2006/relationships/hyperlink" Target="https://doi.org/10.1130/G21165.1" TargetMode="External"/><Relationship Id="rId74" Type="http://schemas.openxmlformats.org/officeDocument/2006/relationships/hyperlink" Target="https://version2.ice-d.org/antarctica/sample/13-HAT-067-DV/" TargetMode="External"/><Relationship Id="rId377" Type="http://schemas.openxmlformats.org/officeDocument/2006/relationships/hyperlink" Target="https://www.nature.com/articles/ncomms9910" TargetMode="External"/><Relationship Id="rId500" Type="http://schemas.openxmlformats.org/officeDocument/2006/relationships/hyperlink" Target="https://doi.org/10.1657/1523-0430(2003)035%5b0175:GACHOT%5d2.0.CO;2" TargetMode="External"/><Relationship Id="rId584" Type="http://schemas.openxmlformats.org/officeDocument/2006/relationships/hyperlink" Target="https://doi.org/10.1657/1523-0430(2003)035%5b0175:GACHOT%5d2.0.CO;2" TargetMode="External"/><Relationship Id="rId5" Type="http://schemas.openxmlformats.org/officeDocument/2006/relationships/hyperlink" Target="https://www.ice-d.org/antarctica/sample/Y2011-SK2/" TargetMode="External"/><Relationship Id="rId237" Type="http://schemas.openxmlformats.org/officeDocument/2006/relationships/hyperlink" Target="https://version2.ice-d.org/antarctica/sample/10-MPS-072-CRK/" TargetMode="External"/><Relationship Id="rId444" Type="http://schemas.openxmlformats.org/officeDocument/2006/relationships/hyperlink" Target="https://doi.org/10.1016/j.quascirev.2014.06.023" TargetMode="External"/><Relationship Id="rId651" Type="http://schemas.openxmlformats.org/officeDocument/2006/relationships/hyperlink" Target="https://doi.org/10.1130/G21165.1" TargetMode="External"/><Relationship Id="rId290" Type="http://schemas.openxmlformats.org/officeDocument/2006/relationships/hyperlink" Target="https://doi.org/10.5194/tc-13-2935-2031" TargetMode="External"/><Relationship Id="rId304" Type="http://schemas.openxmlformats.org/officeDocument/2006/relationships/hyperlink" Target="https://doi.org/10.1016/j.quascirev.2013.07.078" TargetMode="External"/><Relationship Id="rId388" Type="http://schemas.openxmlformats.org/officeDocument/2006/relationships/hyperlink" Target="https://www.nature.com/articles/ncomms9910" TargetMode="External"/><Relationship Id="rId511" Type="http://schemas.openxmlformats.org/officeDocument/2006/relationships/hyperlink" Target="https://doi.org/10.1657/1523-0430(2003)035%5b0175:GACHOT%5d2.0.CO;2" TargetMode="External"/><Relationship Id="rId609" Type="http://schemas.openxmlformats.org/officeDocument/2006/relationships/hyperlink" Target="https://doi.org/10.5194/tc-13-2935-2019" TargetMode="External"/><Relationship Id="rId85" Type="http://schemas.openxmlformats.org/officeDocument/2006/relationships/hyperlink" Target="https://version2.ice-d.org/antarctica/sample/13-HAT-083-BV/" TargetMode="External"/><Relationship Id="rId150" Type="http://schemas.openxmlformats.org/officeDocument/2006/relationships/hyperlink" Target="https://version2.ice-d.org/antarctica/sample/J2011-JOH-02/" TargetMode="External"/><Relationship Id="rId595" Type="http://schemas.openxmlformats.org/officeDocument/2006/relationships/hyperlink" Target="https://doi.org/10.5194/tc-13-2935-2019" TargetMode="External"/><Relationship Id="rId248" Type="http://schemas.openxmlformats.org/officeDocument/2006/relationships/hyperlink" Target="https://www.ice-d.org/antarctica/sample/01-MBL-094-FLM/" TargetMode="External"/><Relationship Id="rId455" Type="http://schemas.openxmlformats.org/officeDocument/2006/relationships/hyperlink" Target="https://doi.org/10.1657/1523-0430(2003)035%5b0175:GACHOT%5d2.0.CO;2" TargetMode="External"/><Relationship Id="rId662" Type="http://schemas.openxmlformats.org/officeDocument/2006/relationships/hyperlink" Target="https://doi.org/10.1130/G21165.1" TargetMode="External"/><Relationship Id="rId12" Type="http://schemas.openxmlformats.org/officeDocument/2006/relationships/hyperlink" Target="https://version2.ice-d.org/antarctica/sample/G11/" TargetMode="External"/><Relationship Id="rId108" Type="http://schemas.openxmlformats.org/officeDocument/2006/relationships/hyperlink" Target="https://version2.ice-d.org/antarctica/sample/14-HAT-044-MV/" TargetMode="External"/><Relationship Id="rId315" Type="http://schemas.openxmlformats.org/officeDocument/2006/relationships/hyperlink" Target="https://doi.org/10.1016/j.quascirev.2020.106305" TargetMode="External"/><Relationship Id="rId522" Type="http://schemas.openxmlformats.org/officeDocument/2006/relationships/hyperlink" Target="https://doi.org/10.1657/1523-0430(2003)035%5b0175:GACHOT%5d2.0.CO;2" TargetMode="External"/><Relationship Id="rId96" Type="http://schemas.openxmlformats.org/officeDocument/2006/relationships/hyperlink" Target="https://version2.ice-d.org/antarctica/sample/13-HAT-119-DAN/" TargetMode="External"/><Relationship Id="rId161" Type="http://schemas.openxmlformats.org/officeDocument/2006/relationships/hyperlink" Target="https://doi.org/10.1016/j.epsl.2024.118803" TargetMode="External"/><Relationship Id="rId399" Type="http://schemas.openxmlformats.org/officeDocument/2006/relationships/hyperlink" Target="https://www.nature.com/articles/ncomms9910" TargetMode="External"/><Relationship Id="rId259" Type="http://schemas.openxmlformats.org/officeDocument/2006/relationships/hyperlink" Target="https://doi.org/10.1002/2013JF002870" TargetMode="External"/><Relationship Id="rId466" Type="http://schemas.openxmlformats.org/officeDocument/2006/relationships/hyperlink" Target="https://doi.org/10.1657/1523-0430(2003)035%5b0175:GACHOT%5d2.0.CO;2" TargetMode="External"/><Relationship Id="rId673" Type="http://schemas.openxmlformats.org/officeDocument/2006/relationships/hyperlink" Target="https://doi.org/10.1130/G21165.1" TargetMode="External"/><Relationship Id="rId23" Type="http://schemas.openxmlformats.org/officeDocument/2006/relationships/hyperlink" Target="https://version2.ice-d.org/antarctica/sample/W2011-LM-C3/" TargetMode="External"/><Relationship Id="rId119" Type="http://schemas.openxmlformats.org/officeDocument/2006/relationships/hyperlink" Target="https://version2.ice-d.org/antarctica/sample/14-HAT-053-MV/" TargetMode="External"/><Relationship Id="rId326" Type="http://schemas.openxmlformats.org/officeDocument/2006/relationships/hyperlink" Target="https://doi.org/10.1016/j.quascirev.2016.12.007" TargetMode="External"/><Relationship Id="rId533" Type="http://schemas.openxmlformats.org/officeDocument/2006/relationships/hyperlink" Target="https://doi.org/10.1657/1523-0430(2003)035%5b0175:GACHOT%5d2.0.CO;2" TargetMode="External"/><Relationship Id="rId172" Type="http://schemas.openxmlformats.org/officeDocument/2006/relationships/hyperlink" Target="https://version2.ice-d.org/antarctica/sample/BFKS2006-BAT-8/" TargetMode="External"/><Relationship Id="rId477" Type="http://schemas.openxmlformats.org/officeDocument/2006/relationships/hyperlink" Target="https://doi.org/10.1657/1523-0430(2003)035%5b0175:GACHOT%5d2.0.CO;2" TargetMode="External"/><Relationship Id="rId600" Type="http://schemas.openxmlformats.org/officeDocument/2006/relationships/hyperlink" Target="https://doi.org/10.5194/tc-13-2935-2019" TargetMode="External"/><Relationship Id="rId684" Type="http://schemas.openxmlformats.org/officeDocument/2006/relationships/hyperlink" Target="https://doi.org/10.1130/G21165.1" TargetMode="External"/><Relationship Id="rId337" Type="http://schemas.openxmlformats.org/officeDocument/2006/relationships/hyperlink" Target="https://doi.org/10.1016/j.quascirev.2016.12.007" TargetMode="External"/><Relationship Id="rId34" Type="http://schemas.openxmlformats.org/officeDocument/2006/relationships/hyperlink" Target="https://www.ice-d.org/antarctica/sample/S2010-LW23-1/" TargetMode="External"/><Relationship Id="rId544" Type="http://schemas.openxmlformats.org/officeDocument/2006/relationships/hyperlink" Target="https://doi.org/10.1657/1523-0430(2003)035%5b0175:GACHOT%5d2.0.CO;2" TargetMode="External"/><Relationship Id="rId183" Type="http://schemas.openxmlformats.org/officeDocument/2006/relationships/hyperlink" Target="https://www.ice-d.org/antarctica/sample/10-MPS-006-COU/" TargetMode="External"/><Relationship Id="rId390" Type="http://schemas.openxmlformats.org/officeDocument/2006/relationships/hyperlink" Target="https://www.nature.com/articles/ncomms9910" TargetMode="External"/><Relationship Id="rId404" Type="http://schemas.openxmlformats.org/officeDocument/2006/relationships/hyperlink" Target="https://intranet.ess.uw.edu/content/people/student_publications_files/todd--claire-e/3289774.pdf" TargetMode="External"/><Relationship Id="rId611" Type="http://schemas.openxmlformats.org/officeDocument/2006/relationships/hyperlink" Target="https://doi.org/10.5194/tc-13-2935-2019" TargetMode="External"/><Relationship Id="rId250" Type="http://schemas.openxmlformats.org/officeDocument/2006/relationships/hyperlink" Target="https://version2.ice-d.org/antarctica/sample/JJ2015-KAY-103/" TargetMode="External"/><Relationship Id="rId488" Type="http://schemas.openxmlformats.org/officeDocument/2006/relationships/hyperlink" Target="https://doi.org/10.1657/1523-0430(2003)035%5b0175:GACHOT%5d2.0.CO;2" TargetMode="External"/><Relationship Id="rId695" Type="http://schemas.openxmlformats.org/officeDocument/2006/relationships/hyperlink" Target="https://doi.org/10.1016/j.quascirev.2017.11.003" TargetMode="External"/><Relationship Id="rId45" Type="http://schemas.openxmlformats.org/officeDocument/2006/relationships/hyperlink" Target="https://www.ice-d.org/antarctica/sample/04-RDY-043-KRO/" TargetMode="External"/><Relationship Id="rId110" Type="http://schemas.openxmlformats.org/officeDocument/2006/relationships/hyperlink" Target="https://version2.ice-d.org/antarctica/sample/14-HAT-042-MV/" TargetMode="External"/><Relationship Id="rId348" Type="http://schemas.openxmlformats.org/officeDocument/2006/relationships/hyperlink" Target="https://doi.org/10.1002/esp.5701" TargetMode="External"/><Relationship Id="rId555" Type="http://schemas.openxmlformats.org/officeDocument/2006/relationships/hyperlink" Target="https://doi.org/10.1657/1523-0430(2003)035%5b0175:GACHOT%5d2.0.CO;2" TargetMode="External"/><Relationship Id="rId194" Type="http://schemas.openxmlformats.org/officeDocument/2006/relationships/hyperlink" Target="https://www.ice-d.org/antarctica/sample/10-MPS-011-NNS/" TargetMode="External"/><Relationship Id="rId208" Type="http://schemas.openxmlformats.org/officeDocument/2006/relationships/hyperlink" Target="https://www.ice-d.org/antarctica/sample/10-MPS-040-NNS/" TargetMode="External"/><Relationship Id="rId415" Type="http://schemas.openxmlformats.org/officeDocument/2006/relationships/hyperlink" Target="https://intranet.ess.uw.edu/content/people/student_publications_files/todd--claire-e/3289774.pdf" TargetMode="External"/><Relationship Id="rId622" Type="http://schemas.openxmlformats.org/officeDocument/2006/relationships/hyperlink" Target="https://doi.org/10.5194/tc-13-2935-2019" TargetMode="External"/><Relationship Id="rId261" Type="http://schemas.openxmlformats.org/officeDocument/2006/relationships/hyperlink" Target="https://doi.org/10.1016/j.quascirev.2013.07.024" TargetMode="External"/><Relationship Id="rId499" Type="http://schemas.openxmlformats.org/officeDocument/2006/relationships/hyperlink" Target="https://doi.org/10.1657/1523-0430(2003)035%5b0175:GACHOT%5d2.0.CO;2" TargetMode="External"/><Relationship Id="rId56" Type="http://schemas.openxmlformats.org/officeDocument/2006/relationships/hyperlink" Target="https://www.ice-d.org/antarctica/sample/07-SCT-007-RGB/" TargetMode="External"/><Relationship Id="rId359" Type="http://schemas.openxmlformats.org/officeDocument/2006/relationships/hyperlink" Target="https://www.nature.com/articles/ncomms9910" TargetMode="External"/><Relationship Id="rId566" Type="http://schemas.openxmlformats.org/officeDocument/2006/relationships/hyperlink" Target="https://doi.org/10.1657/1523-0430(2003)035%5b0175:GACHOT%5d2.0.CO;2" TargetMode="External"/><Relationship Id="rId121" Type="http://schemas.openxmlformats.org/officeDocument/2006/relationships/hyperlink" Target="https://version2.ice-d.org/antarctica/sample/14-HAT-057-MV/" TargetMode="External"/><Relationship Id="rId219" Type="http://schemas.openxmlformats.org/officeDocument/2006/relationships/hyperlink" Target="https://www.ice-d.org/antarctica/sample/10-MPS-015-CSP/" TargetMode="External"/><Relationship Id="rId426" Type="http://schemas.openxmlformats.org/officeDocument/2006/relationships/hyperlink" Target="https://doi.org/10.5194/tc-15-3329-2021" TargetMode="External"/><Relationship Id="rId633" Type="http://schemas.openxmlformats.org/officeDocument/2006/relationships/hyperlink" Target="https://doi.org/10.1130/G21165.1" TargetMode="External"/><Relationship Id="rId67" Type="http://schemas.openxmlformats.org/officeDocument/2006/relationships/hyperlink" Target="https://version2.ice-d.org/antarctica/sample/14-TUG-036-CCR/" TargetMode="External"/><Relationship Id="rId272" Type="http://schemas.openxmlformats.org/officeDocument/2006/relationships/hyperlink" Target="https://doi.org/10.5194/tc-13-2935-2032" TargetMode="External"/><Relationship Id="rId577" Type="http://schemas.openxmlformats.org/officeDocument/2006/relationships/hyperlink" Target="https://doi.org/10.1657/1523-0430(2003)035%5b0175:GACHOT%5d2.0.CO;2" TargetMode="External"/><Relationship Id="rId700" Type="http://schemas.openxmlformats.org/officeDocument/2006/relationships/hyperlink" Target="https://doi.org/10.1016/j.quascirev.2013.07.024" TargetMode="External"/><Relationship Id="rId132" Type="http://schemas.openxmlformats.org/officeDocument/2006/relationships/hyperlink" Target="https://version2.ice-d.org/antarctica/sample/14-HAT-068-MV/" TargetMode="External"/><Relationship Id="rId437" Type="http://schemas.openxmlformats.org/officeDocument/2006/relationships/hyperlink" Target="https://doi.org/10.1016/j.quascirev.2014.06.023" TargetMode="External"/><Relationship Id="rId644" Type="http://schemas.openxmlformats.org/officeDocument/2006/relationships/hyperlink" Target="https://doi.org/10.1130/G21165.1" TargetMode="External"/><Relationship Id="rId283" Type="http://schemas.openxmlformats.org/officeDocument/2006/relationships/hyperlink" Target="https://doi.org/10.5194/tc-13-2935-2019" TargetMode="External"/><Relationship Id="rId490" Type="http://schemas.openxmlformats.org/officeDocument/2006/relationships/hyperlink" Target="https://doi.org/10.1657/1523-0430(2003)035%5b0175:GACHOT%5d2.0.CO;2" TargetMode="External"/><Relationship Id="rId504" Type="http://schemas.openxmlformats.org/officeDocument/2006/relationships/hyperlink" Target="https://doi.org/10.1657/1523-0430(2003)035%5b0175:GACHOT%5d2.0.CO;2" TargetMode="External"/><Relationship Id="rId78" Type="http://schemas.openxmlformats.org/officeDocument/2006/relationships/hyperlink" Target="https://version2.ice-d.org/antarctica/sample/13-HAT-069-DV/" TargetMode="External"/><Relationship Id="rId143" Type="http://schemas.openxmlformats.org/officeDocument/2006/relationships/hyperlink" Target="https://doi.org/10.1016/j.epsl.2024.118803" TargetMode="External"/><Relationship Id="rId350" Type="http://schemas.openxmlformats.org/officeDocument/2006/relationships/hyperlink" Target="https://doi.org/10.1002/esp.5701" TargetMode="External"/><Relationship Id="rId588" Type="http://schemas.openxmlformats.org/officeDocument/2006/relationships/hyperlink" Target="https://doi.org/10.1657/1523-0430(2003)035%5b0175:GACHOT%5d2.0.CO;2" TargetMode="External"/><Relationship Id="rId9" Type="http://schemas.openxmlformats.org/officeDocument/2006/relationships/hyperlink" Target="https://version2.ice-d.org/antarctica/sample/H2010-I03/" TargetMode="External"/><Relationship Id="rId210" Type="http://schemas.openxmlformats.org/officeDocument/2006/relationships/hyperlink" Target="https://www.ice-d.org/antarctica/sample/10-MPS-043-NNS/" TargetMode="External"/><Relationship Id="rId448" Type="http://schemas.openxmlformats.org/officeDocument/2006/relationships/hyperlink" Target="https://doi.org/10.1016/j.quascirev.2014.06.023" TargetMode="External"/><Relationship Id="rId655" Type="http://schemas.openxmlformats.org/officeDocument/2006/relationships/hyperlink" Target="https://doi.org/10.1130/G21165.1" TargetMode="External"/><Relationship Id="rId294" Type="http://schemas.openxmlformats.org/officeDocument/2006/relationships/hyperlink" Target="https://doi.org/10.5194/tc-13-2935-2019" TargetMode="External"/><Relationship Id="rId308" Type="http://schemas.openxmlformats.org/officeDocument/2006/relationships/hyperlink" Target="https://doi.org/10.1016/j.epsl.2020.116501" TargetMode="External"/><Relationship Id="rId515" Type="http://schemas.openxmlformats.org/officeDocument/2006/relationships/hyperlink" Target="https://doi.org/10.1657/1523-0430(2003)035%5b0175:GACHOT%5d2.0.CO;2" TargetMode="External"/><Relationship Id="rId89" Type="http://schemas.openxmlformats.org/officeDocument/2006/relationships/hyperlink" Target="https://version2.ice-d.org/antarctica/sample/13-HAT-106-BV/" TargetMode="External"/><Relationship Id="rId154" Type="http://schemas.openxmlformats.org/officeDocument/2006/relationships/hyperlink" Target="https://version2.ice-d.org/antarctica/sample/J2011-LAC-03/" TargetMode="External"/><Relationship Id="rId361" Type="http://schemas.openxmlformats.org/officeDocument/2006/relationships/hyperlink" Target="https://www.nature.com/articles/ncomms9910" TargetMode="External"/><Relationship Id="rId599" Type="http://schemas.openxmlformats.org/officeDocument/2006/relationships/hyperlink" Target="https://doi.org/10.5194/tc-13-2935-2019" TargetMode="External"/><Relationship Id="rId459" Type="http://schemas.openxmlformats.org/officeDocument/2006/relationships/hyperlink" Target="https://doi.org/10.1657/1523-0430(2003)035%5b0175:GACHOT%5d2.0.CO;2" TargetMode="External"/><Relationship Id="rId666" Type="http://schemas.openxmlformats.org/officeDocument/2006/relationships/hyperlink" Target="https://doi.org/10.1130/G21165.1" TargetMode="External"/><Relationship Id="rId16" Type="http://schemas.openxmlformats.org/officeDocument/2006/relationships/hyperlink" Target="https://version2.ice-d.org/antarctica/sample/JA2019-EP10P20/" TargetMode="External"/><Relationship Id="rId221" Type="http://schemas.openxmlformats.org/officeDocument/2006/relationships/hyperlink" Target="https://www.ice-d.org/antarctica/sample/10-MPS-024-CSP/" TargetMode="External"/><Relationship Id="rId319" Type="http://schemas.openxmlformats.org/officeDocument/2006/relationships/hyperlink" Target="https://doi.org/10.1016/j.quascirev.2020.106305" TargetMode="External"/><Relationship Id="rId526" Type="http://schemas.openxmlformats.org/officeDocument/2006/relationships/hyperlink" Target="https://doi.org/10.1657/1523-0430(2003)035%5b0175:GACHOT%5d2.0.CO;2" TargetMode="External"/><Relationship Id="rId165" Type="http://schemas.openxmlformats.org/officeDocument/2006/relationships/hyperlink" Target="https://version2.ice-d.org/antarctica/sample/K2020-JRQ-13-10/" TargetMode="External"/><Relationship Id="rId372" Type="http://schemas.openxmlformats.org/officeDocument/2006/relationships/hyperlink" Target="https://www.nature.com/articles/ncomms9910" TargetMode="External"/><Relationship Id="rId677" Type="http://schemas.openxmlformats.org/officeDocument/2006/relationships/hyperlink" Target="https://doi.org/10.1130/G21165.1" TargetMode="External"/><Relationship Id="rId232" Type="http://schemas.openxmlformats.org/officeDocument/2006/relationships/hyperlink" Target="https://www.ice-d.org/antarctica/sample/10-MPS-035-CSP/" TargetMode="External"/><Relationship Id="rId27" Type="http://schemas.openxmlformats.org/officeDocument/2006/relationships/hyperlink" Target="https://version2.ice-d.org/antarctica/sample/S2017-T11-8-1/" TargetMode="External"/><Relationship Id="rId537" Type="http://schemas.openxmlformats.org/officeDocument/2006/relationships/hyperlink" Target="https://doi.org/10.1657/1523-0430(2003)035%5b0175:GACHOT%5d2.0.CO;2" TargetMode="External"/><Relationship Id="rId80" Type="http://schemas.openxmlformats.org/officeDocument/2006/relationships/hyperlink" Target="https://version2.ice-d.org/antarctica/sample/13-HAT-060-DV/" TargetMode="External"/><Relationship Id="rId176" Type="http://schemas.openxmlformats.org/officeDocument/2006/relationships/hyperlink" Target="https://version2.ice-d.org/antarctica/sample/JJ2011-P11-13-6/" TargetMode="External"/><Relationship Id="rId383" Type="http://schemas.openxmlformats.org/officeDocument/2006/relationships/hyperlink" Target="https://www.nature.com/articles/ncomms9910" TargetMode="External"/><Relationship Id="rId590" Type="http://schemas.openxmlformats.org/officeDocument/2006/relationships/hyperlink" Target="https://doi.org/10.1657/1523-0430(2003)035%5b0175:GACHOT%5d2.0.CO;2" TargetMode="External"/><Relationship Id="rId604" Type="http://schemas.openxmlformats.org/officeDocument/2006/relationships/hyperlink" Target="https://doi.org/10.5194/tc-13-2935-2019" TargetMode="External"/><Relationship Id="rId243" Type="http://schemas.openxmlformats.org/officeDocument/2006/relationships/hyperlink" Target="https://www.ice-d.org/antarctica/sample/99-MBL-010-MGM/" TargetMode="External"/><Relationship Id="rId450" Type="http://schemas.openxmlformats.org/officeDocument/2006/relationships/hyperlink" Target="https://doi.org/10.1016/j.quascirev.2014.06.023" TargetMode="External"/><Relationship Id="rId688" Type="http://schemas.openxmlformats.org/officeDocument/2006/relationships/hyperlink" Target="https://doi.org/10.1130/G21165.1" TargetMode="External"/><Relationship Id="rId38" Type="http://schemas.openxmlformats.org/officeDocument/2006/relationships/hyperlink" Target="https://www.ice-d.org/antarctica/sample/S2010-LW24-2/" TargetMode="External"/><Relationship Id="rId103" Type="http://schemas.openxmlformats.org/officeDocument/2006/relationships/hyperlink" Target="https://version2.ice-d.org/antarctica/sample/13-HAT-132-DAN/" TargetMode="External"/><Relationship Id="rId310" Type="http://schemas.openxmlformats.org/officeDocument/2006/relationships/hyperlink" Target="https://doi.org/10.1016/j.quascirev.2020.106595" TargetMode="External"/><Relationship Id="rId548" Type="http://schemas.openxmlformats.org/officeDocument/2006/relationships/hyperlink" Target="https://doi.org/10.1657/1523-0430(2003)035%5b0175:GACHOT%5d2.0.CO;2" TargetMode="External"/><Relationship Id="rId91" Type="http://schemas.openxmlformats.org/officeDocument/2006/relationships/hyperlink" Target="https://version2.ice-d.org/antarctica/sample/13-HAT-120-DAN/" TargetMode="External"/><Relationship Id="rId187" Type="http://schemas.openxmlformats.org/officeDocument/2006/relationships/hyperlink" Target="https://www.ice-d.org/antarctica/sample/10-MPS-013-NNS/" TargetMode="External"/><Relationship Id="rId394" Type="http://schemas.openxmlformats.org/officeDocument/2006/relationships/hyperlink" Target="https://www.nature.com/articles/ncomms9910" TargetMode="External"/><Relationship Id="rId408" Type="http://schemas.openxmlformats.org/officeDocument/2006/relationships/hyperlink" Target="https://intranet.ess.uw.edu/content/people/student_publications_files/todd--claire-e/3289774.pdf" TargetMode="External"/><Relationship Id="rId615" Type="http://schemas.openxmlformats.org/officeDocument/2006/relationships/hyperlink" Target="https://doi.org/10.5194/tc-13-2935-2019" TargetMode="External"/><Relationship Id="rId254" Type="http://schemas.openxmlformats.org/officeDocument/2006/relationships/hyperlink" Target="https://version2.ice-d.org/antarctica/sample/JJ2015-KAY-111/" TargetMode="External"/><Relationship Id="rId699" Type="http://schemas.openxmlformats.org/officeDocument/2006/relationships/hyperlink" Target="https://doi.org/10.1016/j.yqres.2009.04.001" TargetMode="External"/><Relationship Id="rId49" Type="http://schemas.openxmlformats.org/officeDocument/2006/relationships/hyperlink" Target="https://www.ice-d.org/antarctica/sample/04-RDY-048-KRO/" TargetMode="External"/><Relationship Id="rId114" Type="http://schemas.openxmlformats.org/officeDocument/2006/relationships/hyperlink" Target="https://version2.ice-d.org/antarctica/sample/14-HAT-040-MV/" TargetMode="External"/><Relationship Id="rId461" Type="http://schemas.openxmlformats.org/officeDocument/2006/relationships/hyperlink" Target="https://doi.org/10.1657/1523-0430(2003)035%5b0175:GACHOT%5d2.0.CO;2" TargetMode="External"/><Relationship Id="rId559" Type="http://schemas.openxmlformats.org/officeDocument/2006/relationships/hyperlink" Target="https://doi.org/10.1657/1523-0430(2003)035%5b0175:GACHOT%5d2.0.CO;2" TargetMode="External"/><Relationship Id="rId198" Type="http://schemas.openxmlformats.org/officeDocument/2006/relationships/hyperlink" Target="https://www.ice-d.org/antarctica/sample/10-MPS-012-NNS/" TargetMode="External"/><Relationship Id="rId321" Type="http://schemas.openxmlformats.org/officeDocument/2006/relationships/hyperlink" Target="https://doi.org/10.1016/j.quascirev.2020.106305" TargetMode="External"/><Relationship Id="rId419" Type="http://schemas.openxmlformats.org/officeDocument/2006/relationships/hyperlink" Target="https://doi.org/10.5194/tc-15-3329-2021" TargetMode="External"/><Relationship Id="rId626" Type="http://schemas.openxmlformats.org/officeDocument/2006/relationships/hyperlink" Target="https://doi.org/10.5194/tc-13-2935-2019" TargetMode="External"/><Relationship Id="rId265" Type="http://schemas.openxmlformats.org/officeDocument/2006/relationships/hyperlink" Target="https://doi.org/10.1016/j.quascirev.2020.106540" TargetMode="External"/><Relationship Id="rId472" Type="http://schemas.openxmlformats.org/officeDocument/2006/relationships/hyperlink" Target="https://doi.org/10.1657/1523-0430(2003)035%5b0175:GACHOT%5d2.0.CO;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iencedirect.com/topics/earth-and-planetary-sciences/magnetic-permeabilit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A1466"/>
  <sheetViews>
    <sheetView tabSelected="1" topLeftCell="A1393" workbookViewId="0">
      <pane xSplit="3" topLeftCell="L1" activePane="topRight" state="frozen"/>
      <selection pane="topRight" activeCell="Q1414" sqref="Q1414"/>
    </sheetView>
  </sheetViews>
  <sheetFormatPr baseColWidth="10" defaultColWidth="12.6640625" defaultRowHeight="15" customHeight="1"/>
  <cols>
    <col min="1" max="1" width="30.6640625" style="17" customWidth="1"/>
    <col min="2" max="2" width="25.33203125" style="17" customWidth="1"/>
    <col min="3" max="3" width="7.6640625" style="17" customWidth="1"/>
    <col min="4" max="4" width="14.83203125" style="17" customWidth="1"/>
    <col min="5" max="5" width="13.33203125" style="17" customWidth="1"/>
    <col min="6" max="6" width="20.83203125" style="17" customWidth="1"/>
    <col min="7" max="7" width="22.6640625" style="17" customWidth="1"/>
    <col min="8" max="8" width="21.6640625" style="17" customWidth="1"/>
    <col min="9" max="9" width="11.6640625" style="17" customWidth="1"/>
    <col min="10" max="10" width="7" style="17" customWidth="1"/>
    <col min="11" max="11" width="69.83203125" style="17" customWidth="1"/>
    <col min="12" max="12" width="7.5" style="17" customWidth="1"/>
    <col min="13" max="13" width="8.33203125" style="17" customWidth="1"/>
    <col min="14" max="14" width="5.1640625" style="17" customWidth="1"/>
    <col min="15" max="15" width="4.83203125" style="17" customWidth="1"/>
    <col min="16" max="16" width="9" style="17" customWidth="1"/>
    <col min="17" max="17" width="8.1640625" style="17" customWidth="1"/>
    <col min="18" max="18" width="12" style="17" bestFit="1" customWidth="1"/>
    <col min="19" max="19" width="12.1640625" style="17" bestFit="1" customWidth="1"/>
    <col min="20" max="20" width="11.33203125" style="17" customWidth="1"/>
    <col min="21" max="21" width="10.6640625" style="23" customWidth="1"/>
    <col min="22" max="22" width="40.83203125" style="23" customWidth="1"/>
    <col min="23" max="23" width="40.83203125" style="44" customWidth="1"/>
    <col min="24" max="24" width="12.1640625" style="17" bestFit="1" customWidth="1"/>
    <col min="25" max="25" width="12.6640625" style="17"/>
    <col min="26" max="26" width="8" style="17" customWidth="1"/>
    <col min="27" max="27" width="12.6640625" style="17"/>
    <col min="28" max="28" width="7.83203125" style="17" customWidth="1"/>
    <col min="29" max="29" width="12.6640625" style="17"/>
    <col min="30" max="30" width="28.33203125" style="17" customWidth="1"/>
    <col min="31" max="31" width="9.33203125" style="17" customWidth="1"/>
    <col min="32" max="32" width="8.33203125" style="17" customWidth="1"/>
    <col min="33" max="33" width="12" style="17" customWidth="1"/>
    <col min="34" max="34" width="10.33203125" style="17" customWidth="1"/>
    <col min="35" max="35" width="14.1640625" style="17" customWidth="1"/>
    <col min="36" max="36" width="15" style="17" customWidth="1"/>
    <col min="37" max="37" width="6.5" style="17" customWidth="1"/>
    <col min="38" max="38" width="6.6640625" style="17" customWidth="1"/>
    <col min="39" max="39" width="12.6640625" style="17"/>
    <col min="40" max="40" width="16.33203125" style="17" customWidth="1"/>
    <col min="41" max="16384" width="12.6640625" style="17"/>
  </cols>
  <sheetData>
    <row r="1" spans="1:53" ht="54" customHeight="1">
      <c r="A1" s="10" t="s">
        <v>0</v>
      </c>
      <c r="B1" s="11" t="s">
        <v>1</v>
      </c>
      <c r="C1" s="10" t="s">
        <v>2</v>
      </c>
      <c r="D1" s="11" t="s">
        <v>3</v>
      </c>
      <c r="E1" s="11" t="s">
        <v>4</v>
      </c>
      <c r="F1" s="11" t="s">
        <v>5</v>
      </c>
      <c r="G1" s="11" t="s">
        <v>6</v>
      </c>
      <c r="H1" s="11" t="s">
        <v>7</v>
      </c>
      <c r="I1" s="10" t="s">
        <v>8</v>
      </c>
      <c r="J1" s="10" t="s">
        <v>9</v>
      </c>
      <c r="K1" s="10" t="s">
        <v>10</v>
      </c>
      <c r="L1" s="10" t="s">
        <v>11</v>
      </c>
      <c r="M1" s="10" t="s">
        <v>12</v>
      </c>
      <c r="N1" s="10" t="s">
        <v>13</v>
      </c>
      <c r="O1" s="10" t="s">
        <v>14</v>
      </c>
      <c r="P1" s="10" t="s">
        <v>15</v>
      </c>
      <c r="Q1" s="10" t="s">
        <v>16</v>
      </c>
      <c r="R1" s="10" t="s">
        <v>17</v>
      </c>
      <c r="S1" s="10" t="s">
        <v>18</v>
      </c>
      <c r="T1" s="12" t="s">
        <v>19</v>
      </c>
      <c r="U1" s="13" t="s">
        <v>20</v>
      </c>
      <c r="V1" s="14" t="s">
        <v>1829</v>
      </c>
      <c r="W1" s="15" t="s">
        <v>1748</v>
      </c>
      <c r="X1" s="10" t="s">
        <v>21</v>
      </c>
      <c r="Y1" s="10" t="s">
        <v>22</v>
      </c>
      <c r="Z1" s="10" t="s">
        <v>23</v>
      </c>
      <c r="AA1" s="10" t="s">
        <v>24</v>
      </c>
      <c r="AB1" s="10" t="s">
        <v>25</v>
      </c>
      <c r="AC1" s="10" t="s">
        <v>26</v>
      </c>
      <c r="AD1" s="10" t="s">
        <v>27</v>
      </c>
      <c r="AE1" s="10" t="s">
        <v>28</v>
      </c>
      <c r="AF1" s="10" t="s">
        <v>29</v>
      </c>
      <c r="AG1" s="10" t="s">
        <v>30</v>
      </c>
      <c r="AH1" s="10" t="s">
        <v>31</v>
      </c>
      <c r="AI1" s="16" t="s">
        <v>32</v>
      </c>
      <c r="AJ1" s="10" t="s">
        <v>33</v>
      </c>
      <c r="AK1" s="10" t="s">
        <v>34</v>
      </c>
      <c r="AL1" s="10" t="s">
        <v>35</v>
      </c>
      <c r="AM1" s="16" t="s">
        <v>36</v>
      </c>
      <c r="AN1" s="16"/>
      <c r="AO1" s="16"/>
      <c r="AP1" s="16"/>
      <c r="AQ1" s="16"/>
      <c r="AR1" s="16"/>
      <c r="AS1" s="16"/>
      <c r="AT1" s="16"/>
      <c r="AU1" s="16"/>
      <c r="AV1" s="16"/>
      <c r="AW1" s="16"/>
      <c r="AX1" s="16"/>
      <c r="AY1" s="16"/>
      <c r="AZ1" s="16"/>
      <c r="BA1" s="16"/>
    </row>
    <row r="2" spans="1:53" ht="12.75" customHeight="1">
      <c r="A2" s="18" t="s">
        <v>37</v>
      </c>
      <c r="B2" s="19" t="s">
        <v>38</v>
      </c>
      <c r="C2" s="17">
        <v>1</v>
      </c>
      <c r="D2" s="20" t="s">
        <v>196</v>
      </c>
      <c r="E2" s="19">
        <v>0</v>
      </c>
      <c r="F2" s="19" t="s">
        <v>40</v>
      </c>
      <c r="G2" s="19" t="s">
        <v>41</v>
      </c>
      <c r="H2" s="19" t="s">
        <v>42</v>
      </c>
      <c r="I2" s="17" t="b">
        <v>0</v>
      </c>
      <c r="J2" s="17" t="s">
        <v>43</v>
      </c>
      <c r="K2" s="21" t="str">
        <f>CONCATENATE("https://version2.ice-K1d.org/antarctica/sample/", A2, "/")</f>
        <v>https://version2.ice-K1d.org/antarctica/sample/W2014-CHL-2b/</v>
      </c>
      <c r="L2" s="18" t="s">
        <v>39</v>
      </c>
      <c r="M2" s="183" t="s">
        <v>44</v>
      </c>
      <c r="O2" s="17" t="s">
        <v>45</v>
      </c>
      <c r="P2" s="22">
        <v>-67.956900000000005</v>
      </c>
      <c r="Q2" s="22">
        <v>48.542700000000004</v>
      </c>
      <c r="R2" s="22"/>
      <c r="S2" s="22">
        <v>240</v>
      </c>
      <c r="T2" s="17">
        <v>100</v>
      </c>
      <c r="U2" s="23">
        <v>500</v>
      </c>
      <c r="V2" s="24" t="s">
        <v>1830</v>
      </c>
      <c r="W2" s="25" t="s">
        <v>2345</v>
      </c>
      <c r="X2" s="22">
        <f t="shared" ref="X2:X27" si="0">S2-T2</f>
        <v>140</v>
      </c>
      <c r="Y2" s="22">
        <v>5</v>
      </c>
      <c r="Z2" s="22">
        <v>2.7</v>
      </c>
      <c r="AA2" s="17" t="s">
        <v>46</v>
      </c>
      <c r="AB2" s="26">
        <v>6101</v>
      </c>
      <c r="AC2" s="26">
        <v>448</v>
      </c>
      <c r="AD2" s="26">
        <v>575</v>
      </c>
      <c r="AE2" s="27">
        <v>40900</v>
      </c>
      <c r="AF2" s="27">
        <v>3000</v>
      </c>
      <c r="AG2" s="28"/>
      <c r="AH2" s="28"/>
      <c r="AI2" s="17">
        <v>2007</v>
      </c>
      <c r="AJ2" s="17">
        <v>1</v>
      </c>
      <c r="AK2" s="17">
        <v>0</v>
      </c>
    </row>
    <row r="3" spans="1:53" ht="12.75" customHeight="1">
      <c r="A3" s="18" t="s">
        <v>47</v>
      </c>
      <c r="B3" s="19" t="s">
        <v>38</v>
      </c>
      <c r="C3" s="17">
        <v>1</v>
      </c>
      <c r="D3" s="20" t="s">
        <v>196</v>
      </c>
      <c r="E3" s="19">
        <v>0</v>
      </c>
      <c r="F3" s="19" t="s">
        <v>40</v>
      </c>
      <c r="G3" s="19" t="s">
        <v>41</v>
      </c>
      <c r="H3" s="19" t="s">
        <v>42</v>
      </c>
      <c r="I3" s="17" t="b">
        <v>0</v>
      </c>
      <c r="J3" s="17" t="s">
        <v>43</v>
      </c>
      <c r="K3" s="21" t="str">
        <f t="shared" ref="K2:K57" si="1">CONCATENATE("https://version2.ice-d.org/antarctica/sample/", A3, "/")</f>
        <v>https://version2.ice-d.org/antarctica/sample/W2014-CHL-2c/</v>
      </c>
      <c r="L3" s="18" t="s">
        <v>39</v>
      </c>
      <c r="M3" s="155"/>
      <c r="O3" s="17" t="s">
        <v>45</v>
      </c>
      <c r="P3" s="22">
        <v>-67.956900000000005</v>
      </c>
      <c r="Q3" s="22">
        <v>48.542700000000004</v>
      </c>
      <c r="R3" s="22"/>
      <c r="S3" s="22">
        <v>240</v>
      </c>
      <c r="T3" s="17">
        <v>100</v>
      </c>
      <c r="U3" s="23">
        <v>500</v>
      </c>
      <c r="V3" s="24" t="s">
        <v>1831</v>
      </c>
      <c r="W3" s="25" t="s">
        <v>2345</v>
      </c>
      <c r="X3" s="22">
        <f t="shared" si="0"/>
        <v>140</v>
      </c>
      <c r="Y3" s="22">
        <v>5</v>
      </c>
      <c r="Z3" s="22">
        <v>2.7</v>
      </c>
      <c r="AA3" s="17" t="s">
        <v>46</v>
      </c>
      <c r="AB3" s="26">
        <v>6545</v>
      </c>
      <c r="AC3" s="26">
        <v>373</v>
      </c>
      <c r="AD3" s="26">
        <v>538</v>
      </c>
      <c r="AE3" s="27">
        <v>43900</v>
      </c>
      <c r="AF3" s="27">
        <v>2500</v>
      </c>
      <c r="AG3" s="28"/>
      <c r="AH3" s="28"/>
      <c r="AI3" s="17">
        <v>2007</v>
      </c>
      <c r="AJ3" s="17">
        <v>1</v>
      </c>
      <c r="AK3" s="17">
        <v>0</v>
      </c>
    </row>
    <row r="4" spans="1:53" ht="12.75" customHeight="1">
      <c r="A4" s="18" t="s">
        <v>48</v>
      </c>
      <c r="B4" s="19" t="s">
        <v>38</v>
      </c>
      <c r="C4" s="17">
        <v>1</v>
      </c>
      <c r="D4" s="20" t="s">
        <v>196</v>
      </c>
      <c r="E4" s="19">
        <v>0</v>
      </c>
      <c r="F4" s="19" t="s">
        <v>40</v>
      </c>
      <c r="G4" s="19" t="s">
        <v>41</v>
      </c>
      <c r="H4" s="19" t="s">
        <v>42</v>
      </c>
      <c r="I4" s="17" t="b">
        <v>0</v>
      </c>
      <c r="J4" s="17" t="s">
        <v>43</v>
      </c>
      <c r="K4" s="21" t="str">
        <f t="shared" si="1"/>
        <v>https://version2.ice-d.org/antarctica/sample/W2014-CHL-2d/</v>
      </c>
      <c r="L4" s="18" t="s">
        <v>39</v>
      </c>
      <c r="M4" s="155"/>
      <c r="O4" s="17" t="s">
        <v>45</v>
      </c>
      <c r="P4" s="22">
        <v>-67.956900000000005</v>
      </c>
      <c r="Q4" s="22">
        <v>48.542700000000004</v>
      </c>
      <c r="R4" s="22"/>
      <c r="S4" s="22">
        <v>240</v>
      </c>
      <c r="T4" s="17">
        <v>100</v>
      </c>
      <c r="U4" s="23">
        <v>500</v>
      </c>
      <c r="V4" s="24" t="s">
        <v>1832</v>
      </c>
      <c r="W4" s="25" t="s">
        <v>2345</v>
      </c>
      <c r="X4" s="22">
        <f t="shared" si="0"/>
        <v>140</v>
      </c>
      <c r="Y4" s="22">
        <v>5</v>
      </c>
      <c r="Z4" s="22">
        <v>2.7</v>
      </c>
      <c r="AA4" s="17" t="s">
        <v>46</v>
      </c>
      <c r="AB4" s="26">
        <v>6956</v>
      </c>
      <c r="AC4" s="26">
        <v>433</v>
      </c>
      <c r="AD4" s="26">
        <v>597</v>
      </c>
      <c r="AE4" s="27">
        <v>46700</v>
      </c>
      <c r="AF4" s="27">
        <v>2900</v>
      </c>
      <c r="AG4" s="28"/>
      <c r="AH4" s="28"/>
      <c r="AI4" s="17">
        <v>2007</v>
      </c>
      <c r="AJ4" s="17">
        <v>1</v>
      </c>
      <c r="AK4" s="17">
        <v>0</v>
      </c>
    </row>
    <row r="5" spans="1:53" ht="12.75" customHeight="1">
      <c r="A5" s="29" t="s">
        <v>49</v>
      </c>
      <c r="B5" s="19" t="s">
        <v>50</v>
      </c>
      <c r="C5" s="17">
        <v>1</v>
      </c>
      <c r="D5" s="20" t="s">
        <v>196</v>
      </c>
      <c r="E5" s="19">
        <v>0</v>
      </c>
      <c r="F5" s="19" t="s">
        <v>40</v>
      </c>
      <c r="G5" s="19" t="s">
        <v>41</v>
      </c>
      <c r="H5" s="19" t="s">
        <v>42</v>
      </c>
      <c r="I5" s="17" t="b">
        <v>0</v>
      </c>
      <c r="J5" s="17" t="s">
        <v>43</v>
      </c>
      <c r="K5" s="21" t="str">
        <f t="shared" si="1"/>
        <v>https://version2.ice-d.org/antarctica/sample/W2014-CHU-1b/</v>
      </c>
      <c r="L5" s="29" t="s">
        <v>39</v>
      </c>
      <c r="M5" s="184" t="s">
        <v>44</v>
      </c>
      <c r="O5" s="17" t="s">
        <v>45</v>
      </c>
      <c r="P5" s="22">
        <v>-67.918199999999999</v>
      </c>
      <c r="Q5" s="22">
        <v>48.616700000000002</v>
      </c>
      <c r="R5" s="22"/>
      <c r="S5" s="22">
        <v>560</v>
      </c>
      <c r="T5" s="17">
        <v>100</v>
      </c>
      <c r="U5" s="23">
        <v>500</v>
      </c>
      <c r="V5" s="24" t="s">
        <v>1833</v>
      </c>
      <c r="W5" s="25" t="s">
        <v>2345</v>
      </c>
      <c r="X5" s="22">
        <f t="shared" si="0"/>
        <v>460</v>
      </c>
      <c r="Y5" s="22">
        <v>5</v>
      </c>
      <c r="Z5" s="22">
        <v>2.7</v>
      </c>
      <c r="AA5" s="17" t="s">
        <v>51</v>
      </c>
      <c r="AB5" s="26">
        <v>9121</v>
      </c>
      <c r="AC5" s="26">
        <v>272</v>
      </c>
      <c r="AD5" s="26">
        <v>604</v>
      </c>
      <c r="AE5" s="27">
        <v>83900</v>
      </c>
      <c r="AF5" s="27">
        <v>2500</v>
      </c>
      <c r="AG5" s="28"/>
      <c r="AH5" s="28"/>
      <c r="AI5" s="17">
        <v>2007</v>
      </c>
      <c r="AJ5" s="17">
        <v>1</v>
      </c>
      <c r="AK5" s="17">
        <v>0</v>
      </c>
    </row>
    <row r="6" spans="1:53" ht="12.75" customHeight="1">
      <c r="A6" s="29" t="s">
        <v>52</v>
      </c>
      <c r="B6" s="19" t="s">
        <v>50</v>
      </c>
      <c r="C6" s="17">
        <v>1</v>
      </c>
      <c r="D6" s="20" t="s">
        <v>196</v>
      </c>
      <c r="E6" s="19">
        <v>0</v>
      </c>
      <c r="F6" s="19" t="s">
        <v>40</v>
      </c>
      <c r="G6" s="19" t="s">
        <v>41</v>
      </c>
      <c r="H6" s="19" t="s">
        <v>42</v>
      </c>
      <c r="I6" s="17" t="b">
        <v>0</v>
      </c>
      <c r="J6" s="17" t="s">
        <v>43</v>
      </c>
      <c r="K6" s="21" t="str">
        <f t="shared" si="1"/>
        <v>https://version2.ice-d.org/antarctica/sample/W2014-CHU-1c/</v>
      </c>
      <c r="L6" s="29" t="s">
        <v>39</v>
      </c>
      <c r="M6" s="155"/>
      <c r="O6" s="17" t="s">
        <v>45</v>
      </c>
      <c r="P6" s="22">
        <v>-67.918199999999999</v>
      </c>
      <c r="Q6" s="22">
        <v>48.616700000000002</v>
      </c>
      <c r="R6" s="22"/>
      <c r="S6" s="22">
        <v>560</v>
      </c>
      <c r="T6" s="17">
        <v>100</v>
      </c>
      <c r="U6" s="23">
        <v>500</v>
      </c>
      <c r="V6" s="24" t="s">
        <v>1834</v>
      </c>
      <c r="W6" s="25" t="s">
        <v>2345</v>
      </c>
      <c r="X6" s="22">
        <f t="shared" si="0"/>
        <v>460</v>
      </c>
      <c r="Y6" s="22">
        <v>5</v>
      </c>
      <c r="Z6" s="22">
        <v>2.7</v>
      </c>
      <c r="AA6" s="17" t="s">
        <v>46</v>
      </c>
      <c r="AB6" s="26">
        <v>9670</v>
      </c>
      <c r="AC6" s="26">
        <v>338</v>
      </c>
      <c r="AD6" s="26">
        <v>664</v>
      </c>
      <c r="AE6" s="27">
        <v>89000</v>
      </c>
      <c r="AF6" s="27">
        <v>3100</v>
      </c>
      <c r="AG6" s="28"/>
      <c r="AH6" s="28"/>
      <c r="AI6" s="17">
        <v>2007</v>
      </c>
      <c r="AJ6" s="17">
        <v>1</v>
      </c>
      <c r="AK6" s="17">
        <v>0</v>
      </c>
    </row>
    <row r="7" spans="1:53" ht="12.75" customHeight="1">
      <c r="A7" s="29" t="s">
        <v>53</v>
      </c>
      <c r="B7" s="19" t="s">
        <v>50</v>
      </c>
      <c r="C7" s="17">
        <v>1</v>
      </c>
      <c r="D7" s="20" t="s">
        <v>196</v>
      </c>
      <c r="E7" s="19">
        <v>0</v>
      </c>
      <c r="F7" s="19" t="s">
        <v>40</v>
      </c>
      <c r="G7" s="19" t="s">
        <v>41</v>
      </c>
      <c r="H7" s="19" t="s">
        <v>42</v>
      </c>
      <c r="I7" s="17" t="b">
        <v>0</v>
      </c>
      <c r="J7" s="17" t="s">
        <v>43</v>
      </c>
      <c r="K7" s="21" t="str">
        <f t="shared" si="1"/>
        <v>https://version2.ice-d.org/antarctica/sample/W2014-CHU-1d/</v>
      </c>
      <c r="L7" s="29" t="s">
        <v>39</v>
      </c>
      <c r="M7" s="155"/>
      <c r="O7" s="17" t="s">
        <v>45</v>
      </c>
      <c r="P7" s="22">
        <v>-67.918199999999999</v>
      </c>
      <c r="Q7" s="22">
        <v>48.616700000000002</v>
      </c>
      <c r="R7" s="22"/>
      <c r="S7" s="22">
        <v>560</v>
      </c>
      <c r="T7" s="17">
        <v>100</v>
      </c>
      <c r="U7" s="23">
        <v>500</v>
      </c>
      <c r="V7" s="24" t="s">
        <v>1835</v>
      </c>
      <c r="W7" s="25" t="s">
        <v>2345</v>
      </c>
      <c r="X7" s="22">
        <f t="shared" si="0"/>
        <v>460</v>
      </c>
      <c r="Y7" s="22">
        <v>5</v>
      </c>
      <c r="Z7" s="22">
        <v>2.7</v>
      </c>
      <c r="AA7" s="17" t="s">
        <v>46</v>
      </c>
      <c r="AB7" s="26">
        <v>9682</v>
      </c>
      <c r="AC7" s="26">
        <v>327</v>
      </c>
      <c r="AD7" s="26">
        <v>659</v>
      </c>
      <c r="AE7" s="27">
        <v>89100</v>
      </c>
      <c r="AF7" s="27">
        <v>3000</v>
      </c>
      <c r="AG7" s="28"/>
      <c r="AH7" s="28"/>
      <c r="AI7" s="17">
        <v>2007</v>
      </c>
      <c r="AJ7" s="17">
        <v>1</v>
      </c>
      <c r="AK7" s="17">
        <v>0</v>
      </c>
    </row>
    <row r="8" spans="1:53" ht="15.75" customHeight="1">
      <c r="A8" s="30" t="s">
        <v>54</v>
      </c>
      <c r="B8" s="19" t="s">
        <v>55</v>
      </c>
      <c r="C8" s="17">
        <v>2</v>
      </c>
      <c r="D8" s="20" t="s">
        <v>196</v>
      </c>
      <c r="E8" s="19">
        <v>0</v>
      </c>
      <c r="F8" s="19" t="s">
        <v>40</v>
      </c>
      <c r="G8" s="19" t="s">
        <v>41</v>
      </c>
      <c r="H8" s="19" t="s">
        <v>42</v>
      </c>
      <c r="I8" s="17" t="b">
        <v>0</v>
      </c>
      <c r="J8" s="17" t="s">
        <v>43</v>
      </c>
      <c r="K8" s="21" t="str">
        <f t="shared" si="1"/>
        <v>https://version2.ice-d.org/antarctica/sample/W2014-DDI-1/</v>
      </c>
      <c r="L8" s="30" t="s">
        <v>39</v>
      </c>
      <c r="M8" s="185" t="s">
        <v>44</v>
      </c>
      <c r="O8" s="17" t="s">
        <v>45</v>
      </c>
      <c r="P8" s="22">
        <v>-67.474000000000004</v>
      </c>
      <c r="Q8" s="22">
        <v>48.334299999999999</v>
      </c>
      <c r="R8" s="22"/>
      <c r="S8" s="22">
        <v>35</v>
      </c>
      <c r="T8" s="22">
        <v>0</v>
      </c>
      <c r="U8" s="23">
        <v>500</v>
      </c>
      <c r="V8" s="24" t="s">
        <v>1836</v>
      </c>
      <c r="W8" s="25" t="s">
        <v>2345</v>
      </c>
      <c r="X8" s="22">
        <f t="shared" si="0"/>
        <v>35</v>
      </c>
      <c r="Y8" s="22">
        <v>5</v>
      </c>
      <c r="Z8" s="22">
        <v>2.7</v>
      </c>
      <c r="AA8" s="17" t="s">
        <v>46</v>
      </c>
      <c r="AB8" s="26">
        <v>9479</v>
      </c>
      <c r="AC8" s="26">
        <v>912</v>
      </c>
      <c r="AD8" s="26">
        <v>1070</v>
      </c>
      <c r="AE8" s="27">
        <v>52100</v>
      </c>
      <c r="AF8" s="27">
        <v>5000</v>
      </c>
      <c r="AG8" s="28"/>
      <c r="AH8" s="28"/>
      <c r="AI8" s="17">
        <v>2007</v>
      </c>
      <c r="AJ8" s="17">
        <v>1</v>
      </c>
      <c r="AK8" s="17">
        <v>0</v>
      </c>
    </row>
    <row r="9" spans="1:53" ht="15.75" customHeight="1">
      <c r="A9" s="30" t="s">
        <v>56</v>
      </c>
      <c r="B9" s="19" t="s">
        <v>55</v>
      </c>
      <c r="C9" s="17">
        <v>2</v>
      </c>
      <c r="D9" s="20" t="s">
        <v>196</v>
      </c>
      <c r="E9" s="19">
        <v>0</v>
      </c>
      <c r="F9" s="19" t="s">
        <v>40</v>
      </c>
      <c r="G9" s="19" t="s">
        <v>41</v>
      </c>
      <c r="H9" s="19" t="s">
        <v>42</v>
      </c>
      <c r="I9" s="17" t="b">
        <v>0</v>
      </c>
      <c r="J9" s="17" t="s">
        <v>43</v>
      </c>
      <c r="K9" s="21" t="str">
        <f t="shared" si="1"/>
        <v>https://version2.ice-d.org/antarctica/sample/W2014-DDI-2/</v>
      </c>
      <c r="L9" s="30" t="s">
        <v>39</v>
      </c>
      <c r="M9" s="155"/>
      <c r="O9" s="17" t="s">
        <v>45</v>
      </c>
      <c r="P9" s="22">
        <v>-67.474000000000004</v>
      </c>
      <c r="Q9" s="22">
        <v>48.334299999999999</v>
      </c>
      <c r="R9" s="22"/>
      <c r="S9" s="22">
        <v>35</v>
      </c>
      <c r="T9" s="22">
        <v>0</v>
      </c>
      <c r="U9" s="23">
        <v>500</v>
      </c>
      <c r="V9" s="24" t="s">
        <v>1837</v>
      </c>
      <c r="W9" s="25" t="s">
        <v>2345</v>
      </c>
      <c r="X9" s="22">
        <f t="shared" si="0"/>
        <v>35</v>
      </c>
      <c r="Y9" s="22">
        <v>5</v>
      </c>
      <c r="Z9" s="22">
        <v>2.7</v>
      </c>
      <c r="AA9" s="17" t="s">
        <v>46</v>
      </c>
      <c r="AB9" s="26">
        <v>9214</v>
      </c>
      <c r="AC9" s="26">
        <v>493</v>
      </c>
      <c r="AD9" s="26">
        <v>735</v>
      </c>
      <c r="AE9" s="27">
        <v>50600</v>
      </c>
      <c r="AF9" s="27">
        <v>2700</v>
      </c>
      <c r="AG9" s="28"/>
      <c r="AH9" s="28"/>
      <c r="AI9" s="17">
        <v>2007</v>
      </c>
      <c r="AJ9" s="17">
        <v>1</v>
      </c>
      <c r="AK9" s="17">
        <v>0</v>
      </c>
    </row>
    <row r="10" spans="1:53" ht="15.75" customHeight="1">
      <c r="A10" s="30" t="s">
        <v>57</v>
      </c>
      <c r="B10" s="19" t="s">
        <v>55</v>
      </c>
      <c r="C10" s="17">
        <v>2</v>
      </c>
      <c r="D10" s="20" t="s">
        <v>196</v>
      </c>
      <c r="E10" s="19">
        <v>0</v>
      </c>
      <c r="F10" s="19" t="s">
        <v>40</v>
      </c>
      <c r="G10" s="19" t="s">
        <v>41</v>
      </c>
      <c r="H10" s="19" t="s">
        <v>42</v>
      </c>
      <c r="I10" s="17" t="b">
        <v>0</v>
      </c>
      <c r="J10" s="17" t="s">
        <v>43</v>
      </c>
      <c r="K10" s="21" t="str">
        <f t="shared" si="1"/>
        <v>https://version2.ice-d.org/antarctica/sample/W2014-DDI-3/</v>
      </c>
      <c r="L10" s="31" t="s">
        <v>39</v>
      </c>
      <c r="M10" s="31" t="s">
        <v>44</v>
      </c>
      <c r="O10" s="17" t="s">
        <v>45</v>
      </c>
      <c r="P10" s="22">
        <v>-67.474000000000004</v>
      </c>
      <c r="Q10" s="22">
        <v>48.334299999999999</v>
      </c>
      <c r="R10" s="22"/>
      <c r="S10" s="22">
        <v>35</v>
      </c>
      <c r="T10" s="22">
        <v>0</v>
      </c>
      <c r="U10" s="23">
        <v>500</v>
      </c>
      <c r="V10" s="24" t="s">
        <v>1838</v>
      </c>
      <c r="W10" s="25" t="s">
        <v>2345</v>
      </c>
      <c r="X10" s="22">
        <f t="shared" si="0"/>
        <v>35</v>
      </c>
      <c r="Y10" s="22">
        <v>5</v>
      </c>
      <c r="Z10" s="22">
        <v>2.7</v>
      </c>
      <c r="AA10" s="17" t="s">
        <v>58</v>
      </c>
      <c r="AB10" s="26">
        <v>8772</v>
      </c>
      <c r="AC10" s="26">
        <v>328</v>
      </c>
      <c r="AD10" s="26">
        <v>614</v>
      </c>
      <c r="AE10" s="27">
        <v>48200</v>
      </c>
      <c r="AF10" s="27">
        <v>1800</v>
      </c>
      <c r="AG10" s="28"/>
      <c r="AH10" s="28"/>
      <c r="AI10" s="17">
        <v>2007</v>
      </c>
      <c r="AJ10" s="17">
        <v>1</v>
      </c>
      <c r="AK10" s="17">
        <v>0</v>
      </c>
    </row>
    <row r="11" spans="1:53" ht="12.75" customHeight="1">
      <c r="A11" s="32" t="s">
        <v>59</v>
      </c>
      <c r="B11" s="33" t="s">
        <v>60</v>
      </c>
      <c r="C11" s="27">
        <v>3</v>
      </c>
      <c r="D11" s="20" t="s">
        <v>196</v>
      </c>
      <c r="E11" s="33">
        <v>3000</v>
      </c>
      <c r="F11" s="33" t="s">
        <v>61</v>
      </c>
      <c r="G11" s="33" t="s">
        <v>62</v>
      </c>
      <c r="H11" s="33" t="s">
        <v>42</v>
      </c>
      <c r="I11" s="17" t="b">
        <v>0</v>
      </c>
      <c r="J11" s="17" t="s">
        <v>43</v>
      </c>
      <c r="K11" s="21" t="str">
        <f t="shared" si="1"/>
        <v>https://version2.ice-d.org/antarctica/sample/K2020-16012201/</v>
      </c>
      <c r="L11" s="32" t="s">
        <v>39</v>
      </c>
      <c r="M11" s="157" t="s">
        <v>44</v>
      </c>
      <c r="O11" s="17" t="s">
        <v>63</v>
      </c>
      <c r="P11" s="22">
        <v>-69.465800000000002</v>
      </c>
      <c r="Q11" s="22">
        <v>39.783099999999997</v>
      </c>
      <c r="R11" s="22"/>
      <c r="S11" s="22">
        <v>153</v>
      </c>
      <c r="T11" s="22">
        <v>0</v>
      </c>
      <c r="U11" s="23">
        <v>360</v>
      </c>
      <c r="V11" s="24" t="s">
        <v>1840</v>
      </c>
      <c r="W11" s="25" t="s">
        <v>2346</v>
      </c>
      <c r="X11" s="22">
        <f t="shared" si="0"/>
        <v>153</v>
      </c>
      <c r="Y11" s="22">
        <v>2.5</v>
      </c>
      <c r="Z11" s="22">
        <v>2.7</v>
      </c>
      <c r="AA11" s="17" t="s">
        <v>51</v>
      </c>
      <c r="AB11" s="26">
        <v>6594</v>
      </c>
      <c r="AC11" s="26">
        <v>287</v>
      </c>
      <c r="AD11" s="26">
        <v>484</v>
      </c>
      <c r="AE11" s="27">
        <v>41400</v>
      </c>
      <c r="AF11" s="27">
        <v>1800</v>
      </c>
      <c r="AG11" s="27">
        <v>329900</v>
      </c>
      <c r="AH11" s="27">
        <v>30700</v>
      </c>
      <c r="AI11" s="17">
        <v>2016</v>
      </c>
      <c r="AJ11" s="17">
        <v>1</v>
      </c>
      <c r="AK11" s="17">
        <v>0</v>
      </c>
      <c r="AL11" s="34"/>
    </row>
    <row r="12" spans="1:53" ht="12.75" customHeight="1">
      <c r="A12" s="32" t="s">
        <v>59</v>
      </c>
      <c r="B12" s="33" t="s">
        <v>60</v>
      </c>
      <c r="C12" s="27">
        <v>3</v>
      </c>
      <c r="D12" s="20" t="s">
        <v>196</v>
      </c>
      <c r="E12" s="33">
        <v>3000</v>
      </c>
      <c r="F12" s="33" t="s">
        <v>61</v>
      </c>
      <c r="G12" s="33" t="s">
        <v>62</v>
      </c>
      <c r="H12" s="33" t="s">
        <v>42</v>
      </c>
      <c r="I12" s="17" t="b">
        <v>0</v>
      </c>
      <c r="J12" s="17" t="s">
        <v>64</v>
      </c>
      <c r="K12" s="21" t="str">
        <f t="shared" si="1"/>
        <v>https://version2.ice-d.org/antarctica/sample/K2020-16012201/</v>
      </c>
      <c r="L12" s="32" t="s">
        <v>39</v>
      </c>
      <c r="M12" s="155"/>
      <c r="O12" s="17" t="s">
        <v>63</v>
      </c>
      <c r="P12" s="22">
        <v>-69.465800000000002</v>
      </c>
      <c r="Q12" s="22">
        <v>39.783099999999997</v>
      </c>
      <c r="R12" s="22"/>
      <c r="S12" s="22">
        <v>153</v>
      </c>
      <c r="T12" s="22">
        <v>0</v>
      </c>
      <c r="U12" s="23">
        <v>360</v>
      </c>
      <c r="V12" s="24" t="s">
        <v>1841</v>
      </c>
      <c r="W12" s="25" t="s">
        <v>2346</v>
      </c>
      <c r="X12" s="22">
        <f t="shared" si="0"/>
        <v>153</v>
      </c>
      <c r="Y12" s="22">
        <v>2.5</v>
      </c>
      <c r="Z12" s="22">
        <v>2.7</v>
      </c>
      <c r="AA12" s="17" t="s">
        <v>51</v>
      </c>
      <c r="AB12" s="26">
        <v>7354</v>
      </c>
      <c r="AC12" s="26">
        <v>687</v>
      </c>
      <c r="AD12" s="26">
        <v>935</v>
      </c>
      <c r="AE12" s="27">
        <v>41400</v>
      </c>
      <c r="AF12" s="27">
        <v>1800</v>
      </c>
      <c r="AG12" s="27">
        <v>329900</v>
      </c>
      <c r="AH12" s="27">
        <v>30700</v>
      </c>
      <c r="AI12" s="17">
        <v>2016</v>
      </c>
      <c r="AJ12" s="17">
        <v>1</v>
      </c>
      <c r="AK12" s="17">
        <v>0</v>
      </c>
      <c r="AL12" s="34"/>
    </row>
    <row r="13" spans="1:53" ht="12.75" customHeight="1">
      <c r="A13" s="32" t="s">
        <v>65</v>
      </c>
      <c r="B13" s="33" t="s">
        <v>60</v>
      </c>
      <c r="C13" s="27">
        <v>3</v>
      </c>
      <c r="D13" s="20" t="s">
        <v>196</v>
      </c>
      <c r="E13" s="33">
        <v>3000</v>
      </c>
      <c r="F13" s="33" t="s">
        <v>61</v>
      </c>
      <c r="G13" s="33" t="s">
        <v>62</v>
      </c>
      <c r="H13" s="33" t="s">
        <v>42</v>
      </c>
      <c r="I13" s="17" t="b">
        <v>0</v>
      </c>
      <c r="J13" s="17" t="s">
        <v>43</v>
      </c>
      <c r="K13" s="21" t="str">
        <f t="shared" si="1"/>
        <v>https://version2.ice-d.org/antarctica/sample/K2020-16012301/</v>
      </c>
      <c r="L13" s="32" t="s">
        <v>39</v>
      </c>
      <c r="M13" s="155"/>
      <c r="O13" s="17" t="s">
        <v>63</v>
      </c>
      <c r="P13" s="22">
        <v>-69.464200000000005</v>
      </c>
      <c r="Q13" s="22">
        <v>39.746400000000001</v>
      </c>
      <c r="R13" s="22"/>
      <c r="S13" s="22">
        <v>122</v>
      </c>
      <c r="T13" s="22">
        <v>0</v>
      </c>
      <c r="U13" s="23">
        <v>360</v>
      </c>
      <c r="V13" s="24" t="s">
        <v>1842</v>
      </c>
      <c r="W13" s="25" t="s">
        <v>2346</v>
      </c>
      <c r="X13" s="22">
        <f t="shared" si="0"/>
        <v>122</v>
      </c>
      <c r="Y13" s="22">
        <v>2.2999999999999998</v>
      </c>
      <c r="Z13" s="22">
        <v>2.7</v>
      </c>
      <c r="AA13" s="17" t="s">
        <v>51</v>
      </c>
      <c r="AB13" s="26">
        <v>6720</v>
      </c>
      <c r="AC13" s="26">
        <v>296</v>
      </c>
      <c r="AD13" s="35">
        <v>495</v>
      </c>
      <c r="AE13" s="27">
        <v>40900</v>
      </c>
      <c r="AF13" s="27">
        <v>1800</v>
      </c>
      <c r="AG13" s="28"/>
      <c r="AH13" s="28"/>
      <c r="AI13" s="17">
        <v>2016</v>
      </c>
      <c r="AJ13" s="17">
        <v>1</v>
      </c>
      <c r="AK13" s="17">
        <v>0</v>
      </c>
      <c r="AL13" s="34"/>
    </row>
    <row r="14" spans="1:53" ht="12.75" customHeight="1">
      <c r="A14" s="32" t="s">
        <v>66</v>
      </c>
      <c r="B14" s="33" t="s">
        <v>60</v>
      </c>
      <c r="C14" s="27">
        <v>3</v>
      </c>
      <c r="D14" s="20" t="s">
        <v>196</v>
      </c>
      <c r="E14" s="33">
        <v>3000</v>
      </c>
      <c r="F14" s="33" t="s">
        <v>61</v>
      </c>
      <c r="G14" s="33" t="s">
        <v>62</v>
      </c>
      <c r="H14" s="33" t="s">
        <v>42</v>
      </c>
      <c r="I14" s="17" t="b">
        <v>0</v>
      </c>
      <c r="J14" s="17" t="s">
        <v>64</v>
      </c>
      <c r="K14" s="21" t="str">
        <f t="shared" si="1"/>
        <v>https://version2.ice-d.org/antarctica/sample/K2020-16012401/</v>
      </c>
      <c r="L14" s="32" t="s">
        <v>39</v>
      </c>
      <c r="M14" s="155"/>
      <c r="O14" s="17" t="s">
        <v>63</v>
      </c>
      <c r="P14" s="22">
        <v>-69.487899999999996</v>
      </c>
      <c r="Q14" s="22">
        <v>39.6509</v>
      </c>
      <c r="R14" s="22"/>
      <c r="S14" s="22">
        <v>237</v>
      </c>
      <c r="T14" s="22">
        <v>0</v>
      </c>
      <c r="U14" s="23">
        <v>360</v>
      </c>
      <c r="V14" s="24" t="s">
        <v>1843</v>
      </c>
      <c r="W14" s="25" t="s">
        <v>2346</v>
      </c>
      <c r="X14" s="22">
        <f t="shared" si="0"/>
        <v>237</v>
      </c>
      <c r="Y14" s="22">
        <v>2.5</v>
      </c>
      <c r="Z14" s="22">
        <v>2.7</v>
      </c>
      <c r="AA14" s="17" t="s">
        <v>58</v>
      </c>
      <c r="AB14" s="26">
        <v>12939</v>
      </c>
      <c r="AC14" s="26">
        <v>494</v>
      </c>
      <c r="AD14" s="36">
        <v>1224</v>
      </c>
      <c r="AE14" s="27">
        <v>96800</v>
      </c>
      <c r="AF14" s="27">
        <v>4600</v>
      </c>
      <c r="AG14" s="27">
        <v>619900</v>
      </c>
      <c r="AH14" s="27">
        <v>23500</v>
      </c>
      <c r="AI14" s="17">
        <v>2016</v>
      </c>
      <c r="AJ14" s="17">
        <v>1</v>
      </c>
      <c r="AK14" s="17">
        <v>0</v>
      </c>
      <c r="AL14" s="34"/>
    </row>
    <row r="15" spans="1:53" ht="12.75" customHeight="1">
      <c r="A15" s="32" t="s">
        <v>66</v>
      </c>
      <c r="B15" s="33" t="s">
        <v>60</v>
      </c>
      <c r="C15" s="27">
        <v>3</v>
      </c>
      <c r="D15" s="20" t="s">
        <v>196</v>
      </c>
      <c r="E15" s="33">
        <v>3000</v>
      </c>
      <c r="F15" s="33" t="s">
        <v>61</v>
      </c>
      <c r="G15" s="33" t="s">
        <v>62</v>
      </c>
      <c r="H15" s="33" t="s">
        <v>42</v>
      </c>
      <c r="I15" s="17" t="b">
        <v>0</v>
      </c>
      <c r="J15" s="17" t="s">
        <v>43</v>
      </c>
      <c r="K15" s="21" t="str">
        <f t="shared" si="1"/>
        <v>https://version2.ice-d.org/antarctica/sample/K2020-16012401/</v>
      </c>
      <c r="L15" s="32" t="s">
        <v>39</v>
      </c>
      <c r="M15" s="155"/>
      <c r="O15" s="17" t="s">
        <v>63</v>
      </c>
      <c r="P15" s="22">
        <v>-69.487899999999996</v>
      </c>
      <c r="Q15" s="22">
        <v>39.6509</v>
      </c>
      <c r="R15" s="22"/>
      <c r="S15" s="22">
        <v>237</v>
      </c>
      <c r="T15" s="22">
        <v>0</v>
      </c>
      <c r="U15" s="23">
        <v>360</v>
      </c>
      <c r="V15" s="24" t="s">
        <v>1844</v>
      </c>
      <c r="W15" s="25" t="s">
        <v>2346</v>
      </c>
      <c r="X15" s="22">
        <f t="shared" si="0"/>
        <v>237</v>
      </c>
      <c r="Y15" s="22">
        <v>2.5</v>
      </c>
      <c r="Z15" s="22">
        <v>2.7</v>
      </c>
      <c r="AA15" s="17" t="s">
        <v>58</v>
      </c>
      <c r="AB15" s="26">
        <v>14359</v>
      </c>
      <c r="AC15" s="26">
        <v>685</v>
      </c>
      <c r="AD15" s="35">
        <v>1092</v>
      </c>
      <c r="AE15" s="27">
        <v>96800</v>
      </c>
      <c r="AF15" s="27">
        <v>4600</v>
      </c>
      <c r="AG15" s="27">
        <v>619900</v>
      </c>
      <c r="AH15" s="27">
        <v>23500</v>
      </c>
      <c r="AI15" s="17">
        <v>2016</v>
      </c>
      <c r="AJ15" s="17">
        <v>1</v>
      </c>
      <c r="AK15" s="17">
        <v>0</v>
      </c>
      <c r="AL15" s="34"/>
    </row>
    <row r="16" spans="1:53" ht="12.75" customHeight="1">
      <c r="A16" s="32" t="s">
        <v>67</v>
      </c>
      <c r="B16" s="33" t="s">
        <v>60</v>
      </c>
      <c r="C16" s="27">
        <v>3</v>
      </c>
      <c r="D16" s="20" t="s">
        <v>196</v>
      </c>
      <c r="E16" s="33">
        <v>3000</v>
      </c>
      <c r="F16" s="33" t="s">
        <v>61</v>
      </c>
      <c r="G16" s="33" t="s">
        <v>62</v>
      </c>
      <c r="H16" s="33" t="s">
        <v>42</v>
      </c>
      <c r="I16" s="17" t="b">
        <v>0</v>
      </c>
      <c r="J16" s="17" t="s">
        <v>43</v>
      </c>
      <c r="K16" s="21" t="str">
        <f t="shared" si="1"/>
        <v>https://version2.ice-d.org/antarctica/sample/K2020-16012402/</v>
      </c>
      <c r="L16" s="32" t="s">
        <v>39</v>
      </c>
      <c r="M16" s="155"/>
      <c r="O16" s="17" t="s">
        <v>63</v>
      </c>
      <c r="P16" s="22">
        <v>-69.491399999999999</v>
      </c>
      <c r="Q16" s="22">
        <v>39.661700000000003</v>
      </c>
      <c r="R16" s="22"/>
      <c r="S16" s="22">
        <v>66</v>
      </c>
      <c r="T16" s="22">
        <v>0</v>
      </c>
      <c r="U16" s="23">
        <v>360</v>
      </c>
      <c r="V16" s="24" t="s">
        <v>1845</v>
      </c>
      <c r="W16" s="25" t="s">
        <v>2346</v>
      </c>
      <c r="X16" s="22">
        <f t="shared" si="0"/>
        <v>66</v>
      </c>
      <c r="Y16" s="22">
        <v>2.2000000000000002</v>
      </c>
      <c r="Z16" s="22">
        <v>2.7</v>
      </c>
      <c r="AA16" s="17" t="s">
        <v>51</v>
      </c>
      <c r="AB16" s="26">
        <v>7620</v>
      </c>
      <c r="AC16" s="26">
        <v>367</v>
      </c>
      <c r="AD16" s="26">
        <v>581</v>
      </c>
      <c r="AE16" s="27">
        <v>43700</v>
      </c>
      <c r="AF16" s="27">
        <v>2100</v>
      </c>
      <c r="AG16" s="28"/>
      <c r="AH16" s="28"/>
      <c r="AI16" s="17">
        <v>2016</v>
      </c>
      <c r="AJ16" s="17">
        <v>1</v>
      </c>
      <c r="AK16" s="17">
        <v>0</v>
      </c>
      <c r="AL16" s="34"/>
    </row>
    <row r="17" spans="1:38" ht="12.75" customHeight="1">
      <c r="A17" s="32" t="s">
        <v>68</v>
      </c>
      <c r="B17" s="33" t="s">
        <v>60</v>
      </c>
      <c r="C17" s="27">
        <v>3</v>
      </c>
      <c r="D17" s="20" t="s">
        <v>196</v>
      </c>
      <c r="E17" s="33">
        <v>3000</v>
      </c>
      <c r="F17" s="33" t="s">
        <v>61</v>
      </c>
      <c r="G17" s="33" t="s">
        <v>62</v>
      </c>
      <c r="H17" s="33" t="s">
        <v>42</v>
      </c>
      <c r="I17" s="17" t="b">
        <v>0</v>
      </c>
      <c r="J17" s="17" t="s">
        <v>64</v>
      </c>
      <c r="K17" s="21" t="str">
        <f t="shared" si="1"/>
        <v>https://version2.ice-d.org/antarctica/sample/K2020-16012403/</v>
      </c>
      <c r="L17" s="32" t="s">
        <v>39</v>
      </c>
      <c r="M17" s="155"/>
      <c r="O17" s="17" t="s">
        <v>63</v>
      </c>
      <c r="P17" s="22">
        <v>-69.499200000000002</v>
      </c>
      <c r="Q17" s="22">
        <v>39.683599999999998</v>
      </c>
      <c r="R17" s="22"/>
      <c r="S17" s="22">
        <v>139</v>
      </c>
      <c r="T17" s="22">
        <v>0</v>
      </c>
      <c r="U17" s="23">
        <v>360</v>
      </c>
      <c r="V17" s="24" t="s">
        <v>1846</v>
      </c>
      <c r="W17" s="25" t="s">
        <v>2346</v>
      </c>
      <c r="X17" s="22">
        <f t="shared" si="0"/>
        <v>139</v>
      </c>
      <c r="Y17" s="22">
        <v>2.2999999999999998</v>
      </c>
      <c r="Z17" s="22">
        <v>2.7</v>
      </c>
      <c r="AA17" s="17" t="s">
        <v>51</v>
      </c>
      <c r="AB17" s="26">
        <v>7735</v>
      </c>
      <c r="AC17" s="26">
        <v>327</v>
      </c>
      <c r="AD17" s="26">
        <v>744</v>
      </c>
      <c r="AE17" s="27">
        <v>56800</v>
      </c>
      <c r="AF17" s="27">
        <v>3800</v>
      </c>
      <c r="AG17" s="27">
        <v>344100</v>
      </c>
      <c r="AH17" s="27">
        <v>14500</v>
      </c>
      <c r="AI17" s="17">
        <v>2016</v>
      </c>
      <c r="AJ17" s="17">
        <v>1</v>
      </c>
      <c r="AK17" s="17">
        <v>0</v>
      </c>
      <c r="AL17" s="34"/>
    </row>
    <row r="18" spans="1:38" ht="12.75" customHeight="1">
      <c r="A18" s="32" t="s">
        <v>68</v>
      </c>
      <c r="B18" s="33" t="s">
        <v>60</v>
      </c>
      <c r="C18" s="27">
        <v>3</v>
      </c>
      <c r="D18" s="20" t="s">
        <v>196</v>
      </c>
      <c r="E18" s="33">
        <v>3000</v>
      </c>
      <c r="F18" s="33" t="s">
        <v>61</v>
      </c>
      <c r="G18" s="33" t="s">
        <v>62</v>
      </c>
      <c r="H18" s="33" t="s">
        <v>42</v>
      </c>
      <c r="I18" s="17" t="b">
        <v>0</v>
      </c>
      <c r="J18" s="17" t="s">
        <v>43</v>
      </c>
      <c r="K18" s="21" t="str">
        <f t="shared" si="1"/>
        <v>https://version2.ice-d.org/antarctica/sample/K2020-16012403/</v>
      </c>
      <c r="L18" s="32" t="s">
        <v>39</v>
      </c>
      <c r="M18" s="155"/>
      <c r="O18" s="17" t="s">
        <v>63</v>
      </c>
      <c r="P18" s="22">
        <v>-69.499200000000002</v>
      </c>
      <c r="Q18" s="22">
        <v>39.683599999999998</v>
      </c>
      <c r="R18" s="22"/>
      <c r="S18" s="22">
        <v>139</v>
      </c>
      <c r="T18" s="22">
        <v>0</v>
      </c>
      <c r="U18" s="23">
        <v>360</v>
      </c>
      <c r="V18" s="24" t="s">
        <v>1847</v>
      </c>
      <c r="W18" s="25" t="s">
        <v>2346</v>
      </c>
      <c r="X18" s="22">
        <f t="shared" si="0"/>
        <v>139</v>
      </c>
      <c r="Y18" s="22">
        <v>2.2999999999999998</v>
      </c>
      <c r="Z18" s="22">
        <v>2.7</v>
      </c>
      <c r="AA18" s="17" t="s">
        <v>51</v>
      </c>
      <c r="AB18" s="26">
        <v>9101</v>
      </c>
      <c r="AC18" s="26">
        <v>610</v>
      </c>
      <c r="AD18" s="26">
        <v>814</v>
      </c>
      <c r="AE18" s="27">
        <v>56800</v>
      </c>
      <c r="AF18" s="27">
        <v>3800</v>
      </c>
      <c r="AG18" s="27">
        <v>344100</v>
      </c>
      <c r="AH18" s="27">
        <v>14500</v>
      </c>
      <c r="AI18" s="17">
        <v>2016</v>
      </c>
      <c r="AJ18" s="17">
        <v>1</v>
      </c>
      <c r="AK18" s="17">
        <v>0</v>
      </c>
      <c r="AL18" s="34"/>
    </row>
    <row r="19" spans="1:38" ht="12.75" customHeight="1">
      <c r="A19" s="32" t="s">
        <v>69</v>
      </c>
      <c r="B19" s="33" t="s">
        <v>60</v>
      </c>
      <c r="C19" s="27">
        <v>3</v>
      </c>
      <c r="D19" s="20" t="s">
        <v>196</v>
      </c>
      <c r="E19" s="33">
        <v>3000</v>
      </c>
      <c r="F19" s="33" t="s">
        <v>61</v>
      </c>
      <c r="G19" s="33" t="s">
        <v>62</v>
      </c>
      <c r="H19" s="33" t="s">
        <v>42</v>
      </c>
      <c r="I19" s="17" t="b">
        <v>0</v>
      </c>
      <c r="J19" s="17" t="s">
        <v>43</v>
      </c>
      <c r="K19" s="21" t="str">
        <f t="shared" si="1"/>
        <v>https://version2.ice-d.org/antarctica/sample/K2020-16012404/</v>
      </c>
      <c r="L19" s="32" t="s">
        <v>39</v>
      </c>
      <c r="M19" s="155"/>
      <c r="O19" s="17" t="s">
        <v>63</v>
      </c>
      <c r="P19" s="22">
        <v>-69.499499999999998</v>
      </c>
      <c r="Q19" s="22">
        <v>39.709200000000003</v>
      </c>
      <c r="R19" s="22"/>
      <c r="S19" s="22">
        <v>119</v>
      </c>
      <c r="T19" s="22">
        <v>0</v>
      </c>
      <c r="U19" s="23">
        <v>360</v>
      </c>
      <c r="V19" s="24" t="s">
        <v>1848</v>
      </c>
      <c r="W19" s="25" t="s">
        <v>2346</v>
      </c>
      <c r="X19" s="22">
        <f t="shared" si="0"/>
        <v>119</v>
      </c>
      <c r="Y19" s="22">
        <v>2.7</v>
      </c>
      <c r="Z19" s="22">
        <v>2.7</v>
      </c>
      <c r="AA19" s="17" t="s">
        <v>51</v>
      </c>
      <c r="AB19" s="26">
        <v>6916</v>
      </c>
      <c r="AC19" s="26">
        <v>298</v>
      </c>
      <c r="AD19" s="26">
        <v>506</v>
      </c>
      <c r="AE19" s="27">
        <v>41800</v>
      </c>
      <c r="AF19" s="27">
        <v>1800</v>
      </c>
      <c r="AG19" s="28"/>
      <c r="AH19" s="28"/>
      <c r="AI19" s="17">
        <v>2016</v>
      </c>
      <c r="AJ19" s="17">
        <v>1</v>
      </c>
      <c r="AK19" s="17">
        <v>0</v>
      </c>
      <c r="AL19" s="34"/>
    </row>
    <row r="20" spans="1:38" ht="12.75" customHeight="1">
      <c r="A20" s="32" t="s">
        <v>70</v>
      </c>
      <c r="B20" s="33" t="s">
        <v>60</v>
      </c>
      <c r="C20" s="27">
        <v>3</v>
      </c>
      <c r="D20" s="20" t="s">
        <v>196</v>
      </c>
      <c r="E20" s="33">
        <v>3000</v>
      </c>
      <c r="F20" s="33" t="s">
        <v>61</v>
      </c>
      <c r="G20" s="33" t="s">
        <v>62</v>
      </c>
      <c r="H20" s="33" t="s">
        <v>42</v>
      </c>
      <c r="I20" s="17" t="b">
        <v>0</v>
      </c>
      <c r="J20" s="17" t="s">
        <v>64</v>
      </c>
      <c r="K20" s="21" t="str">
        <f t="shared" si="1"/>
        <v>https://version2.ice-d.org/antarctica/sample/K2020-16012501/</v>
      </c>
      <c r="L20" s="32" t="s">
        <v>39</v>
      </c>
      <c r="M20" s="155"/>
      <c r="O20" s="17" t="s">
        <v>63</v>
      </c>
      <c r="P20" s="22">
        <v>-69.508499999999998</v>
      </c>
      <c r="Q20" s="22">
        <v>39.743899999999996</v>
      </c>
      <c r="R20" s="22"/>
      <c r="S20" s="22">
        <v>233</v>
      </c>
      <c r="T20" s="22">
        <v>0</v>
      </c>
      <c r="U20" s="23">
        <v>360</v>
      </c>
      <c r="V20" s="24" t="s">
        <v>1849</v>
      </c>
      <c r="W20" s="25" t="s">
        <v>2346</v>
      </c>
      <c r="X20" s="22">
        <f t="shared" si="0"/>
        <v>233</v>
      </c>
      <c r="Y20" s="22">
        <v>2.6</v>
      </c>
      <c r="Z20" s="22">
        <v>2.7</v>
      </c>
      <c r="AA20" s="17" t="s">
        <v>51</v>
      </c>
      <c r="AB20" s="26">
        <v>8334</v>
      </c>
      <c r="AC20" s="26">
        <v>461</v>
      </c>
      <c r="AD20" s="26">
        <v>855</v>
      </c>
      <c r="AE20" s="27">
        <v>65100</v>
      </c>
      <c r="AF20" s="27">
        <v>4000</v>
      </c>
      <c r="AG20" s="27">
        <v>399000</v>
      </c>
      <c r="AH20" s="27">
        <v>22000</v>
      </c>
      <c r="AI20" s="17">
        <v>2016</v>
      </c>
      <c r="AJ20" s="17">
        <v>1</v>
      </c>
      <c r="AK20" s="17">
        <v>0</v>
      </c>
      <c r="AL20" s="34"/>
    </row>
    <row r="21" spans="1:38" ht="12.75" customHeight="1">
      <c r="A21" s="32" t="s">
        <v>70</v>
      </c>
      <c r="B21" s="33" t="s">
        <v>60</v>
      </c>
      <c r="C21" s="27">
        <v>3</v>
      </c>
      <c r="D21" s="20" t="s">
        <v>196</v>
      </c>
      <c r="E21" s="33">
        <v>3000</v>
      </c>
      <c r="F21" s="33" t="s">
        <v>61</v>
      </c>
      <c r="G21" s="33" t="s">
        <v>62</v>
      </c>
      <c r="H21" s="33" t="s">
        <v>42</v>
      </c>
      <c r="I21" s="17" t="b">
        <v>0</v>
      </c>
      <c r="J21" s="17" t="s">
        <v>43</v>
      </c>
      <c r="K21" s="21" t="str">
        <f t="shared" si="1"/>
        <v>https://version2.ice-d.org/antarctica/sample/K2020-16012501/</v>
      </c>
      <c r="L21" s="32" t="s">
        <v>39</v>
      </c>
      <c r="M21" s="155"/>
      <c r="O21" s="17" t="s">
        <v>63</v>
      </c>
      <c r="P21" s="22">
        <v>-69.508499999999998</v>
      </c>
      <c r="Q21" s="22">
        <v>39.743899999999996</v>
      </c>
      <c r="R21" s="22"/>
      <c r="S21" s="22">
        <v>233</v>
      </c>
      <c r="T21" s="22">
        <v>0</v>
      </c>
      <c r="U21" s="23">
        <v>360</v>
      </c>
      <c r="V21" s="24" t="s">
        <v>1850</v>
      </c>
      <c r="W21" s="25" t="s">
        <v>2346</v>
      </c>
      <c r="X21" s="22">
        <f t="shared" si="0"/>
        <v>233</v>
      </c>
      <c r="Y21" s="22">
        <v>2.6</v>
      </c>
      <c r="Z21" s="22">
        <v>2.7</v>
      </c>
      <c r="AA21" s="17" t="s">
        <v>51</v>
      </c>
      <c r="AB21" s="26">
        <v>9691</v>
      </c>
      <c r="AC21" s="26">
        <v>597</v>
      </c>
      <c r="AD21" s="26">
        <v>827</v>
      </c>
      <c r="AE21" s="27">
        <v>65100</v>
      </c>
      <c r="AF21" s="27">
        <v>4000</v>
      </c>
      <c r="AG21" s="27">
        <v>399000</v>
      </c>
      <c r="AH21" s="27">
        <v>22000</v>
      </c>
      <c r="AI21" s="17">
        <v>2016</v>
      </c>
      <c r="AJ21" s="17">
        <v>1</v>
      </c>
      <c r="AK21" s="17">
        <v>0</v>
      </c>
      <c r="AL21" s="34"/>
    </row>
    <row r="22" spans="1:38" ht="12.75" customHeight="1">
      <c r="A22" s="32" t="s">
        <v>71</v>
      </c>
      <c r="B22" s="33" t="s">
        <v>60</v>
      </c>
      <c r="C22" s="27">
        <v>3</v>
      </c>
      <c r="D22" s="20" t="s">
        <v>196</v>
      </c>
      <c r="E22" s="33">
        <v>3000</v>
      </c>
      <c r="F22" s="33" t="s">
        <v>61</v>
      </c>
      <c r="G22" s="33" t="s">
        <v>62</v>
      </c>
      <c r="H22" s="33" t="s">
        <v>42</v>
      </c>
      <c r="I22" s="17" t="b">
        <v>0</v>
      </c>
      <c r="J22" s="17" t="s">
        <v>43</v>
      </c>
      <c r="K22" s="21" t="str">
        <f t="shared" si="1"/>
        <v>https://version2.ice-d.org/antarctica/sample/K2020-16012503/</v>
      </c>
      <c r="L22" s="32" t="s">
        <v>39</v>
      </c>
      <c r="M22" s="155"/>
      <c r="O22" s="17" t="s">
        <v>63</v>
      </c>
      <c r="P22" s="22">
        <v>-69.499200000000002</v>
      </c>
      <c r="Q22" s="22">
        <v>39.683599999999998</v>
      </c>
      <c r="R22" s="22"/>
      <c r="S22" s="22">
        <v>139</v>
      </c>
      <c r="T22" s="22">
        <v>0</v>
      </c>
      <c r="U22" s="23">
        <v>360</v>
      </c>
      <c r="V22" s="24" t="s">
        <v>1851</v>
      </c>
      <c r="W22" s="25" t="s">
        <v>2346</v>
      </c>
      <c r="X22" s="22">
        <f t="shared" si="0"/>
        <v>139</v>
      </c>
      <c r="Y22" s="22">
        <v>2.6</v>
      </c>
      <c r="Z22" s="22">
        <v>2.7</v>
      </c>
      <c r="AA22" s="17" t="s">
        <v>51</v>
      </c>
      <c r="AB22" s="26">
        <v>7870</v>
      </c>
      <c r="AC22" s="26">
        <v>402</v>
      </c>
      <c r="AD22" s="26">
        <v>615</v>
      </c>
      <c r="AE22" s="27">
        <v>49000</v>
      </c>
      <c r="AF22" s="27">
        <v>2500</v>
      </c>
      <c r="AG22" s="27">
        <v>392500</v>
      </c>
      <c r="AH22" s="27">
        <v>55600</v>
      </c>
      <c r="AI22" s="17">
        <v>2016</v>
      </c>
      <c r="AJ22" s="17">
        <v>1</v>
      </c>
      <c r="AK22" s="17">
        <v>0</v>
      </c>
      <c r="AL22" s="34"/>
    </row>
    <row r="23" spans="1:38" ht="12.75" customHeight="1">
      <c r="A23" s="32" t="s">
        <v>71</v>
      </c>
      <c r="B23" s="33" t="s">
        <v>60</v>
      </c>
      <c r="C23" s="27">
        <v>3</v>
      </c>
      <c r="D23" s="20" t="s">
        <v>196</v>
      </c>
      <c r="E23" s="33">
        <v>3000</v>
      </c>
      <c r="F23" s="33" t="s">
        <v>61</v>
      </c>
      <c r="G23" s="33" t="s">
        <v>62</v>
      </c>
      <c r="H23" s="33" t="s">
        <v>42</v>
      </c>
      <c r="I23" s="17" t="b">
        <v>0</v>
      </c>
      <c r="J23" s="17" t="s">
        <v>64</v>
      </c>
      <c r="K23" s="21" t="str">
        <f t="shared" si="1"/>
        <v>https://version2.ice-d.org/antarctica/sample/K2020-16012503/</v>
      </c>
      <c r="L23" s="32" t="s">
        <v>39</v>
      </c>
      <c r="M23" s="155"/>
      <c r="O23" s="17" t="s">
        <v>63</v>
      </c>
      <c r="P23" s="22">
        <v>-69.499200000000002</v>
      </c>
      <c r="Q23" s="22">
        <v>39.683599999999998</v>
      </c>
      <c r="R23" s="22"/>
      <c r="S23" s="22">
        <v>139</v>
      </c>
      <c r="T23" s="22">
        <v>0</v>
      </c>
      <c r="U23" s="23">
        <v>360</v>
      </c>
      <c r="V23" s="24" t="s">
        <v>1852</v>
      </c>
      <c r="W23" s="25" t="s">
        <v>2346</v>
      </c>
      <c r="X23" s="22">
        <f t="shared" si="0"/>
        <v>139</v>
      </c>
      <c r="Y23" s="22">
        <v>2.6</v>
      </c>
      <c r="Z23" s="22">
        <v>2.7</v>
      </c>
      <c r="AA23" s="17" t="s">
        <v>51</v>
      </c>
      <c r="AB23" s="26">
        <v>8874</v>
      </c>
      <c r="AC23" s="26">
        <v>1263</v>
      </c>
      <c r="AD23" s="26">
        <v>1477</v>
      </c>
      <c r="AE23" s="27">
        <v>49000</v>
      </c>
      <c r="AF23" s="27">
        <v>2500</v>
      </c>
      <c r="AG23" s="27">
        <v>392500</v>
      </c>
      <c r="AH23" s="27">
        <v>55600</v>
      </c>
      <c r="AI23" s="17">
        <v>2016</v>
      </c>
      <c r="AJ23" s="17">
        <v>1</v>
      </c>
      <c r="AK23" s="17">
        <v>0</v>
      </c>
      <c r="AL23" s="34"/>
    </row>
    <row r="24" spans="1:38" ht="12.75" customHeight="1">
      <c r="A24" s="32" t="s">
        <v>72</v>
      </c>
      <c r="B24" s="33" t="s">
        <v>60</v>
      </c>
      <c r="C24" s="27">
        <v>3</v>
      </c>
      <c r="D24" s="20" t="s">
        <v>196</v>
      </c>
      <c r="E24" s="33">
        <v>3000</v>
      </c>
      <c r="F24" s="33" t="s">
        <v>61</v>
      </c>
      <c r="G24" s="33" t="s">
        <v>62</v>
      </c>
      <c r="H24" s="33" t="s">
        <v>42</v>
      </c>
      <c r="I24" s="17" t="b">
        <v>0</v>
      </c>
      <c r="J24" s="17" t="s">
        <v>43</v>
      </c>
      <c r="K24" s="21" t="str">
        <f t="shared" si="1"/>
        <v>https://version2.ice-d.org/antarctica/sample/K2020-17121703/</v>
      </c>
      <c r="L24" s="32" t="s">
        <v>39</v>
      </c>
      <c r="M24" s="155"/>
      <c r="O24" s="17" t="s">
        <v>63</v>
      </c>
      <c r="P24" s="22">
        <v>-69.472899999999996</v>
      </c>
      <c r="Q24" s="22">
        <v>39.579599999999999</v>
      </c>
      <c r="R24" s="22"/>
      <c r="S24" s="22">
        <v>214</v>
      </c>
      <c r="T24" s="22">
        <v>0</v>
      </c>
      <c r="U24" s="23">
        <v>360</v>
      </c>
      <c r="V24" s="24" t="s">
        <v>1853</v>
      </c>
      <c r="W24" s="25" t="s">
        <v>2346</v>
      </c>
      <c r="X24" s="22">
        <f t="shared" si="0"/>
        <v>214</v>
      </c>
      <c r="Y24" s="22">
        <v>2.5</v>
      </c>
      <c r="Z24" s="22">
        <v>2.7</v>
      </c>
      <c r="AA24" s="17" t="s">
        <v>73</v>
      </c>
      <c r="AB24" s="26">
        <v>7366</v>
      </c>
      <c r="AC24" s="26">
        <v>359</v>
      </c>
      <c r="AD24" s="26">
        <v>564</v>
      </c>
      <c r="AE24" s="27">
        <v>49300</v>
      </c>
      <c r="AF24" s="27">
        <v>2400</v>
      </c>
      <c r="AG24" s="27">
        <v>412900</v>
      </c>
      <c r="AH24" s="27">
        <v>16200</v>
      </c>
      <c r="AI24" s="17">
        <v>2017</v>
      </c>
      <c r="AJ24" s="17">
        <v>1</v>
      </c>
      <c r="AK24" s="17">
        <v>0</v>
      </c>
      <c r="AL24" s="34"/>
    </row>
    <row r="25" spans="1:38" ht="12.75" customHeight="1">
      <c r="A25" s="32" t="s">
        <v>72</v>
      </c>
      <c r="B25" s="33" t="s">
        <v>60</v>
      </c>
      <c r="C25" s="27">
        <v>3</v>
      </c>
      <c r="D25" s="20" t="s">
        <v>196</v>
      </c>
      <c r="E25" s="33">
        <v>3000</v>
      </c>
      <c r="F25" s="33" t="s">
        <v>61</v>
      </c>
      <c r="G25" s="33" t="s">
        <v>62</v>
      </c>
      <c r="H25" s="33" t="s">
        <v>42</v>
      </c>
      <c r="I25" s="17" t="b">
        <v>0</v>
      </c>
      <c r="J25" s="17" t="s">
        <v>64</v>
      </c>
      <c r="K25" s="21" t="str">
        <f t="shared" si="1"/>
        <v>https://version2.ice-d.org/antarctica/sample/K2020-17121703/</v>
      </c>
      <c r="L25" s="32" t="s">
        <v>39</v>
      </c>
      <c r="M25" s="155"/>
      <c r="O25" s="17" t="s">
        <v>63</v>
      </c>
      <c r="P25" s="22">
        <v>-69.472899999999996</v>
      </c>
      <c r="Q25" s="22">
        <v>39.579599999999999</v>
      </c>
      <c r="R25" s="22"/>
      <c r="S25" s="22">
        <v>214</v>
      </c>
      <c r="T25" s="22">
        <v>0</v>
      </c>
      <c r="U25" s="23">
        <v>360</v>
      </c>
      <c r="V25" s="24" t="s">
        <v>1854</v>
      </c>
      <c r="W25" s="25" t="s">
        <v>2346</v>
      </c>
      <c r="X25" s="22">
        <f t="shared" si="0"/>
        <v>214</v>
      </c>
      <c r="Y25" s="22">
        <v>2.5</v>
      </c>
      <c r="Z25" s="22">
        <v>2.7</v>
      </c>
      <c r="AA25" s="17" t="s">
        <v>73</v>
      </c>
      <c r="AB25" s="26">
        <v>8653</v>
      </c>
      <c r="AC25" s="26">
        <v>341</v>
      </c>
      <c r="AD25" s="26">
        <v>821</v>
      </c>
      <c r="AE25" s="27">
        <v>49300</v>
      </c>
      <c r="AF25" s="27">
        <v>2400</v>
      </c>
      <c r="AG25" s="27">
        <v>412900</v>
      </c>
      <c r="AH25" s="27">
        <v>16200</v>
      </c>
      <c r="AI25" s="17">
        <v>2017</v>
      </c>
      <c r="AJ25" s="17">
        <v>1</v>
      </c>
      <c r="AK25" s="17">
        <v>0</v>
      </c>
      <c r="AL25" s="34"/>
    </row>
    <row r="26" spans="1:38" ht="12.75" customHeight="1">
      <c r="A26" s="32" t="s">
        <v>74</v>
      </c>
      <c r="B26" s="33" t="s">
        <v>60</v>
      </c>
      <c r="C26" s="27">
        <v>3</v>
      </c>
      <c r="D26" s="20" t="s">
        <v>196</v>
      </c>
      <c r="E26" s="33">
        <v>3000</v>
      </c>
      <c r="F26" s="33" t="s">
        <v>61</v>
      </c>
      <c r="G26" s="33" t="s">
        <v>62</v>
      </c>
      <c r="H26" s="33" t="s">
        <v>42</v>
      </c>
      <c r="I26" s="17" t="b">
        <v>0</v>
      </c>
      <c r="J26" s="17" t="s">
        <v>43</v>
      </c>
      <c r="K26" s="21" t="str">
        <f t="shared" si="1"/>
        <v>https://version2.ice-d.org/antarctica/sample/K2020-17121801/</v>
      </c>
      <c r="L26" s="32" t="s">
        <v>39</v>
      </c>
      <c r="M26" s="155"/>
      <c r="O26" s="17" t="s">
        <v>63</v>
      </c>
      <c r="P26" s="22">
        <v>-69.475099999999998</v>
      </c>
      <c r="Q26" s="22">
        <v>39.587899999999998</v>
      </c>
      <c r="R26" s="22"/>
      <c r="S26" s="22">
        <v>97</v>
      </c>
      <c r="T26" s="22">
        <v>0</v>
      </c>
      <c r="U26" s="23">
        <v>360</v>
      </c>
      <c r="V26" s="24" t="s">
        <v>1855</v>
      </c>
      <c r="W26" s="25" t="s">
        <v>2346</v>
      </c>
      <c r="X26" s="22">
        <f t="shared" si="0"/>
        <v>97</v>
      </c>
      <c r="Y26" s="22">
        <v>4</v>
      </c>
      <c r="Z26" s="22">
        <v>2.7</v>
      </c>
      <c r="AA26" s="17" t="s">
        <v>73</v>
      </c>
      <c r="AB26" s="26">
        <v>7636</v>
      </c>
      <c r="AC26" s="26">
        <v>291</v>
      </c>
      <c r="AD26" s="26">
        <v>537</v>
      </c>
      <c r="AE26" s="27">
        <v>44700</v>
      </c>
      <c r="AF26" s="27">
        <v>1700</v>
      </c>
      <c r="AG26" s="28"/>
      <c r="AH26" s="28"/>
      <c r="AI26" s="17">
        <v>2017</v>
      </c>
      <c r="AJ26" s="17">
        <v>1</v>
      </c>
      <c r="AK26" s="17">
        <v>0</v>
      </c>
      <c r="AL26" s="34"/>
    </row>
    <row r="27" spans="1:38" ht="12.75" customHeight="1">
      <c r="A27" s="32" t="s">
        <v>75</v>
      </c>
      <c r="B27" s="33" t="s">
        <v>60</v>
      </c>
      <c r="C27" s="27">
        <v>3</v>
      </c>
      <c r="D27" s="20" t="s">
        <v>196</v>
      </c>
      <c r="E27" s="33">
        <v>3000</v>
      </c>
      <c r="F27" s="33" t="s">
        <v>61</v>
      </c>
      <c r="G27" s="33" t="s">
        <v>62</v>
      </c>
      <c r="H27" s="33" t="s">
        <v>42</v>
      </c>
      <c r="I27" s="17" t="b">
        <v>0</v>
      </c>
      <c r="J27" s="17" t="s">
        <v>64</v>
      </c>
      <c r="K27" s="21" t="str">
        <f t="shared" si="1"/>
        <v>https://version2.ice-d.org/antarctica/sample/K2020-17121804/</v>
      </c>
      <c r="L27" s="32" t="s">
        <v>39</v>
      </c>
      <c r="M27" s="155"/>
      <c r="O27" s="17" t="s">
        <v>63</v>
      </c>
      <c r="P27" s="22">
        <v>-69.475499999999997</v>
      </c>
      <c r="Q27" s="22">
        <v>39.590499999999999</v>
      </c>
      <c r="R27" s="22"/>
      <c r="S27" s="22">
        <v>63</v>
      </c>
      <c r="T27" s="22">
        <v>0</v>
      </c>
      <c r="U27" s="23">
        <v>360</v>
      </c>
      <c r="V27" s="24" t="s">
        <v>1856</v>
      </c>
      <c r="W27" s="25" t="s">
        <v>2346</v>
      </c>
      <c r="X27" s="22">
        <f t="shared" si="0"/>
        <v>63</v>
      </c>
      <c r="Y27" s="22">
        <v>4</v>
      </c>
      <c r="Z27" s="22">
        <v>2.7</v>
      </c>
      <c r="AA27" s="17" t="s">
        <v>73</v>
      </c>
      <c r="AB27" s="26">
        <v>7907</v>
      </c>
      <c r="AC27" s="26">
        <v>359</v>
      </c>
      <c r="AD27" s="26">
        <v>590</v>
      </c>
      <c r="AE27" s="27">
        <v>44100</v>
      </c>
      <c r="AF27" s="27">
        <v>2000</v>
      </c>
      <c r="AG27" s="28"/>
      <c r="AH27" s="28"/>
      <c r="AI27" s="17">
        <v>2017</v>
      </c>
      <c r="AJ27" s="17">
        <v>1</v>
      </c>
      <c r="AK27" s="17">
        <v>0</v>
      </c>
      <c r="AL27" s="34"/>
    </row>
    <row r="28" spans="1:38" ht="12.75" customHeight="1">
      <c r="A28" s="37" t="s">
        <v>76</v>
      </c>
      <c r="B28" s="33" t="s">
        <v>60</v>
      </c>
      <c r="C28" s="27">
        <v>4</v>
      </c>
      <c r="D28" s="20" t="s">
        <v>196</v>
      </c>
      <c r="E28" s="33">
        <v>3000</v>
      </c>
      <c r="F28" s="33" t="s">
        <v>61</v>
      </c>
      <c r="G28" s="33" t="s">
        <v>62</v>
      </c>
      <c r="H28" s="33" t="s">
        <v>42</v>
      </c>
      <c r="I28" s="17" t="b">
        <v>0</v>
      </c>
      <c r="J28" s="17" t="s">
        <v>43</v>
      </c>
      <c r="K28" s="21" t="str">
        <f t="shared" si="1"/>
        <v>https://version2.ice-d.org/antarctica/sample/Y2011-SV3-1/</v>
      </c>
      <c r="L28" s="37" t="s">
        <v>39</v>
      </c>
      <c r="M28" s="200" t="s">
        <v>44</v>
      </c>
      <c r="O28" s="17" t="s">
        <v>77</v>
      </c>
      <c r="P28" s="22">
        <v>-69.47</v>
      </c>
      <c r="Q28" s="22">
        <v>39.75</v>
      </c>
      <c r="R28" s="22"/>
      <c r="S28" s="22">
        <v>136</v>
      </c>
      <c r="T28" s="22">
        <v>0</v>
      </c>
      <c r="U28" s="23">
        <v>360</v>
      </c>
      <c r="V28" s="24" t="s">
        <v>1857</v>
      </c>
      <c r="W28" s="25" t="s">
        <v>2346</v>
      </c>
      <c r="X28" s="22">
        <v>136</v>
      </c>
      <c r="Y28" s="22">
        <v>10</v>
      </c>
      <c r="Z28" s="22">
        <v>2.7</v>
      </c>
      <c r="AA28" s="17" t="s">
        <v>51</v>
      </c>
      <c r="AB28" s="26">
        <v>5626</v>
      </c>
      <c r="AC28" s="26">
        <v>1362</v>
      </c>
      <c r="AD28" s="26">
        <v>1402</v>
      </c>
      <c r="AE28" s="27">
        <v>48800</v>
      </c>
      <c r="AF28" s="27">
        <v>6200</v>
      </c>
      <c r="AG28" s="27">
        <v>249500</v>
      </c>
      <c r="AH28" s="27">
        <v>38300</v>
      </c>
      <c r="AI28" s="27">
        <v>2009</v>
      </c>
      <c r="AJ28" s="17">
        <v>0</v>
      </c>
      <c r="AK28" s="34">
        <v>0</v>
      </c>
    </row>
    <row r="29" spans="1:38" ht="12.75" customHeight="1">
      <c r="A29" s="37" t="s">
        <v>76</v>
      </c>
      <c r="B29" s="33" t="s">
        <v>60</v>
      </c>
      <c r="C29" s="27">
        <v>4</v>
      </c>
      <c r="D29" s="20" t="s">
        <v>196</v>
      </c>
      <c r="E29" s="33">
        <v>3000</v>
      </c>
      <c r="F29" s="33" t="s">
        <v>61</v>
      </c>
      <c r="G29" s="33" t="s">
        <v>62</v>
      </c>
      <c r="H29" s="33" t="s">
        <v>42</v>
      </c>
      <c r="I29" s="17" t="b">
        <v>0</v>
      </c>
      <c r="J29" s="17" t="s">
        <v>64</v>
      </c>
      <c r="K29" s="21" t="str">
        <f t="shared" si="1"/>
        <v>https://version2.ice-d.org/antarctica/sample/Y2011-SV3-1/</v>
      </c>
      <c r="L29" s="37" t="s">
        <v>39</v>
      </c>
      <c r="M29" s="155"/>
      <c r="O29" s="17" t="s">
        <v>77</v>
      </c>
      <c r="P29" s="22">
        <v>-69.47</v>
      </c>
      <c r="Q29" s="22">
        <v>39.75</v>
      </c>
      <c r="R29" s="22"/>
      <c r="S29" s="22">
        <v>136</v>
      </c>
      <c r="T29" s="22">
        <v>0</v>
      </c>
      <c r="U29" s="23">
        <v>360</v>
      </c>
      <c r="V29" s="24" t="s">
        <v>1858</v>
      </c>
      <c r="W29" s="25" t="s">
        <v>2346</v>
      </c>
      <c r="X29" s="22">
        <v>136</v>
      </c>
      <c r="Y29" s="22">
        <v>10</v>
      </c>
      <c r="Z29" s="22">
        <v>2.7</v>
      </c>
      <c r="AA29" s="17" t="s">
        <v>51</v>
      </c>
      <c r="AB29" s="26">
        <v>5774</v>
      </c>
      <c r="AC29" s="26">
        <v>494</v>
      </c>
      <c r="AD29" s="26">
        <v>701</v>
      </c>
      <c r="AE29" s="27">
        <v>48800</v>
      </c>
      <c r="AF29" s="27">
        <v>6200</v>
      </c>
      <c r="AG29" s="27">
        <v>249500</v>
      </c>
      <c r="AH29" s="27">
        <v>38300</v>
      </c>
      <c r="AI29" s="27">
        <v>2009</v>
      </c>
      <c r="AJ29" s="17">
        <v>0</v>
      </c>
      <c r="AK29" s="34">
        <v>0</v>
      </c>
    </row>
    <row r="30" spans="1:38" ht="12.75" customHeight="1">
      <c r="A30" s="37" t="s">
        <v>76</v>
      </c>
      <c r="B30" s="33" t="s">
        <v>60</v>
      </c>
      <c r="C30" s="27">
        <v>4</v>
      </c>
      <c r="D30" s="20" t="s">
        <v>196</v>
      </c>
      <c r="E30" s="33">
        <v>3000</v>
      </c>
      <c r="F30" s="33" t="s">
        <v>61</v>
      </c>
      <c r="G30" s="33" t="s">
        <v>62</v>
      </c>
      <c r="H30" s="33" t="s">
        <v>42</v>
      </c>
      <c r="I30" s="17" t="b">
        <v>0</v>
      </c>
      <c r="J30" s="17" t="s">
        <v>64</v>
      </c>
      <c r="K30" s="21" t="str">
        <f t="shared" si="1"/>
        <v>https://version2.ice-d.org/antarctica/sample/Y2011-SV3-1/</v>
      </c>
      <c r="L30" s="37" t="s">
        <v>39</v>
      </c>
      <c r="M30" s="155"/>
      <c r="O30" s="17" t="s">
        <v>77</v>
      </c>
      <c r="P30" s="22">
        <v>-69.47</v>
      </c>
      <c r="Q30" s="22">
        <v>39.75</v>
      </c>
      <c r="R30" s="22"/>
      <c r="S30" s="22">
        <v>136</v>
      </c>
      <c r="T30" s="22">
        <v>0</v>
      </c>
      <c r="U30" s="23">
        <v>360</v>
      </c>
      <c r="V30" s="24" t="s">
        <v>1859</v>
      </c>
      <c r="W30" s="25" t="s">
        <v>2346</v>
      </c>
      <c r="X30" s="22">
        <v>136</v>
      </c>
      <c r="Y30" s="22">
        <v>10</v>
      </c>
      <c r="Z30" s="22">
        <v>2.7</v>
      </c>
      <c r="AA30" s="17" t="s">
        <v>51</v>
      </c>
      <c r="AB30" s="26">
        <v>6051</v>
      </c>
      <c r="AC30" s="26">
        <v>932</v>
      </c>
      <c r="AD30" s="26">
        <v>1068</v>
      </c>
      <c r="AE30" s="27">
        <v>48800</v>
      </c>
      <c r="AF30" s="27">
        <v>6200</v>
      </c>
      <c r="AG30" s="27">
        <v>249500</v>
      </c>
      <c r="AH30" s="27">
        <v>38300</v>
      </c>
      <c r="AI30" s="27">
        <v>2009</v>
      </c>
      <c r="AJ30" s="17">
        <v>0</v>
      </c>
      <c r="AK30" s="34">
        <v>0</v>
      </c>
    </row>
    <row r="31" spans="1:38" ht="12.75" customHeight="1">
      <c r="A31" s="37" t="s">
        <v>76</v>
      </c>
      <c r="B31" s="33" t="s">
        <v>60</v>
      </c>
      <c r="C31" s="27">
        <v>4</v>
      </c>
      <c r="D31" s="20" t="s">
        <v>196</v>
      </c>
      <c r="E31" s="33">
        <v>3000</v>
      </c>
      <c r="F31" s="33" t="s">
        <v>61</v>
      </c>
      <c r="G31" s="33" t="s">
        <v>62</v>
      </c>
      <c r="H31" s="33" t="s">
        <v>42</v>
      </c>
      <c r="I31" s="17" t="b">
        <v>0</v>
      </c>
      <c r="J31" s="17" t="s">
        <v>43</v>
      </c>
      <c r="K31" s="21" t="str">
        <f t="shared" si="1"/>
        <v>https://version2.ice-d.org/antarctica/sample/Y2011-SV3-1/</v>
      </c>
      <c r="L31" s="37" t="s">
        <v>39</v>
      </c>
      <c r="M31" s="155"/>
      <c r="O31" s="17" t="s">
        <v>77</v>
      </c>
      <c r="P31" s="22">
        <v>-69.47</v>
      </c>
      <c r="Q31" s="22">
        <v>39.75</v>
      </c>
      <c r="R31" s="22"/>
      <c r="S31" s="22">
        <v>136</v>
      </c>
      <c r="T31" s="22">
        <v>0</v>
      </c>
      <c r="U31" s="23">
        <v>360</v>
      </c>
      <c r="V31" s="24" t="s">
        <v>1860</v>
      </c>
      <c r="W31" s="25" t="s">
        <v>2346</v>
      </c>
      <c r="X31" s="22">
        <v>136</v>
      </c>
      <c r="Y31" s="22">
        <v>10</v>
      </c>
      <c r="Z31" s="22">
        <v>2.7</v>
      </c>
      <c r="AA31" s="17" t="s">
        <v>51</v>
      </c>
      <c r="AB31" s="26">
        <v>7571</v>
      </c>
      <c r="AC31" s="26">
        <v>964</v>
      </c>
      <c r="AD31" s="26">
        <v>1063</v>
      </c>
      <c r="AE31" s="27">
        <v>48800</v>
      </c>
      <c r="AF31" s="27">
        <v>6200</v>
      </c>
      <c r="AG31" s="27">
        <v>249500</v>
      </c>
      <c r="AH31" s="27">
        <v>38300</v>
      </c>
      <c r="AI31" s="27">
        <v>2009</v>
      </c>
      <c r="AJ31" s="17">
        <v>0</v>
      </c>
      <c r="AK31" s="34">
        <v>0</v>
      </c>
    </row>
    <row r="32" spans="1:38" ht="12.75" customHeight="1">
      <c r="A32" s="37" t="s">
        <v>78</v>
      </c>
      <c r="B32" s="33" t="s">
        <v>60</v>
      </c>
      <c r="C32" s="27">
        <v>4</v>
      </c>
      <c r="D32" s="20" t="s">
        <v>196</v>
      </c>
      <c r="E32" s="33">
        <v>3000</v>
      </c>
      <c r="F32" s="33" t="s">
        <v>61</v>
      </c>
      <c r="G32" s="33" t="s">
        <v>62</v>
      </c>
      <c r="H32" s="33" t="s">
        <v>42</v>
      </c>
      <c r="I32" s="17" t="b">
        <v>0</v>
      </c>
      <c r="J32" s="17" t="s">
        <v>43</v>
      </c>
      <c r="K32" s="21" t="str">
        <f t="shared" si="1"/>
        <v>https://version2.ice-d.org/antarctica/sample/Y2011-SV4-2/</v>
      </c>
      <c r="L32" s="37" t="s">
        <v>39</v>
      </c>
      <c r="M32" s="155"/>
      <c r="O32" s="17" t="s">
        <v>77</v>
      </c>
      <c r="P32" s="22">
        <v>-69.489999999999995</v>
      </c>
      <c r="Q32" s="22">
        <v>39.72</v>
      </c>
      <c r="R32" s="22"/>
      <c r="S32" s="22">
        <v>352</v>
      </c>
      <c r="T32" s="22">
        <v>0</v>
      </c>
      <c r="U32" s="23">
        <v>360</v>
      </c>
      <c r="V32" s="24" t="s">
        <v>1861</v>
      </c>
      <c r="W32" s="25" t="s">
        <v>2346</v>
      </c>
      <c r="X32" s="22">
        <v>352</v>
      </c>
      <c r="Y32" s="22">
        <v>20</v>
      </c>
      <c r="Z32" s="22">
        <v>2.7</v>
      </c>
      <c r="AA32" s="17" t="s">
        <v>51</v>
      </c>
      <c r="AB32" s="26">
        <v>10364</v>
      </c>
      <c r="AC32" s="26">
        <v>475</v>
      </c>
      <c r="AD32" s="26">
        <v>776</v>
      </c>
      <c r="AE32" s="27">
        <v>76500</v>
      </c>
      <c r="AF32" s="27">
        <v>3500</v>
      </c>
      <c r="AG32" s="27">
        <v>496200</v>
      </c>
      <c r="AH32" s="27">
        <v>72200</v>
      </c>
      <c r="AI32" s="27">
        <v>2009</v>
      </c>
      <c r="AJ32" s="17">
        <v>0</v>
      </c>
      <c r="AK32" s="34">
        <v>0</v>
      </c>
    </row>
    <row r="33" spans="1:39" ht="12.75" customHeight="1">
      <c r="A33" s="37" t="s">
        <v>78</v>
      </c>
      <c r="B33" s="33" t="s">
        <v>60</v>
      </c>
      <c r="C33" s="27">
        <v>4</v>
      </c>
      <c r="D33" s="20" t="s">
        <v>196</v>
      </c>
      <c r="E33" s="33">
        <v>3000</v>
      </c>
      <c r="F33" s="33" t="s">
        <v>61</v>
      </c>
      <c r="G33" s="33" t="s">
        <v>62</v>
      </c>
      <c r="H33" s="33" t="s">
        <v>42</v>
      </c>
      <c r="I33" s="17" t="b">
        <v>0</v>
      </c>
      <c r="J33" s="17" t="s">
        <v>64</v>
      </c>
      <c r="K33" s="21" t="str">
        <f t="shared" si="1"/>
        <v>https://version2.ice-d.org/antarctica/sample/Y2011-SV4-2/</v>
      </c>
      <c r="L33" s="37" t="s">
        <v>39</v>
      </c>
      <c r="M33" s="155"/>
      <c r="O33" s="17" t="s">
        <v>77</v>
      </c>
      <c r="P33" s="22">
        <v>-69.489999999999995</v>
      </c>
      <c r="Q33" s="22">
        <v>39.72</v>
      </c>
      <c r="R33" s="22"/>
      <c r="S33" s="22">
        <v>352</v>
      </c>
      <c r="T33" s="22">
        <v>0</v>
      </c>
      <c r="U33" s="23">
        <v>360</v>
      </c>
      <c r="V33" s="24" t="s">
        <v>1862</v>
      </c>
      <c r="W33" s="25" t="s">
        <v>2346</v>
      </c>
      <c r="X33" s="22">
        <v>352</v>
      </c>
      <c r="Y33" s="22">
        <v>20</v>
      </c>
      <c r="Z33" s="22">
        <v>2.7</v>
      </c>
      <c r="AA33" s="17" t="s">
        <v>51</v>
      </c>
      <c r="AB33" s="26">
        <v>10473</v>
      </c>
      <c r="AC33" s="26">
        <v>1532</v>
      </c>
      <c r="AD33" s="26">
        <v>1779</v>
      </c>
      <c r="AE33" s="27">
        <v>76500</v>
      </c>
      <c r="AF33" s="27">
        <v>3500</v>
      </c>
      <c r="AG33" s="27">
        <v>496200</v>
      </c>
      <c r="AH33" s="27">
        <v>72200</v>
      </c>
      <c r="AI33" s="27">
        <v>2009</v>
      </c>
      <c r="AJ33" s="17">
        <v>0</v>
      </c>
      <c r="AK33" s="34">
        <v>0</v>
      </c>
    </row>
    <row r="34" spans="1:39" ht="12.75" customHeight="1">
      <c r="A34" s="37" t="s">
        <v>79</v>
      </c>
      <c r="B34" s="33" t="s">
        <v>60</v>
      </c>
      <c r="C34" s="27">
        <v>4</v>
      </c>
      <c r="D34" s="20" t="s">
        <v>196</v>
      </c>
      <c r="E34" s="33">
        <v>3000</v>
      </c>
      <c r="F34" s="33" t="s">
        <v>61</v>
      </c>
      <c r="G34" s="33" t="s">
        <v>62</v>
      </c>
      <c r="H34" s="33" t="s">
        <v>42</v>
      </c>
      <c r="I34" s="17" t="b">
        <v>0</v>
      </c>
      <c r="J34" s="17" t="s">
        <v>64</v>
      </c>
      <c r="K34" s="21" t="str">
        <f t="shared" si="1"/>
        <v>https://version2.ice-d.org/antarctica/sample/Y2011-SV7-2/</v>
      </c>
      <c r="L34" s="37" t="s">
        <v>39</v>
      </c>
      <c r="M34" s="155"/>
      <c r="O34" s="17" t="s">
        <v>77</v>
      </c>
      <c r="P34" s="22">
        <v>-69.489999999999995</v>
      </c>
      <c r="Q34" s="22">
        <v>39.67</v>
      </c>
      <c r="R34" s="22"/>
      <c r="S34" s="22">
        <v>56</v>
      </c>
      <c r="T34" s="22">
        <v>0</v>
      </c>
      <c r="U34" s="23">
        <v>360</v>
      </c>
      <c r="V34" s="24" t="s">
        <v>1863</v>
      </c>
      <c r="W34" s="25" t="s">
        <v>2346</v>
      </c>
      <c r="X34" s="22">
        <v>56</v>
      </c>
      <c r="Y34" s="22">
        <v>10</v>
      </c>
      <c r="Z34" s="22">
        <v>2.7</v>
      </c>
      <c r="AA34" s="17" t="s">
        <v>51</v>
      </c>
      <c r="AB34" s="26">
        <v>6084</v>
      </c>
      <c r="AC34" s="26">
        <v>441</v>
      </c>
      <c r="AD34" s="26">
        <v>686</v>
      </c>
      <c r="AE34" s="27">
        <v>53900</v>
      </c>
      <c r="AF34" s="27">
        <v>7400</v>
      </c>
      <c r="AG34" s="27">
        <v>232300</v>
      </c>
      <c r="AH34" s="27">
        <v>16800</v>
      </c>
      <c r="AI34" s="27">
        <v>2009</v>
      </c>
      <c r="AJ34" s="17">
        <v>0</v>
      </c>
      <c r="AK34" s="34">
        <v>0</v>
      </c>
    </row>
    <row r="35" spans="1:39" ht="12.75" customHeight="1">
      <c r="A35" s="37" t="s">
        <v>79</v>
      </c>
      <c r="B35" s="33" t="s">
        <v>60</v>
      </c>
      <c r="C35" s="27">
        <v>4</v>
      </c>
      <c r="D35" s="20" t="s">
        <v>196</v>
      </c>
      <c r="E35" s="33">
        <v>3000</v>
      </c>
      <c r="F35" s="33" t="s">
        <v>61</v>
      </c>
      <c r="G35" s="33" t="s">
        <v>62</v>
      </c>
      <c r="H35" s="33" t="s">
        <v>42</v>
      </c>
      <c r="I35" s="17" t="b">
        <v>0</v>
      </c>
      <c r="J35" s="17" t="s">
        <v>43</v>
      </c>
      <c r="K35" s="21" t="str">
        <f t="shared" si="1"/>
        <v>https://version2.ice-d.org/antarctica/sample/Y2011-SV7-2/</v>
      </c>
      <c r="L35" s="37" t="s">
        <v>39</v>
      </c>
      <c r="M35" s="155"/>
      <c r="O35" s="17" t="s">
        <v>77</v>
      </c>
      <c r="P35" s="22">
        <v>-69.489999999999995</v>
      </c>
      <c r="Q35" s="22">
        <v>39.67</v>
      </c>
      <c r="R35" s="22"/>
      <c r="S35" s="22">
        <v>56</v>
      </c>
      <c r="T35" s="22">
        <v>0</v>
      </c>
      <c r="U35" s="23">
        <v>360</v>
      </c>
      <c r="V35" s="24" t="s">
        <v>1864</v>
      </c>
      <c r="W35" s="25" t="s">
        <v>2346</v>
      </c>
      <c r="X35" s="22">
        <v>56</v>
      </c>
      <c r="Y35" s="22">
        <v>10</v>
      </c>
      <c r="Z35" s="22">
        <v>2.7</v>
      </c>
      <c r="AA35" s="17" t="s">
        <v>51</v>
      </c>
      <c r="AB35" s="26">
        <v>8839</v>
      </c>
      <c r="AC35" s="26">
        <v>908</v>
      </c>
      <c r="AD35" s="26">
        <v>1047</v>
      </c>
      <c r="AE35" s="27">
        <v>53900</v>
      </c>
      <c r="AF35" s="27">
        <v>7400</v>
      </c>
      <c r="AG35" s="27">
        <v>232300</v>
      </c>
      <c r="AH35" s="27">
        <v>16800</v>
      </c>
      <c r="AI35" s="27">
        <v>2009</v>
      </c>
      <c r="AJ35" s="17">
        <v>0</v>
      </c>
      <c r="AK35" s="34">
        <v>0</v>
      </c>
    </row>
    <row r="36" spans="1:39" ht="12.75" customHeight="1">
      <c r="A36" s="37" t="s">
        <v>79</v>
      </c>
      <c r="B36" s="33" t="s">
        <v>60</v>
      </c>
      <c r="C36" s="27">
        <v>4</v>
      </c>
      <c r="D36" s="20" t="s">
        <v>196</v>
      </c>
      <c r="E36" s="33">
        <v>3000</v>
      </c>
      <c r="F36" s="33" t="s">
        <v>61</v>
      </c>
      <c r="G36" s="33" t="s">
        <v>62</v>
      </c>
      <c r="H36" s="33" t="s">
        <v>42</v>
      </c>
      <c r="I36" s="17" t="b">
        <v>0</v>
      </c>
      <c r="J36" s="17" t="s">
        <v>64</v>
      </c>
      <c r="K36" s="21" t="str">
        <f t="shared" si="1"/>
        <v>https://version2.ice-d.org/antarctica/sample/Y2011-SV7-2/</v>
      </c>
      <c r="L36" s="37" t="s">
        <v>39</v>
      </c>
      <c r="M36" s="155"/>
      <c r="O36" s="17" t="s">
        <v>77</v>
      </c>
      <c r="P36" s="22">
        <v>-69.489999999999995</v>
      </c>
      <c r="Q36" s="22">
        <v>39.67</v>
      </c>
      <c r="R36" s="22"/>
      <c r="S36" s="22">
        <v>56</v>
      </c>
      <c r="T36" s="22">
        <v>0</v>
      </c>
      <c r="U36" s="23">
        <v>360</v>
      </c>
      <c r="V36" s="24" t="s">
        <v>1865</v>
      </c>
      <c r="W36" s="25" t="s">
        <v>2346</v>
      </c>
      <c r="X36" s="22">
        <v>56</v>
      </c>
      <c r="Y36" s="22">
        <v>10</v>
      </c>
      <c r="Z36" s="22">
        <v>2.7</v>
      </c>
      <c r="AA36" s="17" t="s">
        <v>51</v>
      </c>
      <c r="AB36" s="26">
        <v>9036</v>
      </c>
      <c r="AC36" s="26">
        <v>704</v>
      </c>
      <c r="AD36" s="26">
        <v>101</v>
      </c>
      <c r="AE36" s="27">
        <v>53900</v>
      </c>
      <c r="AF36" s="27">
        <v>7400</v>
      </c>
      <c r="AG36" s="27">
        <v>232300</v>
      </c>
      <c r="AH36" s="27">
        <v>16800</v>
      </c>
      <c r="AI36" s="27">
        <v>2009</v>
      </c>
      <c r="AJ36" s="17">
        <v>0</v>
      </c>
      <c r="AK36" s="34">
        <v>0</v>
      </c>
    </row>
    <row r="37" spans="1:39" ht="12.75" customHeight="1">
      <c r="A37" s="37" t="s">
        <v>79</v>
      </c>
      <c r="B37" s="33" t="s">
        <v>60</v>
      </c>
      <c r="C37" s="27">
        <v>4</v>
      </c>
      <c r="D37" s="20" t="s">
        <v>196</v>
      </c>
      <c r="E37" s="33">
        <v>3000</v>
      </c>
      <c r="F37" s="33" t="s">
        <v>61</v>
      </c>
      <c r="G37" s="33" t="s">
        <v>62</v>
      </c>
      <c r="H37" s="33" t="s">
        <v>42</v>
      </c>
      <c r="I37" s="17" t="b">
        <v>0</v>
      </c>
      <c r="J37" s="17" t="s">
        <v>43</v>
      </c>
      <c r="K37" s="21" t="str">
        <f t="shared" si="1"/>
        <v>https://version2.ice-d.org/antarctica/sample/Y2011-SV7-2/</v>
      </c>
      <c r="L37" s="37" t="s">
        <v>39</v>
      </c>
      <c r="M37" s="155"/>
      <c r="O37" s="17" t="s">
        <v>77</v>
      </c>
      <c r="P37" s="22">
        <v>-69.489999999999995</v>
      </c>
      <c r="Q37" s="22">
        <v>39.67</v>
      </c>
      <c r="R37" s="22"/>
      <c r="S37" s="22">
        <v>56</v>
      </c>
      <c r="T37" s="22">
        <v>0</v>
      </c>
      <c r="U37" s="23">
        <v>360</v>
      </c>
      <c r="V37" s="24" t="s">
        <v>1866</v>
      </c>
      <c r="W37" s="25" t="s">
        <v>2346</v>
      </c>
      <c r="X37" s="22">
        <v>56</v>
      </c>
      <c r="Y37" s="22">
        <v>10</v>
      </c>
      <c r="Z37" s="22">
        <v>2.7</v>
      </c>
      <c r="AA37" s="17" t="s">
        <v>51</v>
      </c>
      <c r="AB37" s="26">
        <v>9043</v>
      </c>
      <c r="AC37" s="26">
        <v>1244</v>
      </c>
      <c r="AD37" s="26">
        <v>1354</v>
      </c>
      <c r="AE37" s="27">
        <v>53900</v>
      </c>
      <c r="AF37" s="27">
        <v>7400</v>
      </c>
      <c r="AG37" s="27">
        <v>232300</v>
      </c>
      <c r="AH37" s="27">
        <v>16800</v>
      </c>
      <c r="AI37" s="27">
        <v>2009</v>
      </c>
      <c r="AJ37" s="17">
        <v>0</v>
      </c>
      <c r="AK37" s="34">
        <v>0</v>
      </c>
    </row>
    <row r="38" spans="1:39" ht="12.75" customHeight="1">
      <c r="A38" s="37" t="s">
        <v>80</v>
      </c>
      <c r="B38" s="33" t="s">
        <v>60</v>
      </c>
      <c r="C38" s="27">
        <v>4</v>
      </c>
      <c r="D38" s="20" t="s">
        <v>196</v>
      </c>
      <c r="E38" s="33">
        <v>3000</v>
      </c>
      <c r="F38" s="33" t="s">
        <v>61</v>
      </c>
      <c r="G38" s="33" t="s">
        <v>62</v>
      </c>
      <c r="H38" s="33" t="s">
        <v>42</v>
      </c>
      <c r="I38" s="17" t="b">
        <v>0</v>
      </c>
      <c r="J38" s="17" t="s">
        <v>64</v>
      </c>
      <c r="K38" s="21" t="str">
        <f t="shared" si="1"/>
        <v>https://version2.ice-d.org/antarctica/sample/Y2011-SV9-2/</v>
      </c>
      <c r="L38" s="37" t="s">
        <v>39</v>
      </c>
      <c r="M38" s="155"/>
      <c r="O38" s="17" t="s">
        <v>77</v>
      </c>
      <c r="P38" s="22">
        <v>-69.489999999999995</v>
      </c>
      <c r="Q38" s="22">
        <v>39.65</v>
      </c>
      <c r="R38" s="22"/>
      <c r="S38" s="22">
        <v>259</v>
      </c>
      <c r="T38" s="22">
        <v>0</v>
      </c>
      <c r="U38" s="23">
        <v>360</v>
      </c>
      <c r="V38" s="24" t="s">
        <v>1867</v>
      </c>
      <c r="W38" s="25" t="s">
        <v>2346</v>
      </c>
      <c r="X38" s="22">
        <v>259</v>
      </c>
      <c r="Y38" s="22">
        <v>10</v>
      </c>
      <c r="Z38" s="22">
        <v>2.7</v>
      </c>
      <c r="AA38" s="17" t="s">
        <v>51</v>
      </c>
      <c r="AB38" s="26">
        <v>6079</v>
      </c>
      <c r="AC38" s="26">
        <v>741</v>
      </c>
      <c r="AD38" s="26">
        <v>908</v>
      </c>
      <c r="AE38" s="27">
        <v>46600</v>
      </c>
      <c r="AF38" s="27">
        <v>10600</v>
      </c>
      <c r="AG38" s="27">
        <v>283800</v>
      </c>
      <c r="AH38" s="27">
        <v>34500</v>
      </c>
      <c r="AI38" s="27">
        <v>2009</v>
      </c>
      <c r="AJ38" s="17">
        <v>0</v>
      </c>
      <c r="AK38" s="34">
        <v>0</v>
      </c>
    </row>
    <row r="39" spans="1:39" ht="12.75" customHeight="1">
      <c r="A39" s="37" t="s">
        <v>80</v>
      </c>
      <c r="B39" s="33" t="s">
        <v>60</v>
      </c>
      <c r="C39" s="27">
        <v>4</v>
      </c>
      <c r="D39" s="20" t="s">
        <v>196</v>
      </c>
      <c r="E39" s="33">
        <v>3000</v>
      </c>
      <c r="F39" s="33" t="s">
        <v>61</v>
      </c>
      <c r="G39" s="33" t="s">
        <v>62</v>
      </c>
      <c r="H39" s="33" t="s">
        <v>42</v>
      </c>
      <c r="I39" s="17" t="b">
        <v>0</v>
      </c>
      <c r="J39" s="17" t="s">
        <v>64</v>
      </c>
      <c r="K39" s="21" t="str">
        <f t="shared" si="1"/>
        <v>https://version2.ice-d.org/antarctica/sample/Y2011-SV9-2/</v>
      </c>
      <c r="L39" s="37" t="s">
        <v>39</v>
      </c>
      <c r="M39" s="155"/>
      <c r="O39" s="17" t="s">
        <v>77</v>
      </c>
      <c r="P39" s="22">
        <v>-69.489999999999995</v>
      </c>
      <c r="Q39" s="22">
        <v>39.65</v>
      </c>
      <c r="R39" s="22"/>
      <c r="S39" s="22">
        <v>259</v>
      </c>
      <c r="T39" s="22">
        <v>0</v>
      </c>
      <c r="U39" s="23">
        <v>360</v>
      </c>
      <c r="V39" s="24" t="s">
        <v>1868</v>
      </c>
      <c r="W39" s="25" t="s">
        <v>2346</v>
      </c>
      <c r="X39" s="22">
        <v>259</v>
      </c>
      <c r="Y39" s="22">
        <v>10</v>
      </c>
      <c r="Z39" s="22">
        <v>2.7</v>
      </c>
      <c r="AA39" s="17" t="s">
        <v>51</v>
      </c>
      <c r="AB39" s="26">
        <v>6350</v>
      </c>
      <c r="AC39" s="26">
        <v>872</v>
      </c>
      <c r="AD39" s="26">
        <v>1030</v>
      </c>
      <c r="AE39" s="27">
        <v>46600</v>
      </c>
      <c r="AF39" s="27">
        <v>10600</v>
      </c>
      <c r="AG39" s="27">
        <v>283800</v>
      </c>
      <c r="AH39" s="27">
        <v>34500</v>
      </c>
      <c r="AI39" s="27">
        <v>2009</v>
      </c>
      <c r="AJ39" s="17">
        <v>0</v>
      </c>
      <c r="AK39" s="34">
        <v>0</v>
      </c>
    </row>
    <row r="40" spans="1:39" ht="12.75" customHeight="1">
      <c r="A40" s="37" t="s">
        <v>80</v>
      </c>
      <c r="B40" s="33" t="s">
        <v>60</v>
      </c>
      <c r="C40" s="27">
        <v>4</v>
      </c>
      <c r="D40" s="20" t="s">
        <v>196</v>
      </c>
      <c r="E40" s="33">
        <v>3000</v>
      </c>
      <c r="F40" s="33" t="s">
        <v>61</v>
      </c>
      <c r="G40" s="33" t="s">
        <v>62</v>
      </c>
      <c r="H40" s="33" t="s">
        <v>42</v>
      </c>
      <c r="I40" s="17" t="b">
        <v>0</v>
      </c>
      <c r="J40" s="17" t="s">
        <v>43</v>
      </c>
      <c r="K40" s="21" t="str">
        <f t="shared" si="1"/>
        <v>https://version2.ice-d.org/antarctica/sample/Y2011-SV9-2/</v>
      </c>
      <c r="L40" s="37" t="s">
        <v>39</v>
      </c>
      <c r="M40" s="155"/>
      <c r="O40" s="17" t="s">
        <v>77</v>
      </c>
      <c r="P40" s="22">
        <v>-69.489999999999995</v>
      </c>
      <c r="Q40" s="22">
        <v>39.65</v>
      </c>
      <c r="R40" s="22"/>
      <c r="S40" s="22">
        <v>259</v>
      </c>
      <c r="T40" s="22">
        <v>0</v>
      </c>
      <c r="U40" s="23">
        <v>360</v>
      </c>
      <c r="V40" s="24" t="s">
        <v>1869</v>
      </c>
      <c r="W40" s="25" t="s">
        <v>2346</v>
      </c>
      <c r="X40" s="22">
        <v>259</v>
      </c>
      <c r="Y40" s="22">
        <v>10</v>
      </c>
      <c r="Z40" s="22">
        <v>2.7</v>
      </c>
      <c r="AA40" s="17" t="s">
        <v>51</v>
      </c>
      <c r="AB40" s="26">
        <v>6416</v>
      </c>
      <c r="AC40" s="26">
        <v>1462</v>
      </c>
      <c r="AD40" s="26">
        <v>1510</v>
      </c>
      <c r="AE40" s="27">
        <v>46600</v>
      </c>
      <c r="AF40" s="27">
        <v>10600</v>
      </c>
      <c r="AG40" s="27">
        <v>283800</v>
      </c>
      <c r="AH40" s="27">
        <v>34500</v>
      </c>
      <c r="AI40" s="27">
        <v>2009</v>
      </c>
      <c r="AJ40" s="17">
        <v>0</v>
      </c>
      <c r="AK40" s="34">
        <v>0</v>
      </c>
    </row>
    <row r="41" spans="1:39" ht="12.75" customHeight="1">
      <c r="A41" s="37" t="s">
        <v>80</v>
      </c>
      <c r="B41" s="33" t="s">
        <v>60</v>
      </c>
      <c r="C41" s="27">
        <v>4</v>
      </c>
      <c r="D41" s="20" t="s">
        <v>196</v>
      </c>
      <c r="E41" s="33">
        <v>3000</v>
      </c>
      <c r="F41" s="33" t="s">
        <v>61</v>
      </c>
      <c r="G41" s="33" t="s">
        <v>62</v>
      </c>
      <c r="H41" s="33" t="s">
        <v>42</v>
      </c>
      <c r="I41" s="17" t="b">
        <v>0</v>
      </c>
      <c r="J41" s="17" t="s">
        <v>43</v>
      </c>
      <c r="K41" s="21" t="str">
        <f>CONCATENATE("https://version2.ice-d.org/antarctica/sample/", A41, "/")</f>
        <v>https://version2.ice-d.org/antarctica/sample/Y2011-SV9-2/</v>
      </c>
      <c r="L41" s="37" t="s">
        <v>39</v>
      </c>
      <c r="M41" s="155"/>
      <c r="O41" s="17" t="s">
        <v>77</v>
      </c>
      <c r="P41" s="22">
        <v>-69.489999999999995</v>
      </c>
      <c r="Q41" s="22">
        <v>39.65</v>
      </c>
      <c r="R41" s="22"/>
      <c r="S41" s="22">
        <v>259</v>
      </c>
      <c r="T41" s="22">
        <v>0</v>
      </c>
      <c r="U41" s="23">
        <v>360</v>
      </c>
      <c r="V41" s="24" t="s">
        <v>1870</v>
      </c>
      <c r="W41" s="25" t="s">
        <v>2346</v>
      </c>
      <c r="X41" s="22">
        <v>259</v>
      </c>
      <c r="Y41" s="22">
        <v>10</v>
      </c>
      <c r="Z41" s="22">
        <v>2.7</v>
      </c>
      <c r="AA41" s="17" t="s">
        <v>51</v>
      </c>
      <c r="AB41" s="26">
        <v>7027</v>
      </c>
      <c r="AC41" s="26">
        <v>1515</v>
      </c>
      <c r="AD41" s="26">
        <v>1571</v>
      </c>
      <c r="AE41" s="27">
        <v>46600</v>
      </c>
      <c r="AF41" s="27">
        <v>10600</v>
      </c>
      <c r="AG41" s="27">
        <v>283800</v>
      </c>
      <c r="AH41" s="27">
        <v>34500</v>
      </c>
      <c r="AI41" s="27">
        <v>2009</v>
      </c>
      <c r="AJ41" s="17">
        <v>0</v>
      </c>
      <c r="AK41" s="34">
        <v>0</v>
      </c>
    </row>
    <row r="42" spans="1:39" ht="12.75" customHeight="1">
      <c r="A42" s="38" t="s">
        <v>81</v>
      </c>
      <c r="B42" s="33" t="s">
        <v>82</v>
      </c>
      <c r="C42" s="27">
        <v>5</v>
      </c>
      <c r="D42" s="20" t="s">
        <v>196</v>
      </c>
      <c r="E42" s="33">
        <v>3000</v>
      </c>
      <c r="F42" s="33" t="s">
        <v>61</v>
      </c>
      <c r="G42" s="33" t="s">
        <v>83</v>
      </c>
      <c r="H42" s="33" t="s">
        <v>42</v>
      </c>
      <c r="I42" s="17" t="b">
        <v>0</v>
      </c>
      <c r="J42" s="17" t="s">
        <v>43</v>
      </c>
      <c r="K42" s="21" t="str">
        <f t="shared" si="1"/>
        <v>https://version2.ice-d.org/antarctica/sample/K2020-16010901/</v>
      </c>
      <c r="L42" s="38" t="s">
        <v>39</v>
      </c>
      <c r="M42" s="201" t="s">
        <v>44</v>
      </c>
      <c r="O42" s="17" t="s">
        <v>63</v>
      </c>
      <c r="P42" s="22">
        <v>-69.653400000000005</v>
      </c>
      <c r="Q42" s="22">
        <v>39.706000000000003</v>
      </c>
      <c r="R42" s="22"/>
      <c r="S42" s="22">
        <v>68</v>
      </c>
      <c r="T42" s="22">
        <v>0</v>
      </c>
      <c r="U42" s="23">
        <v>360</v>
      </c>
      <c r="V42" s="24" t="s">
        <v>2347</v>
      </c>
      <c r="W42" s="25" t="s">
        <v>2346</v>
      </c>
      <c r="X42" s="22">
        <f t="shared" ref="X42:X91" si="2">S42-T42</f>
        <v>68</v>
      </c>
      <c r="Y42" s="22">
        <v>2</v>
      </c>
      <c r="Z42" s="22">
        <v>2.7</v>
      </c>
      <c r="AA42" s="17" t="s">
        <v>84</v>
      </c>
      <c r="AB42" s="26">
        <v>4148</v>
      </c>
      <c r="AC42" s="26">
        <v>190</v>
      </c>
      <c r="AD42" s="26">
        <v>310</v>
      </c>
      <c r="AE42" s="27">
        <v>24000</v>
      </c>
      <c r="AF42" s="27">
        <v>1100</v>
      </c>
      <c r="AG42" s="28"/>
      <c r="AH42" s="28"/>
      <c r="AI42" s="17">
        <v>2016</v>
      </c>
      <c r="AJ42" s="17">
        <v>1</v>
      </c>
      <c r="AK42" s="17">
        <v>0</v>
      </c>
      <c r="AL42" s="34"/>
    </row>
    <row r="43" spans="1:39" ht="12.75" customHeight="1">
      <c r="A43" s="38" t="s">
        <v>85</v>
      </c>
      <c r="B43" s="33" t="s">
        <v>82</v>
      </c>
      <c r="C43" s="27">
        <v>5</v>
      </c>
      <c r="D43" s="20" t="s">
        <v>196</v>
      </c>
      <c r="E43" s="33">
        <v>3000</v>
      </c>
      <c r="F43" s="33" t="s">
        <v>61</v>
      </c>
      <c r="G43" s="33" t="s">
        <v>83</v>
      </c>
      <c r="H43" s="33" t="s">
        <v>42</v>
      </c>
      <c r="I43" s="17" t="b">
        <v>0</v>
      </c>
      <c r="J43" s="17" t="s">
        <v>43</v>
      </c>
      <c r="K43" s="21" t="str">
        <f t="shared" si="1"/>
        <v>https://version2.ice-d.org/antarctica/sample/K2020-16010902/</v>
      </c>
      <c r="L43" s="38" t="s">
        <v>39</v>
      </c>
      <c r="M43" s="155"/>
      <c r="O43" s="17" t="s">
        <v>63</v>
      </c>
      <c r="P43" s="22">
        <v>-69.651499999999999</v>
      </c>
      <c r="Q43" s="22">
        <v>39.712499999999999</v>
      </c>
      <c r="R43" s="22"/>
      <c r="S43" s="22">
        <v>91</v>
      </c>
      <c r="T43" s="22">
        <v>0</v>
      </c>
      <c r="U43" s="23">
        <v>360</v>
      </c>
      <c r="V43" s="24" t="s">
        <v>2348</v>
      </c>
      <c r="W43" s="25" t="s">
        <v>2346</v>
      </c>
      <c r="X43" s="22">
        <f t="shared" si="2"/>
        <v>91</v>
      </c>
      <c r="Y43" s="22">
        <v>2</v>
      </c>
      <c r="Z43" s="22">
        <v>2.7</v>
      </c>
      <c r="AA43" s="17" t="s">
        <v>51</v>
      </c>
      <c r="AB43" s="26">
        <v>6643</v>
      </c>
      <c r="AC43" s="26">
        <v>253</v>
      </c>
      <c r="AD43" s="26">
        <v>476</v>
      </c>
      <c r="AE43" s="27">
        <v>39400</v>
      </c>
      <c r="AF43" s="27">
        <v>1500</v>
      </c>
      <c r="AG43" s="28"/>
      <c r="AH43" s="28"/>
      <c r="AI43" s="17">
        <v>2016</v>
      </c>
      <c r="AJ43" s="17">
        <v>1</v>
      </c>
      <c r="AK43" s="17">
        <v>0</v>
      </c>
      <c r="AL43" s="34"/>
    </row>
    <row r="44" spans="1:39" ht="12.75" customHeight="1">
      <c r="A44" s="38" t="s">
        <v>86</v>
      </c>
      <c r="B44" s="33" t="s">
        <v>82</v>
      </c>
      <c r="C44" s="27">
        <v>6</v>
      </c>
      <c r="D44" s="20" t="s">
        <v>196</v>
      </c>
      <c r="E44" s="33">
        <v>3000</v>
      </c>
      <c r="F44" s="33" t="s">
        <v>61</v>
      </c>
      <c r="G44" s="33" t="s">
        <v>83</v>
      </c>
      <c r="H44" s="33" t="s">
        <v>42</v>
      </c>
      <c r="I44" s="17" t="b">
        <v>0</v>
      </c>
      <c r="J44" s="17" t="s">
        <v>43</v>
      </c>
      <c r="K44" s="21" t="str">
        <f>CONCATENATE("https:/K44/version2.ice-d.org/antarctica/sample/", A44, "/")</f>
        <v>https:/K44/version2.ice-d.org/antarctica/sample/K2020-16011201/</v>
      </c>
      <c r="L44" s="38" t="s">
        <v>39</v>
      </c>
      <c r="M44" s="155"/>
      <c r="O44" s="17" t="s">
        <v>63</v>
      </c>
      <c r="P44" s="22">
        <v>-69.650899999999993</v>
      </c>
      <c r="Q44" s="22">
        <v>39.686</v>
      </c>
      <c r="R44" s="22"/>
      <c r="S44" s="22">
        <v>4</v>
      </c>
      <c r="T44" s="22">
        <v>0</v>
      </c>
      <c r="U44" s="23">
        <v>360</v>
      </c>
      <c r="V44" s="24" t="s">
        <v>2349</v>
      </c>
      <c r="W44" s="25" t="s">
        <v>2346</v>
      </c>
      <c r="X44" s="22">
        <f t="shared" si="2"/>
        <v>4</v>
      </c>
      <c r="Y44" s="22">
        <v>2.2999999999999998</v>
      </c>
      <c r="Z44" s="22">
        <v>2.7</v>
      </c>
      <c r="AA44" s="17" t="s">
        <v>51</v>
      </c>
      <c r="AB44" s="26">
        <v>609</v>
      </c>
      <c r="AC44" s="26">
        <v>125</v>
      </c>
      <c r="AD44" s="26">
        <v>130</v>
      </c>
      <c r="AE44" s="27">
        <v>3400</v>
      </c>
      <c r="AF44" s="27">
        <v>700</v>
      </c>
      <c r="AG44" s="28"/>
      <c r="AH44" s="28"/>
      <c r="AI44" s="17">
        <v>2016</v>
      </c>
      <c r="AJ44" s="17">
        <v>1</v>
      </c>
      <c r="AK44" s="17">
        <v>0</v>
      </c>
      <c r="AL44" s="34"/>
      <c r="AM44" s="17" t="s">
        <v>87</v>
      </c>
    </row>
    <row r="45" spans="1:39" ht="12.75" customHeight="1">
      <c r="A45" s="38" t="s">
        <v>88</v>
      </c>
      <c r="B45" s="33" t="s">
        <v>82</v>
      </c>
      <c r="C45" s="27">
        <v>6</v>
      </c>
      <c r="D45" s="20" t="s">
        <v>196</v>
      </c>
      <c r="E45" s="33">
        <v>3000</v>
      </c>
      <c r="F45" s="33" t="s">
        <v>61</v>
      </c>
      <c r="G45" s="33" t="s">
        <v>83</v>
      </c>
      <c r="H45" s="33" t="s">
        <v>42</v>
      </c>
      <c r="I45" s="17" t="b">
        <v>0</v>
      </c>
      <c r="J45" s="17" t="s">
        <v>43</v>
      </c>
      <c r="K45" s="21" t="str">
        <f t="shared" si="1"/>
        <v>https://version2.ice-d.org/antarctica/sample/K2020-16011202/</v>
      </c>
      <c r="L45" s="38" t="s">
        <v>39</v>
      </c>
      <c r="M45" s="155"/>
      <c r="O45" s="17" t="s">
        <v>63</v>
      </c>
      <c r="P45" s="22">
        <v>-69.651700000000005</v>
      </c>
      <c r="Q45" s="22">
        <v>39.686199999999999</v>
      </c>
      <c r="R45" s="22"/>
      <c r="S45" s="22">
        <v>4</v>
      </c>
      <c r="T45" s="22">
        <v>0</v>
      </c>
      <c r="U45" s="23">
        <v>360</v>
      </c>
      <c r="V45" s="24" t="s">
        <v>2350</v>
      </c>
      <c r="W45" s="25" t="s">
        <v>2346</v>
      </c>
      <c r="X45" s="22">
        <f t="shared" si="2"/>
        <v>4</v>
      </c>
      <c r="Y45" s="22">
        <v>2.5</v>
      </c>
      <c r="Z45" s="22">
        <v>2.7</v>
      </c>
      <c r="AA45" s="17" t="s">
        <v>51</v>
      </c>
      <c r="AB45" s="26">
        <v>175</v>
      </c>
      <c r="AC45" s="26">
        <v>117</v>
      </c>
      <c r="AD45" s="36">
        <v>523</v>
      </c>
      <c r="AE45" s="27">
        <v>900</v>
      </c>
      <c r="AF45" s="27">
        <v>600</v>
      </c>
      <c r="AG45" s="28"/>
      <c r="AH45" s="28"/>
      <c r="AI45" s="17">
        <v>2016</v>
      </c>
      <c r="AJ45" s="17">
        <v>1</v>
      </c>
      <c r="AK45" s="17">
        <v>0</v>
      </c>
      <c r="AL45" s="34"/>
      <c r="AM45" s="17" t="s">
        <v>87</v>
      </c>
    </row>
    <row r="46" spans="1:39" ht="12.75" customHeight="1">
      <c r="A46" s="39" t="s">
        <v>89</v>
      </c>
      <c r="B46" s="33" t="s">
        <v>90</v>
      </c>
      <c r="C46" s="27">
        <v>7</v>
      </c>
      <c r="D46" s="20" t="s">
        <v>196</v>
      </c>
      <c r="E46" s="33">
        <v>3000</v>
      </c>
      <c r="F46" s="33" t="s">
        <v>61</v>
      </c>
      <c r="G46" s="33" t="s">
        <v>91</v>
      </c>
      <c r="H46" s="33" t="s">
        <v>42</v>
      </c>
      <c r="I46" s="17" t="b">
        <v>0</v>
      </c>
      <c r="J46" s="17" t="s">
        <v>64</v>
      </c>
      <c r="K46" s="21" t="str">
        <f t="shared" si="1"/>
        <v>https://version2.ice-d.org/antarctica/sample/K2020-15123101/</v>
      </c>
      <c r="L46" s="39" t="s">
        <v>39</v>
      </c>
      <c r="M46" s="162" t="s">
        <v>44</v>
      </c>
      <c r="O46" s="17" t="s">
        <v>63</v>
      </c>
      <c r="P46" s="22">
        <v>-69.677499999999995</v>
      </c>
      <c r="Q46" s="22">
        <v>39.443100000000001</v>
      </c>
      <c r="R46" s="22"/>
      <c r="S46" s="22">
        <v>115</v>
      </c>
      <c r="T46" s="22">
        <v>0</v>
      </c>
      <c r="U46" s="23">
        <v>400</v>
      </c>
      <c r="V46" s="24" t="s">
        <v>1871</v>
      </c>
      <c r="W46" s="25" t="s">
        <v>2351</v>
      </c>
      <c r="X46" s="22">
        <f t="shared" si="2"/>
        <v>115</v>
      </c>
      <c r="Y46" s="22">
        <v>2.2000000000000002</v>
      </c>
      <c r="Z46" s="22">
        <v>2.7</v>
      </c>
      <c r="AA46" s="17" t="s">
        <v>84</v>
      </c>
      <c r="AB46" s="26">
        <v>6760</v>
      </c>
      <c r="AC46" s="26">
        <v>323</v>
      </c>
      <c r="AD46" s="26">
        <v>667</v>
      </c>
      <c r="AE46" s="27">
        <v>41700</v>
      </c>
      <c r="AF46" s="27">
        <v>2000</v>
      </c>
      <c r="AG46" s="27">
        <v>292100</v>
      </c>
      <c r="AH46" s="27">
        <v>13900</v>
      </c>
      <c r="AI46" s="17">
        <v>2015</v>
      </c>
      <c r="AJ46" s="17">
        <v>1</v>
      </c>
      <c r="AK46" s="17">
        <v>0</v>
      </c>
      <c r="AL46" s="34" t="s">
        <v>92</v>
      </c>
    </row>
    <row r="47" spans="1:39" ht="12.75" customHeight="1">
      <c r="A47" s="39" t="s">
        <v>89</v>
      </c>
      <c r="B47" s="33" t="s">
        <v>90</v>
      </c>
      <c r="C47" s="27">
        <v>7</v>
      </c>
      <c r="D47" s="20" t="s">
        <v>196</v>
      </c>
      <c r="E47" s="33">
        <v>3000</v>
      </c>
      <c r="F47" s="33" t="s">
        <v>61</v>
      </c>
      <c r="G47" s="33" t="s">
        <v>91</v>
      </c>
      <c r="H47" s="33" t="s">
        <v>42</v>
      </c>
      <c r="I47" s="17" t="b">
        <v>0</v>
      </c>
      <c r="J47" s="17" t="s">
        <v>43</v>
      </c>
      <c r="K47" s="21" t="str">
        <f t="shared" si="1"/>
        <v>https://version2.ice-d.org/antarctica/sample/K2020-15123101/</v>
      </c>
      <c r="L47" s="39" t="s">
        <v>39</v>
      </c>
      <c r="M47" s="155"/>
      <c r="O47" s="17" t="s">
        <v>63</v>
      </c>
      <c r="P47" s="22">
        <v>-69.677499999999995</v>
      </c>
      <c r="Q47" s="22">
        <v>39.443100000000001</v>
      </c>
      <c r="R47" s="22"/>
      <c r="S47" s="22">
        <v>115</v>
      </c>
      <c r="T47" s="22">
        <v>0</v>
      </c>
      <c r="U47" s="23">
        <v>400</v>
      </c>
      <c r="V47" s="24" t="s">
        <v>1872</v>
      </c>
      <c r="W47" s="25" t="s">
        <v>2351</v>
      </c>
      <c r="X47" s="22">
        <f t="shared" si="2"/>
        <v>115</v>
      </c>
      <c r="Y47" s="22">
        <v>2.2000000000000002</v>
      </c>
      <c r="Z47" s="22">
        <v>2.7</v>
      </c>
      <c r="AA47" s="17" t="s">
        <v>84</v>
      </c>
      <c r="AB47" s="26">
        <v>6871</v>
      </c>
      <c r="AC47" s="26">
        <v>330</v>
      </c>
      <c r="AD47" s="26">
        <v>523</v>
      </c>
      <c r="AE47" s="27">
        <v>41700</v>
      </c>
      <c r="AF47" s="27">
        <v>2000</v>
      </c>
      <c r="AG47" s="27">
        <v>292100</v>
      </c>
      <c r="AH47" s="27">
        <v>13900</v>
      </c>
      <c r="AI47" s="17">
        <v>2015</v>
      </c>
      <c r="AJ47" s="17">
        <v>1</v>
      </c>
      <c r="AK47" s="17">
        <v>0</v>
      </c>
      <c r="AL47" s="34" t="s">
        <v>92</v>
      </c>
    </row>
    <row r="48" spans="1:39" ht="12.75" customHeight="1">
      <c r="A48" s="39" t="s">
        <v>93</v>
      </c>
      <c r="B48" s="33" t="s">
        <v>90</v>
      </c>
      <c r="C48" s="27">
        <v>7</v>
      </c>
      <c r="D48" s="20" t="s">
        <v>196</v>
      </c>
      <c r="E48" s="33">
        <v>3000</v>
      </c>
      <c r="F48" s="33" t="s">
        <v>61</v>
      </c>
      <c r="G48" s="33" t="s">
        <v>91</v>
      </c>
      <c r="H48" s="33" t="s">
        <v>42</v>
      </c>
      <c r="I48" s="17" t="b">
        <v>0</v>
      </c>
      <c r="J48" s="17" t="s">
        <v>43</v>
      </c>
      <c r="K48" s="21" t="str">
        <f t="shared" si="1"/>
        <v>https://version2.ice-d.org/antarctica/sample/K2020-15123102/</v>
      </c>
      <c r="L48" s="39" t="s">
        <v>39</v>
      </c>
      <c r="M48" s="155"/>
      <c r="O48" s="17" t="s">
        <v>63</v>
      </c>
      <c r="P48" s="22">
        <v>-69.677499999999995</v>
      </c>
      <c r="Q48" s="22">
        <v>39.443100000000001</v>
      </c>
      <c r="R48" s="22"/>
      <c r="S48" s="22">
        <v>115</v>
      </c>
      <c r="T48" s="22">
        <v>0</v>
      </c>
      <c r="U48" s="23">
        <v>400</v>
      </c>
      <c r="V48" s="24" t="s">
        <v>1873</v>
      </c>
      <c r="W48" s="25" t="s">
        <v>2351</v>
      </c>
      <c r="X48" s="22">
        <f t="shared" si="2"/>
        <v>115</v>
      </c>
      <c r="Y48" s="22">
        <v>2.5</v>
      </c>
      <c r="Z48" s="22">
        <v>2.7</v>
      </c>
      <c r="AA48" s="17" t="s">
        <v>58</v>
      </c>
      <c r="AB48" s="26">
        <v>6512</v>
      </c>
      <c r="AC48" s="26">
        <v>381</v>
      </c>
      <c r="AD48" s="26">
        <v>541</v>
      </c>
      <c r="AE48" s="27">
        <v>39400</v>
      </c>
      <c r="AF48" s="27">
        <v>2300</v>
      </c>
      <c r="AG48" s="28"/>
      <c r="AH48" s="28"/>
      <c r="AI48" s="17">
        <v>2015</v>
      </c>
      <c r="AJ48" s="17">
        <v>1</v>
      </c>
      <c r="AK48" s="17">
        <v>0</v>
      </c>
      <c r="AL48" s="34" t="s">
        <v>92</v>
      </c>
    </row>
    <row r="49" spans="1:39" ht="15.75" customHeight="1">
      <c r="A49" s="39" t="s">
        <v>94</v>
      </c>
      <c r="B49" s="33" t="s">
        <v>90</v>
      </c>
      <c r="C49" s="27">
        <v>7</v>
      </c>
      <c r="D49" s="20" t="s">
        <v>196</v>
      </c>
      <c r="E49" s="33">
        <v>3000</v>
      </c>
      <c r="F49" s="33" t="s">
        <v>61</v>
      </c>
      <c r="G49" s="33" t="s">
        <v>91</v>
      </c>
      <c r="H49" s="33" t="s">
        <v>42</v>
      </c>
      <c r="I49" s="17" t="b">
        <v>0</v>
      </c>
      <c r="J49" s="17" t="s">
        <v>43</v>
      </c>
      <c r="K49" s="21" t="str">
        <f t="shared" si="1"/>
        <v>https://version2.ice-d.org/antarctica/sample/K2020-16010601/</v>
      </c>
      <c r="L49" s="39" t="s">
        <v>39</v>
      </c>
      <c r="M49" s="155"/>
      <c r="O49" s="17" t="s">
        <v>63</v>
      </c>
      <c r="P49" s="22">
        <v>-69.6464</v>
      </c>
      <c r="Q49" s="22">
        <v>39.452500000000001</v>
      </c>
      <c r="R49" s="22"/>
      <c r="S49" s="22">
        <v>48</v>
      </c>
      <c r="T49" s="22">
        <v>0</v>
      </c>
      <c r="U49" s="23">
        <v>400</v>
      </c>
      <c r="V49" s="24" t="s">
        <v>1874</v>
      </c>
      <c r="W49" s="25" t="s">
        <v>2351</v>
      </c>
      <c r="X49" s="22">
        <f t="shared" si="2"/>
        <v>48</v>
      </c>
      <c r="Y49" s="22">
        <v>2.4</v>
      </c>
      <c r="Z49" s="22">
        <v>2.7</v>
      </c>
      <c r="AA49" s="17" t="s">
        <v>84</v>
      </c>
      <c r="AB49" s="26">
        <v>7671</v>
      </c>
      <c r="AC49" s="26">
        <v>352</v>
      </c>
      <c r="AD49" s="26">
        <v>574</v>
      </c>
      <c r="AE49" s="27">
        <v>43700</v>
      </c>
      <c r="AF49" s="27">
        <v>2000</v>
      </c>
      <c r="AG49" s="28"/>
      <c r="AH49" s="28"/>
      <c r="AI49" s="17">
        <v>2016</v>
      </c>
      <c r="AJ49" s="17">
        <v>1</v>
      </c>
      <c r="AK49" s="17">
        <v>0</v>
      </c>
      <c r="AL49" s="34" t="s">
        <v>92</v>
      </c>
    </row>
    <row r="50" spans="1:39" ht="15.75" customHeight="1">
      <c r="A50" s="39" t="s">
        <v>95</v>
      </c>
      <c r="B50" s="33" t="s">
        <v>90</v>
      </c>
      <c r="C50" s="27">
        <v>7</v>
      </c>
      <c r="D50" s="20" t="s">
        <v>196</v>
      </c>
      <c r="E50" s="33">
        <v>3000</v>
      </c>
      <c r="F50" s="33" t="s">
        <v>61</v>
      </c>
      <c r="G50" s="33" t="s">
        <v>91</v>
      </c>
      <c r="H50" s="33" t="s">
        <v>42</v>
      </c>
      <c r="I50" s="17" t="b">
        <v>0</v>
      </c>
      <c r="J50" s="17" t="s">
        <v>43</v>
      </c>
      <c r="K50" s="21" t="str">
        <f t="shared" si="1"/>
        <v>https://version2.ice-d.org/antarctica/sample/K2020-18012805/</v>
      </c>
      <c r="L50" s="39" t="s">
        <v>39</v>
      </c>
      <c r="M50" s="155"/>
      <c r="O50" s="17" t="s">
        <v>63</v>
      </c>
      <c r="P50" s="22">
        <v>-69.646299999999997</v>
      </c>
      <c r="Q50" s="22">
        <v>39.441600000000001</v>
      </c>
      <c r="R50" s="22"/>
      <c r="S50" s="22">
        <v>92</v>
      </c>
      <c r="T50" s="22">
        <v>0</v>
      </c>
      <c r="U50" s="23">
        <v>400</v>
      </c>
      <c r="V50" s="24" t="s">
        <v>1875</v>
      </c>
      <c r="W50" s="25" t="s">
        <v>2351</v>
      </c>
      <c r="X50" s="22">
        <f t="shared" si="2"/>
        <v>92</v>
      </c>
      <c r="Y50" s="22">
        <v>3</v>
      </c>
      <c r="Z50" s="22">
        <v>2.7</v>
      </c>
      <c r="AA50" s="17" t="s">
        <v>73</v>
      </c>
      <c r="AB50" s="26">
        <v>7278</v>
      </c>
      <c r="AC50" s="26">
        <v>374</v>
      </c>
      <c r="AD50" s="26">
        <v>570</v>
      </c>
      <c r="AE50" s="27">
        <v>42900</v>
      </c>
      <c r="AF50" s="27">
        <v>2200</v>
      </c>
      <c r="AG50" s="27">
        <v>318800</v>
      </c>
      <c r="AH50" s="27">
        <v>14900</v>
      </c>
      <c r="AI50" s="17">
        <v>2018</v>
      </c>
      <c r="AJ50" s="17">
        <v>1</v>
      </c>
      <c r="AK50" s="17">
        <v>0</v>
      </c>
      <c r="AL50" s="34" t="s">
        <v>92</v>
      </c>
    </row>
    <row r="51" spans="1:39" ht="15.75" customHeight="1">
      <c r="A51" s="39" t="s">
        <v>95</v>
      </c>
      <c r="B51" s="33" t="s">
        <v>90</v>
      </c>
      <c r="C51" s="27">
        <v>7</v>
      </c>
      <c r="D51" s="20" t="s">
        <v>196</v>
      </c>
      <c r="E51" s="33">
        <v>3000</v>
      </c>
      <c r="F51" s="33" t="s">
        <v>61</v>
      </c>
      <c r="G51" s="33" t="s">
        <v>91</v>
      </c>
      <c r="H51" s="33" t="s">
        <v>42</v>
      </c>
      <c r="I51" s="17" t="b">
        <v>0</v>
      </c>
      <c r="J51" s="17" t="s">
        <v>64</v>
      </c>
      <c r="K51" s="21" t="str">
        <f t="shared" si="1"/>
        <v>https://version2.ice-d.org/antarctica/sample/K2020-18012805/</v>
      </c>
      <c r="L51" s="39" t="s">
        <v>39</v>
      </c>
      <c r="M51" s="155"/>
      <c r="O51" s="17" t="s">
        <v>63</v>
      </c>
      <c r="P51" s="22">
        <v>-69.646299999999997</v>
      </c>
      <c r="Q51" s="22">
        <v>39.441600000000001</v>
      </c>
      <c r="R51" s="22"/>
      <c r="S51" s="22">
        <v>92</v>
      </c>
      <c r="T51" s="22">
        <v>0</v>
      </c>
      <c r="U51" s="23">
        <v>400</v>
      </c>
      <c r="V51" s="24" t="s">
        <v>1876</v>
      </c>
      <c r="W51" s="25" t="s">
        <v>2351</v>
      </c>
      <c r="X51" s="22">
        <f t="shared" si="2"/>
        <v>92</v>
      </c>
      <c r="Y51" s="22">
        <v>3</v>
      </c>
      <c r="Z51" s="22">
        <v>2.7</v>
      </c>
      <c r="AA51" s="17" t="s">
        <v>73</v>
      </c>
      <c r="AB51" s="26">
        <v>7572</v>
      </c>
      <c r="AC51" s="26">
        <v>355</v>
      </c>
      <c r="AD51" s="26">
        <v>744</v>
      </c>
      <c r="AE51" s="27">
        <v>42900</v>
      </c>
      <c r="AF51" s="27">
        <v>2200</v>
      </c>
      <c r="AG51" s="27">
        <v>318800</v>
      </c>
      <c r="AH51" s="27">
        <v>14900</v>
      </c>
      <c r="AI51" s="17">
        <v>2018</v>
      </c>
      <c r="AJ51" s="17">
        <v>1</v>
      </c>
      <c r="AK51" s="17">
        <v>0</v>
      </c>
      <c r="AL51" s="34" t="s">
        <v>92</v>
      </c>
    </row>
    <row r="52" spans="1:39" ht="15.75" customHeight="1">
      <c r="A52" s="39" t="s">
        <v>96</v>
      </c>
      <c r="B52" s="33" t="s">
        <v>90</v>
      </c>
      <c r="C52" s="27">
        <v>7</v>
      </c>
      <c r="D52" s="20" t="s">
        <v>196</v>
      </c>
      <c r="E52" s="33">
        <v>3000</v>
      </c>
      <c r="F52" s="33" t="s">
        <v>61</v>
      </c>
      <c r="G52" s="33" t="s">
        <v>91</v>
      </c>
      <c r="H52" s="33" t="s">
        <v>42</v>
      </c>
      <c r="I52" s="17" t="b">
        <v>0</v>
      </c>
      <c r="J52" s="17" t="s">
        <v>43</v>
      </c>
      <c r="K52" s="21" t="str">
        <f t="shared" si="1"/>
        <v>https://version2.ice-d.org/antarctica/sample/K2020-18012812/</v>
      </c>
      <c r="L52" s="39" t="s">
        <v>39</v>
      </c>
      <c r="M52" s="155"/>
      <c r="O52" s="17" t="s">
        <v>63</v>
      </c>
      <c r="P52" s="22">
        <v>-69.648300000000006</v>
      </c>
      <c r="Q52" s="22">
        <v>39.463999999999999</v>
      </c>
      <c r="R52" s="22"/>
      <c r="S52" s="22">
        <v>28</v>
      </c>
      <c r="T52" s="22">
        <v>0</v>
      </c>
      <c r="U52" s="23">
        <v>400</v>
      </c>
      <c r="V52" s="24" t="s">
        <v>1877</v>
      </c>
      <c r="W52" s="25" t="s">
        <v>2351</v>
      </c>
      <c r="X52" s="22">
        <f t="shared" si="2"/>
        <v>28</v>
      </c>
      <c r="Y52" s="22">
        <v>4</v>
      </c>
      <c r="Z52" s="22">
        <v>2.7</v>
      </c>
      <c r="AA52" s="17" t="s">
        <v>73</v>
      </c>
      <c r="AB52" s="26">
        <v>5426</v>
      </c>
      <c r="AC52" s="26">
        <v>367</v>
      </c>
      <c r="AD52" s="26">
        <v>487</v>
      </c>
      <c r="AE52" s="27">
        <v>29600</v>
      </c>
      <c r="AF52" s="27">
        <v>2000</v>
      </c>
      <c r="AG52" s="27">
        <v>231100</v>
      </c>
      <c r="AH52" s="27">
        <v>9200</v>
      </c>
      <c r="AI52" s="17">
        <v>2018</v>
      </c>
      <c r="AJ52" s="17">
        <v>1</v>
      </c>
      <c r="AK52" s="17">
        <v>0</v>
      </c>
      <c r="AL52" s="34" t="s">
        <v>92</v>
      </c>
    </row>
    <row r="53" spans="1:39" ht="12.75" customHeight="1">
      <c r="A53" s="39" t="s">
        <v>96</v>
      </c>
      <c r="B53" s="33" t="s">
        <v>90</v>
      </c>
      <c r="C53" s="27">
        <v>7</v>
      </c>
      <c r="D53" s="20" t="s">
        <v>196</v>
      </c>
      <c r="E53" s="33">
        <v>3000</v>
      </c>
      <c r="F53" s="33" t="s">
        <v>61</v>
      </c>
      <c r="G53" s="33" t="s">
        <v>91</v>
      </c>
      <c r="H53" s="33" t="s">
        <v>42</v>
      </c>
      <c r="I53" s="17" t="b">
        <v>0</v>
      </c>
      <c r="J53" s="17" t="s">
        <v>64</v>
      </c>
      <c r="K53" s="21" t="str">
        <f t="shared" si="1"/>
        <v>https://version2.ice-d.org/antarctica/sample/K2020-18012812/</v>
      </c>
      <c r="L53" s="39" t="s">
        <v>39</v>
      </c>
      <c r="M53" s="155"/>
      <c r="O53" s="17" t="s">
        <v>63</v>
      </c>
      <c r="P53" s="22">
        <v>-69.648300000000006</v>
      </c>
      <c r="Q53" s="22">
        <v>39.463999999999999</v>
      </c>
      <c r="R53" s="22"/>
      <c r="S53" s="22">
        <v>28</v>
      </c>
      <c r="T53" s="22">
        <v>0</v>
      </c>
      <c r="U53" s="23">
        <v>400</v>
      </c>
      <c r="V53" s="24" t="s">
        <v>1878</v>
      </c>
      <c r="W53" s="25" t="s">
        <v>2351</v>
      </c>
      <c r="X53" s="22">
        <f t="shared" si="2"/>
        <v>28</v>
      </c>
      <c r="Y53" s="22">
        <v>4</v>
      </c>
      <c r="Z53" s="22">
        <v>2.7</v>
      </c>
      <c r="AA53" s="17" t="s">
        <v>73</v>
      </c>
      <c r="AB53" s="26">
        <v>5932</v>
      </c>
      <c r="AC53" s="26">
        <v>237</v>
      </c>
      <c r="AD53" s="26">
        <v>564</v>
      </c>
      <c r="AE53" s="27">
        <v>29600</v>
      </c>
      <c r="AF53" s="27">
        <v>2000</v>
      </c>
      <c r="AG53" s="27">
        <v>231100</v>
      </c>
      <c r="AH53" s="27">
        <v>9200</v>
      </c>
      <c r="AI53" s="17">
        <v>2018</v>
      </c>
      <c r="AJ53" s="17">
        <v>1</v>
      </c>
      <c r="AK53" s="17">
        <v>0</v>
      </c>
      <c r="AL53" s="34" t="s">
        <v>92</v>
      </c>
    </row>
    <row r="54" spans="1:39" ht="12.75" customHeight="1">
      <c r="A54" s="39" t="s">
        <v>97</v>
      </c>
      <c r="B54" s="33" t="s">
        <v>98</v>
      </c>
      <c r="C54" s="27">
        <v>8</v>
      </c>
      <c r="D54" s="20" t="s">
        <v>196</v>
      </c>
      <c r="E54" s="33">
        <v>3000</v>
      </c>
      <c r="F54" s="33" t="s">
        <v>61</v>
      </c>
      <c r="G54" s="33" t="s">
        <v>91</v>
      </c>
      <c r="H54" s="33" t="s">
        <v>42</v>
      </c>
      <c r="I54" s="17" t="b">
        <v>0</v>
      </c>
      <c r="J54" s="17" t="s">
        <v>43</v>
      </c>
      <c r="K54" s="21" t="str">
        <f t="shared" si="1"/>
        <v>https://version2.ice-d.org/antarctica/sample/K2020-17122702/</v>
      </c>
      <c r="L54" s="39" t="s">
        <v>39</v>
      </c>
      <c r="M54" s="155"/>
      <c r="O54" s="17" t="s">
        <v>63</v>
      </c>
      <c r="P54" s="22">
        <v>-69.678600000000003</v>
      </c>
      <c r="Q54" s="22">
        <v>39.476500000000001</v>
      </c>
      <c r="R54" s="22"/>
      <c r="S54" s="22">
        <v>140</v>
      </c>
      <c r="T54" s="22">
        <v>0</v>
      </c>
      <c r="U54" s="23">
        <v>400</v>
      </c>
      <c r="V54" s="24" t="s">
        <v>1879</v>
      </c>
      <c r="W54" s="25" t="s">
        <v>2351</v>
      </c>
      <c r="X54" s="22">
        <f t="shared" si="2"/>
        <v>140</v>
      </c>
      <c r="Y54" s="22">
        <v>4.5</v>
      </c>
      <c r="Z54" s="22">
        <v>2.7</v>
      </c>
      <c r="AA54" s="17" t="s">
        <v>73</v>
      </c>
      <c r="AB54" s="26">
        <v>6560</v>
      </c>
      <c r="AC54" s="26">
        <v>282</v>
      </c>
      <c r="AD54" s="26">
        <v>479</v>
      </c>
      <c r="AE54" s="27">
        <v>39600</v>
      </c>
      <c r="AF54" s="27">
        <v>1700</v>
      </c>
      <c r="AG54" s="28"/>
      <c r="AH54" s="28"/>
      <c r="AI54" s="17">
        <v>2017</v>
      </c>
      <c r="AJ54" s="17">
        <v>1</v>
      </c>
      <c r="AK54" s="17">
        <v>0</v>
      </c>
      <c r="AL54" s="34" t="s">
        <v>92</v>
      </c>
    </row>
    <row r="55" spans="1:39" ht="12.75" customHeight="1">
      <c r="A55" s="39" t="s">
        <v>99</v>
      </c>
      <c r="B55" s="33" t="s">
        <v>98</v>
      </c>
      <c r="C55" s="27">
        <v>8</v>
      </c>
      <c r="D55" s="20" t="s">
        <v>196</v>
      </c>
      <c r="E55" s="33">
        <v>3000</v>
      </c>
      <c r="F55" s="33" t="s">
        <v>61</v>
      </c>
      <c r="G55" s="33" t="s">
        <v>91</v>
      </c>
      <c r="H55" s="33" t="s">
        <v>42</v>
      </c>
      <c r="I55" s="17" t="b">
        <v>0</v>
      </c>
      <c r="J55" s="17" t="s">
        <v>43</v>
      </c>
      <c r="K55" s="21" t="str">
        <f t="shared" si="1"/>
        <v>https://version2.ice-d.org/antarctica/sample/K2020-18012706/</v>
      </c>
      <c r="L55" s="39" t="s">
        <v>39</v>
      </c>
      <c r="M55" s="155"/>
      <c r="O55" s="17" t="s">
        <v>63</v>
      </c>
      <c r="P55" s="22">
        <v>-69.677499999999995</v>
      </c>
      <c r="Q55" s="22">
        <v>39.4818</v>
      </c>
      <c r="R55" s="22"/>
      <c r="S55" s="22">
        <v>80</v>
      </c>
      <c r="T55" s="22">
        <v>0</v>
      </c>
      <c r="U55" s="23">
        <v>400</v>
      </c>
      <c r="V55" s="24" t="s">
        <v>1880</v>
      </c>
      <c r="W55" s="25" t="s">
        <v>2351</v>
      </c>
      <c r="X55" s="22">
        <f t="shared" si="2"/>
        <v>80</v>
      </c>
      <c r="Y55" s="22">
        <v>4</v>
      </c>
      <c r="Z55" s="22">
        <v>2.7</v>
      </c>
      <c r="AA55" s="17" t="s">
        <v>73</v>
      </c>
      <c r="AB55" s="26">
        <v>6013</v>
      </c>
      <c r="AC55" s="26">
        <v>297</v>
      </c>
      <c r="AD55" s="26">
        <v>463</v>
      </c>
      <c r="AE55" s="27">
        <v>34500</v>
      </c>
      <c r="AF55" s="27">
        <v>1700</v>
      </c>
      <c r="AG55" s="27">
        <v>268800</v>
      </c>
      <c r="AH55" s="27">
        <v>12000</v>
      </c>
      <c r="AI55" s="17">
        <v>2018</v>
      </c>
      <c r="AJ55" s="17">
        <v>1</v>
      </c>
      <c r="AK55" s="17">
        <v>0</v>
      </c>
      <c r="AL55" s="34" t="s">
        <v>92</v>
      </c>
    </row>
    <row r="56" spans="1:39" ht="12.75" customHeight="1">
      <c r="A56" s="39" t="s">
        <v>99</v>
      </c>
      <c r="B56" s="33" t="s">
        <v>98</v>
      </c>
      <c r="C56" s="27">
        <v>8</v>
      </c>
      <c r="D56" s="20" t="s">
        <v>196</v>
      </c>
      <c r="E56" s="33">
        <v>3000</v>
      </c>
      <c r="F56" s="33" t="s">
        <v>61</v>
      </c>
      <c r="G56" s="33" t="s">
        <v>91</v>
      </c>
      <c r="H56" s="33" t="s">
        <v>42</v>
      </c>
      <c r="I56" s="17" t="b">
        <v>0</v>
      </c>
      <c r="J56" s="17" t="s">
        <v>64</v>
      </c>
      <c r="K56" s="21" t="str">
        <f t="shared" si="1"/>
        <v>https://version2.ice-d.org/antarctica/sample/K2020-18012706/</v>
      </c>
      <c r="L56" s="39" t="s">
        <v>39</v>
      </c>
      <c r="M56" s="155"/>
      <c r="O56" s="17" t="s">
        <v>63</v>
      </c>
      <c r="P56" s="22">
        <v>-69.677499999999995</v>
      </c>
      <c r="Q56" s="22">
        <v>39.4818</v>
      </c>
      <c r="R56" s="22"/>
      <c r="S56" s="22">
        <v>80</v>
      </c>
      <c r="T56" s="22">
        <v>0</v>
      </c>
      <c r="U56" s="23">
        <v>400</v>
      </c>
      <c r="V56" s="24" t="s">
        <v>1881</v>
      </c>
      <c r="W56" s="25" t="s">
        <v>2351</v>
      </c>
      <c r="X56" s="22">
        <f t="shared" si="2"/>
        <v>80</v>
      </c>
      <c r="Y56" s="22">
        <v>4</v>
      </c>
      <c r="Z56" s="22">
        <v>2.7</v>
      </c>
      <c r="AA56" s="17" t="s">
        <v>73</v>
      </c>
      <c r="AB56" s="26">
        <v>6572</v>
      </c>
      <c r="AC56" s="26">
        <v>294</v>
      </c>
      <c r="AD56" s="26">
        <v>639</v>
      </c>
      <c r="AE56" s="27">
        <v>34500</v>
      </c>
      <c r="AF56" s="27">
        <v>1700</v>
      </c>
      <c r="AG56" s="27">
        <v>268800</v>
      </c>
      <c r="AH56" s="27">
        <v>12000</v>
      </c>
      <c r="AI56" s="17">
        <v>2018</v>
      </c>
      <c r="AJ56" s="17">
        <v>1</v>
      </c>
      <c r="AK56" s="17">
        <v>0</v>
      </c>
      <c r="AL56" s="34" t="s">
        <v>92</v>
      </c>
    </row>
    <row r="57" spans="1:39" ht="12.75" customHeight="1">
      <c r="A57" s="39" t="s">
        <v>100</v>
      </c>
      <c r="B57" s="33" t="s">
        <v>98</v>
      </c>
      <c r="C57" s="27">
        <v>9</v>
      </c>
      <c r="D57" s="20" t="s">
        <v>196</v>
      </c>
      <c r="E57" s="33">
        <v>3000</v>
      </c>
      <c r="F57" s="33" t="s">
        <v>61</v>
      </c>
      <c r="G57" s="33" t="s">
        <v>91</v>
      </c>
      <c r="H57" s="33" t="s">
        <v>42</v>
      </c>
      <c r="I57" s="17" t="b">
        <v>0</v>
      </c>
      <c r="J57" s="17" t="s">
        <v>43</v>
      </c>
      <c r="K57" s="21" t="str">
        <f t="shared" si="1"/>
        <v>https://version2.ice-d.org/antarctica/sample/K2020-18012709/</v>
      </c>
      <c r="L57" s="39" t="s">
        <v>39</v>
      </c>
      <c r="M57" s="155"/>
      <c r="O57" s="17" t="s">
        <v>63</v>
      </c>
      <c r="P57" s="22">
        <v>-69.672799999999995</v>
      </c>
      <c r="Q57" s="22">
        <v>39.482599999999998</v>
      </c>
      <c r="R57" s="22"/>
      <c r="S57" s="22">
        <v>7</v>
      </c>
      <c r="T57" s="22">
        <v>0</v>
      </c>
      <c r="U57" s="23">
        <v>400</v>
      </c>
      <c r="V57" s="24" t="s">
        <v>1882</v>
      </c>
      <c r="W57" s="25" t="s">
        <v>2351</v>
      </c>
      <c r="X57" s="22">
        <f t="shared" si="2"/>
        <v>7</v>
      </c>
      <c r="Y57" s="22">
        <v>5</v>
      </c>
      <c r="Z57" s="22">
        <v>2.7</v>
      </c>
      <c r="AA57" s="17" t="s">
        <v>73</v>
      </c>
      <c r="AB57" s="26">
        <v>1538</v>
      </c>
      <c r="AC57" s="26">
        <v>163</v>
      </c>
      <c r="AD57" s="26">
        <v>186</v>
      </c>
      <c r="AE57" s="27">
        <v>8500</v>
      </c>
      <c r="AF57" s="27">
        <v>900</v>
      </c>
      <c r="AG57" s="28"/>
      <c r="AH57" s="28"/>
      <c r="AI57" s="17">
        <v>2018</v>
      </c>
      <c r="AJ57" s="17">
        <v>1</v>
      </c>
      <c r="AK57" s="17">
        <v>0</v>
      </c>
      <c r="AL57" s="34" t="s">
        <v>92</v>
      </c>
      <c r="AM57" s="17" t="s">
        <v>101</v>
      </c>
    </row>
    <row r="58" spans="1:39" ht="18" customHeight="1">
      <c r="A58" s="40" t="s">
        <v>102</v>
      </c>
      <c r="B58" s="19" t="s">
        <v>103</v>
      </c>
      <c r="C58" s="27">
        <v>10</v>
      </c>
      <c r="D58" s="20" t="s">
        <v>196</v>
      </c>
      <c r="E58" s="33">
        <v>3000</v>
      </c>
      <c r="F58" s="19" t="s">
        <v>61</v>
      </c>
      <c r="G58" s="19" t="s">
        <v>104</v>
      </c>
      <c r="H58" s="33" t="s">
        <v>42</v>
      </c>
      <c r="I58" s="17" t="b">
        <v>0</v>
      </c>
      <c r="J58" s="17" t="s">
        <v>64</v>
      </c>
      <c r="K58" s="213" t="s">
        <v>105</v>
      </c>
      <c r="L58" s="40" t="s">
        <v>39</v>
      </c>
      <c r="M58" s="199" t="s">
        <v>44</v>
      </c>
      <c r="O58" s="17" t="s">
        <v>77</v>
      </c>
      <c r="P58" s="22">
        <v>-69.680000000000007</v>
      </c>
      <c r="Q58" s="22">
        <v>39.47</v>
      </c>
      <c r="R58" s="22"/>
      <c r="S58" s="22">
        <v>136</v>
      </c>
      <c r="T58" s="22">
        <v>0</v>
      </c>
      <c r="U58" s="23">
        <v>400</v>
      </c>
      <c r="V58" s="24" t="s">
        <v>1883</v>
      </c>
      <c r="W58" s="25" t="s">
        <v>2351</v>
      </c>
      <c r="X58" s="22">
        <f t="shared" si="2"/>
        <v>136</v>
      </c>
      <c r="Y58" s="22">
        <v>10</v>
      </c>
      <c r="Z58" s="22">
        <v>2.7</v>
      </c>
      <c r="AA58" s="17" t="s">
        <v>51</v>
      </c>
      <c r="AB58" s="26">
        <v>2155</v>
      </c>
      <c r="AC58" s="26">
        <v>256</v>
      </c>
      <c r="AD58" s="26">
        <v>316</v>
      </c>
      <c r="AE58" s="27">
        <v>52900</v>
      </c>
      <c r="AF58" s="27">
        <v>6800</v>
      </c>
      <c r="AG58" s="28"/>
      <c r="AH58" s="28"/>
      <c r="AI58" s="27">
        <v>2009</v>
      </c>
      <c r="AJ58" s="17">
        <v>0</v>
      </c>
      <c r="AK58" s="17">
        <v>0</v>
      </c>
    </row>
    <row r="59" spans="1:39" ht="15.75" customHeight="1">
      <c r="A59" s="40" t="s">
        <v>102</v>
      </c>
      <c r="B59" s="19" t="s">
        <v>103</v>
      </c>
      <c r="C59" s="27">
        <v>10</v>
      </c>
      <c r="D59" s="20" t="s">
        <v>196</v>
      </c>
      <c r="E59" s="33">
        <v>3000</v>
      </c>
      <c r="F59" s="19" t="s">
        <v>61</v>
      </c>
      <c r="G59" s="19" t="s">
        <v>104</v>
      </c>
      <c r="H59" s="33" t="s">
        <v>42</v>
      </c>
      <c r="I59" s="17" t="b">
        <v>0</v>
      </c>
      <c r="J59" s="17" t="s">
        <v>43</v>
      </c>
      <c r="K59" s="21" t="s">
        <v>105</v>
      </c>
      <c r="L59" s="40" t="s">
        <v>39</v>
      </c>
      <c r="M59" s="155"/>
      <c r="O59" s="17" t="s">
        <v>77</v>
      </c>
      <c r="P59" s="22">
        <v>-69.680000000000007</v>
      </c>
      <c r="Q59" s="22">
        <v>39.47</v>
      </c>
      <c r="R59" s="22"/>
      <c r="S59" s="22">
        <v>136</v>
      </c>
      <c r="T59" s="22">
        <v>0</v>
      </c>
      <c r="U59" s="23">
        <v>400</v>
      </c>
      <c r="V59" s="24" t="s">
        <v>1884</v>
      </c>
      <c r="W59" s="25" t="s">
        <v>2351</v>
      </c>
      <c r="X59" s="22">
        <f t="shared" si="2"/>
        <v>136</v>
      </c>
      <c r="Y59" s="22">
        <v>10</v>
      </c>
      <c r="Z59" s="22">
        <v>2.7</v>
      </c>
      <c r="AA59" s="17" t="s">
        <v>51</v>
      </c>
      <c r="AB59" s="26">
        <v>7128</v>
      </c>
      <c r="AC59" s="26">
        <v>513</v>
      </c>
      <c r="AD59" s="26">
        <v>664</v>
      </c>
      <c r="AE59" s="27">
        <v>52900</v>
      </c>
      <c r="AF59" s="27">
        <v>6800</v>
      </c>
      <c r="AG59" s="28"/>
      <c r="AH59" s="28"/>
      <c r="AI59" s="27">
        <v>2009</v>
      </c>
      <c r="AJ59" s="17">
        <v>0</v>
      </c>
      <c r="AK59" s="17">
        <v>0</v>
      </c>
    </row>
    <row r="60" spans="1:39" ht="15.75" customHeight="1">
      <c r="A60" s="40" t="s">
        <v>102</v>
      </c>
      <c r="B60" s="19" t="s">
        <v>106</v>
      </c>
      <c r="C60" s="27">
        <v>10</v>
      </c>
      <c r="D60" s="20" t="s">
        <v>196</v>
      </c>
      <c r="E60" s="33">
        <v>3000</v>
      </c>
      <c r="F60" s="19" t="s">
        <v>61</v>
      </c>
      <c r="G60" s="19" t="s">
        <v>104</v>
      </c>
      <c r="H60" s="33" t="s">
        <v>42</v>
      </c>
      <c r="I60" s="17" t="b">
        <v>0</v>
      </c>
      <c r="J60" s="17" t="s">
        <v>64</v>
      </c>
      <c r="K60" s="21" t="s">
        <v>105</v>
      </c>
      <c r="L60" s="40" t="s">
        <v>39</v>
      </c>
      <c r="M60" s="155"/>
      <c r="O60" s="17" t="s">
        <v>77</v>
      </c>
      <c r="P60" s="22">
        <v>-69.680000000000007</v>
      </c>
      <c r="Q60" s="22">
        <v>39.47</v>
      </c>
      <c r="R60" s="22"/>
      <c r="S60" s="22">
        <v>136</v>
      </c>
      <c r="T60" s="22">
        <v>0</v>
      </c>
      <c r="U60" s="23">
        <v>400</v>
      </c>
      <c r="V60" s="24" t="s">
        <v>1882</v>
      </c>
      <c r="W60" s="25" t="s">
        <v>2351</v>
      </c>
      <c r="X60" s="22">
        <f t="shared" si="2"/>
        <v>136</v>
      </c>
      <c r="Y60" s="22">
        <v>10</v>
      </c>
      <c r="Z60" s="22">
        <v>2.7</v>
      </c>
      <c r="AA60" s="17" t="s">
        <v>51</v>
      </c>
      <c r="AB60" s="26">
        <v>7310</v>
      </c>
      <c r="AC60" s="26">
        <v>964</v>
      </c>
      <c r="AD60" s="26">
        <v>1152</v>
      </c>
      <c r="AE60" s="27">
        <v>52900</v>
      </c>
      <c r="AF60" s="27">
        <v>6800</v>
      </c>
      <c r="AG60" s="28"/>
      <c r="AH60" s="28"/>
      <c r="AI60" s="27">
        <v>2009</v>
      </c>
      <c r="AJ60" s="17">
        <v>0</v>
      </c>
      <c r="AK60" s="17">
        <v>0</v>
      </c>
    </row>
    <row r="61" spans="1:39" ht="15.75" customHeight="1">
      <c r="A61" s="40" t="s">
        <v>102</v>
      </c>
      <c r="B61" s="19" t="s">
        <v>106</v>
      </c>
      <c r="C61" s="27">
        <v>10</v>
      </c>
      <c r="D61" s="20" t="s">
        <v>196</v>
      </c>
      <c r="E61" s="33">
        <v>3000</v>
      </c>
      <c r="F61" s="19" t="s">
        <v>61</v>
      </c>
      <c r="G61" s="19" t="s">
        <v>104</v>
      </c>
      <c r="H61" s="33" t="s">
        <v>42</v>
      </c>
      <c r="I61" s="17" t="b">
        <v>0</v>
      </c>
      <c r="J61" s="17" t="s">
        <v>43</v>
      </c>
      <c r="K61" s="21" t="s">
        <v>105</v>
      </c>
      <c r="L61" s="40" t="s">
        <v>39</v>
      </c>
      <c r="M61" s="155"/>
      <c r="O61" s="17" t="s">
        <v>77</v>
      </c>
      <c r="P61" s="22">
        <v>-69.680000000000007</v>
      </c>
      <c r="Q61" s="22">
        <v>39.47</v>
      </c>
      <c r="R61" s="22"/>
      <c r="S61" s="22">
        <v>136</v>
      </c>
      <c r="T61" s="22">
        <v>0</v>
      </c>
      <c r="U61" s="23">
        <v>400</v>
      </c>
      <c r="V61" s="24" t="s">
        <v>1883</v>
      </c>
      <c r="W61" s="25" t="s">
        <v>2351</v>
      </c>
      <c r="X61" s="22">
        <f t="shared" si="2"/>
        <v>136</v>
      </c>
      <c r="Y61" s="22">
        <v>10</v>
      </c>
      <c r="Z61" s="22">
        <v>2.7</v>
      </c>
      <c r="AA61" s="17" t="s">
        <v>51</v>
      </c>
      <c r="AB61" s="26">
        <v>8165</v>
      </c>
      <c r="AC61" s="26">
        <v>1052</v>
      </c>
      <c r="AD61" s="26">
        <v>1157</v>
      </c>
      <c r="AE61" s="27">
        <v>52900</v>
      </c>
      <c r="AF61" s="27">
        <v>6800</v>
      </c>
      <c r="AG61" s="28"/>
      <c r="AH61" s="28"/>
      <c r="AI61" s="27">
        <v>2009</v>
      </c>
      <c r="AJ61" s="17">
        <v>0</v>
      </c>
      <c r="AK61" s="17">
        <v>0</v>
      </c>
    </row>
    <row r="62" spans="1:39" ht="15.75" customHeight="1">
      <c r="A62" s="40" t="s">
        <v>102</v>
      </c>
      <c r="B62" s="19" t="s">
        <v>106</v>
      </c>
      <c r="C62" s="27">
        <v>10</v>
      </c>
      <c r="D62" s="20" t="s">
        <v>196</v>
      </c>
      <c r="E62" s="33">
        <v>3000</v>
      </c>
      <c r="F62" s="19" t="s">
        <v>61</v>
      </c>
      <c r="G62" s="19" t="s">
        <v>104</v>
      </c>
      <c r="H62" s="33" t="s">
        <v>42</v>
      </c>
      <c r="I62" s="17" t="b">
        <v>0</v>
      </c>
      <c r="J62" s="17" t="s">
        <v>43</v>
      </c>
      <c r="K62" s="21" t="s">
        <v>105</v>
      </c>
      <c r="L62" s="40" t="s">
        <v>39</v>
      </c>
      <c r="M62" s="155"/>
      <c r="O62" s="17" t="s">
        <v>77</v>
      </c>
      <c r="P62" s="22">
        <v>-69.680000000000007</v>
      </c>
      <c r="Q62" s="22">
        <v>39.47</v>
      </c>
      <c r="R62" s="22"/>
      <c r="S62" s="22">
        <v>136</v>
      </c>
      <c r="T62" s="22">
        <v>0</v>
      </c>
      <c r="U62" s="23">
        <v>400</v>
      </c>
      <c r="V62" s="24" t="s">
        <v>1884</v>
      </c>
      <c r="W62" s="25" t="s">
        <v>2351</v>
      </c>
      <c r="X62" s="22">
        <f t="shared" si="2"/>
        <v>136</v>
      </c>
      <c r="Y62" s="22">
        <v>10</v>
      </c>
      <c r="Z62" s="22">
        <v>2.7</v>
      </c>
      <c r="AA62" s="17" t="s">
        <v>51</v>
      </c>
      <c r="AB62" s="26">
        <v>9716</v>
      </c>
      <c r="AC62" s="26">
        <v>651</v>
      </c>
      <c r="AD62" s="26">
        <v>869</v>
      </c>
      <c r="AE62" s="27">
        <v>52900</v>
      </c>
      <c r="AF62" s="27">
        <v>6800</v>
      </c>
      <c r="AG62" s="28"/>
      <c r="AH62" s="28"/>
      <c r="AI62" s="27">
        <v>2009</v>
      </c>
      <c r="AJ62" s="17">
        <v>0</v>
      </c>
      <c r="AK62" s="17">
        <v>0</v>
      </c>
    </row>
    <row r="63" spans="1:39" ht="15.75" customHeight="1">
      <c r="A63" s="41" t="s">
        <v>107</v>
      </c>
      <c r="B63" s="19" t="s">
        <v>106</v>
      </c>
      <c r="C63" s="27">
        <v>11</v>
      </c>
      <c r="D63" s="20" t="s">
        <v>196</v>
      </c>
      <c r="E63" s="33">
        <v>3000</v>
      </c>
      <c r="F63" s="19" t="s">
        <v>61</v>
      </c>
      <c r="G63" s="19" t="s">
        <v>104</v>
      </c>
      <c r="H63" s="33" t="s">
        <v>42</v>
      </c>
      <c r="I63" s="17" t="b">
        <v>0</v>
      </c>
      <c r="K63" s="21" t="s">
        <v>108</v>
      </c>
      <c r="L63" s="41" t="s">
        <v>39</v>
      </c>
      <c r="M63" s="204" t="s">
        <v>2402</v>
      </c>
      <c r="O63" s="17" t="s">
        <v>77</v>
      </c>
      <c r="P63" s="22">
        <v>-69.47</v>
      </c>
      <c r="Q63" s="22">
        <v>39.58</v>
      </c>
      <c r="R63" s="22"/>
      <c r="S63" s="22">
        <v>202</v>
      </c>
      <c r="T63" s="22">
        <v>0</v>
      </c>
      <c r="U63" s="23">
        <v>400</v>
      </c>
      <c r="V63" s="24" t="s">
        <v>1885</v>
      </c>
      <c r="W63" s="25" t="s">
        <v>2351</v>
      </c>
      <c r="X63" s="22">
        <f t="shared" si="2"/>
        <v>202</v>
      </c>
      <c r="Y63" s="22">
        <v>8</v>
      </c>
      <c r="Z63" s="22">
        <v>2.7</v>
      </c>
      <c r="AA63" s="17" t="s">
        <v>51</v>
      </c>
      <c r="AB63" s="26">
        <v>7037</v>
      </c>
      <c r="AC63" s="26">
        <v>806</v>
      </c>
      <c r="AD63" s="26"/>
      <c r="AE63" s="27">
        <v>73000</v>
      </c>
      <c r="AF63" s="27">
        <v>7100</v>
      </c>
      <c r="AG63" s="27">
        <v>316200</v>
      </c>
      <c r="AH63" s="27">
        <v>36100</v>
      </c>
      <c r="AI63" s="27">
        <v>2009</v>
      </c>
      <c r="AJ63" s="17">
        <v>0</v>
      </c>
      <c r="AK63" s="34">
        <v>1</v>
      </c>
      <c r="AL63" s="17" t="s">
        <v>109</v>
      </c>
    </row>
    <row r="64" spans="1:39" ht="15.75" customHeight="1">
      <c r="A64" s="41" t="s">
        <v>107</v>
      </c>
      <c r="B64" s="19" t="s">
        <v>106</v>
      </c>
      <c r="C64" s="27">
        <v>11</v>
      </c>
      <c r="D64" s="20" t="s">
        <v>196</v>
      </c>
      <c r="E64" s="33">
        <v>3000</v>
      </c>
      <c r="F64" s="19" t="s">
        <v>61</v>
      </c>
      <c r="G64" s="19" t="s">
        <v>104</v>
      </c>
      <c r="H64" s="33" t="s">
        <v>42</v>
      </c>
      <c r="I64" s="17" t="b">
        <v>0</v>
      </c>
      <c r="K64" s="21" t="s">
        <v>108</v>
      </c>
      <c r="L64" s="41" t="s">
        <v>39</v>
      </c>
      <c r="M64" s="155"/>
      <c r="O64" s="17" t="s">
        <v>77</v>
      </c>
      <c r="P64" s="22">
        <v>-69.47</v>
      </c>
      <c r="Q64" s="22">
        <v>39.58</v>
      </c>
      <c r="R64" s="22"/>
      <c r="S64" s="22">
        <v>202</v>
      </c>
      <c r="T64" s="22">
        <v>0</v>
      </c>
      <c r="U64" s="23">
        <v>400</v>
      </c>
      <c r="V64" s="24" t="s">
        <v>1886</v>
      </c>
      <c r="W64" s="25" t="s">
        <v>2351</v>
      </c>
      <c r="X64" s="22">
        <f t="shared" si="2"/>
        <v>202</v>
      </c>
      <c r="Y64" s="22">
        <v>8</v>
      </c>
      <c r="Z64" s="22">
        <v>2.7</v>
      </c>
      <c r="AA64" s="17" t="s">
        <v>51</v>
      </c>
      <c r="AB64" s="26">
        <v>10418</v>
      </c>
      <c r="AC64" s="26">
        <v>1016</v>
      </c>
      <c r="AD64" s="26"/>
      <c r="AE64" s="27">
        <v>73000</v>
      </c>
      <c r="AF64" s="27">
        <v>7100</v>
      </c>
      <c r="AG64" s="27">
        <v>316200</v>
      </c>
      <c r="AH64" s="27">
        <v>36100</v>
      </c>
      <c r="AI64" s="27">
        <v>2009</v>
      </c>
      <c r="AJ64" s="17">
        <v>0</v>
      </c>
      <c r="AK64" s="34">
        <v>1</v>
      </c>
      <c r="AL64" s="17" t="s">
        <v>109</v>
      </c>
    </row>
    <row r="65" spans="1:46" ht="12.75" customHeight="1">
      <c r="A65" s="42" t="s">
        <v>110</v>
      </c>
      <c r="B65" s="33" t="s">
        <v>111</v>
      </c>
      <c r="C65" s="27">
        <v>11</v>
      </c>
      <c r="D65" s="20" t="s">
        <v>196</v>
      </c>
      <c r="E65" s="33">
        <v>3000</v>
      </c>
      <c r="F65" s="33" t="s">
        <v>61</v>
      </c>
      <c r="G65" s="33" t="s">
        <v>62</v>
      </c>
      <c r="H65" s="33" t="s">
        <v>42</v>
      </c>
      <c r="I65" s="17" t="b">
        <v>0</v>
      </c>
      <c r="J65" s="17" t="s">
        <v>64</v>
      </c>
      <c r="K65" s="21" t="str">
        <f t="shared" ref="K65:K283" si="3">CONCATENATE("https://version2.ice-d.org/antarctica/sample/", A65, "/")</f>
        <v>https://version2.ice-d.org/antarctica/sample/K2020-18010904/</v>
      </c>
      <c r="L65" s="42" t="s">
        <v>112</v>
      </c>
      <c r="M65" s="204" t="s">
        <v>44</v>
      </c>
      <c r="O65" s="17" t="s">
        <v>63</v>
      </c>
      <c r="P65" s="22">
        <v>-69.430300000000003</v>
      </c>
      <c r="Q65" s="22">
        <v>39.5944</v>
      </c>
      <c r="R65" s="22"/>
      <c r="S65" s="22">
        <v>400</v>
      </c>
      <c r="T65" s="22">
        <v>0</v>
      </c>
      <c r="U65" s="23">
        <v>400</v>
      </c>
      <c r="V65" s="24" t="s">
        <v>2129</v>
      </c>
      <c r="W65" s="25" t="s">
        <v>2351</v>
      </c>
      <c r="X65" s="22">
        <f t="shared" si="2"/>
        <v>400</v>
      </c>
      <c r="Y65" s="22">
        <v>5</v>
      </c>
      <c r="Z65" s="22">
        <v>2.7</v>
      </c>
      <c r="AA65" s="17" t="s">
        <v>73</v>
      </c>
      <c r="AB65" s="26">
        <v>7925</v>
      </c>
      <c r="AC65" s="26">
        <v>370</v>
      </c>
      <c r="AD65" s="26">
        <v>778</v>
      </c>
      <c r="AE65" s="27">
        <v>68100</v>
      </c>
      <c r="AF65" s="27">
        <v>2300</v>
      </c>
      <c r="AG65" s="27">
        <v>442400</v>
      </c>
      <c r="AH65" s="27">
        <v>20600</v>
      </c>
      <c r="AI65" s="17">
        <v>2018</v>
      </c>
      <c r="AJ65" s="17">
        <v>1</v>
      </c>
      <c r="AK65" s="17">
        <v>0</v>
      </c>
      <c r="AL65" s="34" t="s">
        <v>113</v>
      </c>
    </row>
    <row r="66" spans="1:46" ht="12.75" customHeight="1">
      <c r="A66" s="42" t="s">
        <v>110</v>
      </c>
      <c r="B66" s="33" t="s">
        <v>111</v>
      </c>
      <c r="C66" s="27">
        <v>11</v>
      </c>
      <c r="D66" s="20" t="s">
        <v>196</v>
      </c>
      <c r="E66" s="33">
        <v>3000</v>
      </c>
      <c r="F66" s="33" t="s">
        <v>61</v>
      </c>
      <c r="G66" s="33" t="s">
        <v>62</v>
      </c>
      <c r="H66" s="33" t="s">
        <v>42</v>
      </c>
      <c r="I66" s="17" t="b">
        <v>0</v>
      </c>
      <c r="J66" s="17" t="s">
        <v>43</v>
      </c>
      <c r="K66" s="21" t="str">
        <f t="shared" si="3"/>
        <v>https://version2.ice-d.org/antarctica/sample/K2020-18010904/</v>
      </c>
      <c r="L66" s="42" t="s">
        <v>112</v>
      </c>
      <c r="M66" s="155"/>
      <c r="O66" s="17" t="s">
        <v>63</v>
      </c>
      <c r="P66" s="22">
        <v>-69.430300000000003</v>
      </c>
      <c r="Q66" s="22">
        <v>39.5944</v>
      </c>
      <c r="R66" s="22"/>
      <c r="S66" s="22">
        <v>400</v>
      </c>
      <c r="T66" s="22">
        <v>0</v>
      </c>
      <c r="U66" s="23">
        <v>400</v>
      </c>
      <c r="V66" s="24" t="s">
        <v>2129</v>
      </c>
      <c r="W66" s="25" t="s">
        <v>2351</v>
      </c>
      <c r="X66" s="22">
        <f t="shared" si="2"/>
        <v>400</v>
      </c>
      <c r="Y66" s="22">
        <v>5</v>
      </c>
      <c r="Z66" s="22">
        <v>2.7</v>
      </c>
      <c r="AA66" s="17" t="s">
        <v>73</v>
      </c>
      <c r="AB66" s="26">
        <v>8665</v>
      </c>
      <c r="AC66" s="26">
        <v>293</v>
      </c>
      <c r="AD66" s="26">
        <v>590</v>
      </c>
      <c r="AE66" s="27">
        <v>68100</v>
      </c>
      <c r="AF66" s="27">
        <v>2300</v>
      </c>
      <c r="AG66" s="27">
        <v>442400</v>
      </c>
      <c r="AH66" s="27">
        <v>20600</v>
      </c>
      <c r="AI66" s="17">
        <v>2018</v>
      </c>
      <c r="AJ66" s="17">
        <v>1</v>
      </c>
      <c r="AK66" s="17">
        <v>0</v>
      </c>
      <c r="AL66" s="34" t="s">
        <v>113</v>
      </c>
    </row>
    <row r="67" spans="1:46" ht="12.75" customHeight="1">
      <c r="A67" s="42" t="s">
        <v>114</v>
      </c>
      <c r="B67" s="33" t="s">
        <v>111</v>
      </c>
      <c r="C67" s="27">
        <v>11</v>
      </c>
      <c r="D67" s="20" t="s">
        <v>196</v>
      </c>
      <c r="E67" s="33">
        <v>3000</v>
      </c>
      <c r="F67" s="33" t="s">
        <v>61</v>
      </c>
      <c r="G67" s="33" t="s">
        <v>62</v>
      </c>
      <c r="H67" s="33" t="s">
        <v>42</v>
      </c>
      <c r="I67" s="17" t="b">
        <v>0</v>
      </c>
      <c r="J67" s="17" t="s">
        <v>43</v>
      </c>
      <c r="K67" s="21" t="str">
        <f t="shared" si="3"/>
        <v>https://version2.ice-d.org/antarctica/sample/K2020-18010906/</v>
      </c>
      <c r="L67" s="42" t="s">
        <v>112</v>
      </c>
      <c r="M67" s="155"/>
      <c r="O67" s="17" t="s">
        <v>63</v>
      </c>
      <c r="P67" s="22">
        <v>-69.430000000000007</v>
      </c>
      <c r="Q67" s="22">
        <v>39.598700000000001</v>
      </c>
      <c r="R67" s="22"/>
      <c r="S67" s="22">
        <v>362</v>
      </c>
      <c r="T67" s="22">
        <v>0</v>
      </c>
      <c r="U67" s="23">
        <v>400</v>
      </c>
      <c r="V67" s="24" t="s">
        <v>2129</v>
      </c>
      <c r="W67" s="25" t="s">
        <v>2351</v>
      </c>
      <c r="X67" s="22">
        <f t="shared" si="2"/>
        <v>362</v>
      </c>
      <c r="Y67" s="22">
        <v>4</v>
      </c>
      <c r="Z67" s="22">
        <v>2.7</v>
      </c>
      <c r="AA67" s="17" t="s">
        <v>73</v>
      </c>
      <c r="AB67" s="26">
        <v>7511</v>
      </c>
      <c r="AC67" s="26">
        <v>315</v>
      </c>
      <c r="AD67" s="26">
        <v>544</v>
      </c>
      <c r="AE67" s="27">
        <v>57400</v>
      </c>
      <c r="AF67" s="27">
        <v>2400</v>
      </c>
      <c r="AG67" s="27">
        <v>434800</v>
      </c>
      <c r="AH67" s="27">
        <v>18300</v>
      </c>
      <c r="AI67" s="17">
        <v>2018</v>
      </c>
      <c r="AJ67" s="17">
        <v>1</v>
      </c>
      <c r="AK67" s="17">
        <v>0</v>
      </c>
      <c r="AL67" s="34" t="s">
        <v>113</v>
      </c>
    </row>
    <row r="68" spans="1:46" ht="12.75" customHeight="1">
      <c r="A68" s="42" t="s">
        <v>114</v>
      </c>
      <c r="B68" s="33" t="s">
        <v>111</v>
      </c>
      <c r="C68" s="27">
        <v>11</v>
      </c>
      <c r="D68" s="20" t="s">
        <v>196</v>
      </c>
      <c r="E68" s="33">
        <v>3000</v>
      </c>
      <c r="F68" s="33" t="s">
        <v>61</v>
      </c>
      <c r="G68" s="33" t="s">
        <v>62</v>
      </c>
      <c r="H68" s="33" t="s">
        <v>42</v>
      </c>
      <c r="I68" s="17" t="b">
        <v>0</v>
      </c>
      <c r="J68" s="17" t="s">
        <v>64</v>
      </c>
      <c r="K68" s="21" t="str">
        <f t="shared" si="3"/>
        <v>https://version2.ice-d.org/antarctica/sample/K2020-18010906/</v>
      </c>
      <c r="L68" s="42" t="s">
        <v>112</v>
      </c>
      <c r="M68" s="155"/>
      <c r="O68" s="17" t="s">
        <v>63</v>
      </c>
      <c r="P68" s="22">
        <v>-69.430000000000007</v>
      </c>
      <c r="Q68" s="22">
        <v>39.598700000000001</v>
      </c>
      <c r="R68" s="22"/>
      <c r="S68" s="22">
        <v>362</v>
      </c>
      <c r="T68" s="22">
        <v>0</v>
      </c>
      <c r="U68" s="23">
        <v>400</v>
      </c>
      <c r="V68" s="24" t="s">
        <v>2129</v>
      </c>
      <c r="W68" s="25" t="s">
        <v>2351</v>
      </c>
      <c r="X68" s="22">
        <f t="shared" si="2"/>
        <v>362</v>
      </c>
      <c r="Y68" s="22">
        <v>4</v>
      </c>
      <c r="Z68" s="22">
        <v>2.7</v>
      </c>
      <c r="AA68" s="17" t="s">
        <v>73</v>
      </c>
      <c r="AB68" s="26">
        <v>7995</v>
      </c>
      <c r="AC68" s="26">
        <v>338</v>
      </c>
      <c r="AD68" s="26">
        <v>769</v>
      </c>
      <c r="AE68" s="27">
        <v>57400</v>
      </c>
      <c r="AF68" s="27">
        <v>2400</v>
      </c>
      <c r="AG68" s="27">
        <v>434800</v>
      </c>
      <c r="AH68" s="27">
        <v>18300</v>
      </c>
      <c r="AI68" s="17">
        <v>2018</v>
      </c>
      <c r="AJ68" s="17">
        <v>1</v>
      </c>
      <c r="AK68" s="17">
        <v>0</v>
      </c>
      <c r="AL68" s="34" t="s">
        <v>113</v>
      </c>
    </row>
    <row r="69" spans="1:46" ht="12.75" customHeight="1">
      <c r="A69" s="42" t="s">
        <v>115</v>
      </c>
      <c r="B69" s="33" t="s">
        <v>111</v>
      </c>
      <c r="C69" s="27">
        <v>11</v>
      </c>
      <c r="D69" s="20" t="s">
        <v>196</v>
      </c>
      <c r="E69" s="33">
        <v>3000</v>
      </c>
      <c r="F69" s="33" t="s">
        <v>61</v>
      </c>
      <c r="G69" s="33" t="s">
        <v>62</v>
      </c>
      <c r="H69" s="33" t="s">
        <v>42</v>
      </c>
      <c r="I69" s="17" t="b">
        <v>0</v>
      </c>
      <c r="J69" s="17" t="s">
        <v>43</v>
      </c>
      <c r="K69" s="21" t="str">
        <f t="shared" si="3"/>
        <v>https://version2.ice-d.org/antarctica/sample/K2020-18010911/</v>
      </c>
      <c r="L69" s="42" t="s">
        <v>112</v>
      </c>
      <c r="M69" s="155"/>
      <c r="O69" s="17" t="s">
        <v>63</v>
      </c>
      <c r="P69" s="22">
        <v>-69.430199999999999</v>
      </c>
      <c r="Q69" s="22">
        <v>39.604100000000003</v>
      </c>
      <c r="R69" s="22"/>
      <c r="S69" s="22">
        <v>296</v>
      </c>
      <c r="T69" s="22">
        <v>0</v>
      </c>
      <c r="U69" s="23">
        <v>400</v>
      </c>
      <c r="V69" s="24" t="s">
        <v>2129</v>
      </c>
      <c r="W69" s="25" t="s">
        <v>2351</v>
      </c>
      <c r="X69" s="22">
        <f t="shared" si="2"/>
        <v>296</v>
      </c>
      <c r="Y69" s="22">
        <v>5</v>
      </c>
      <c r="Z69" s="22">
        <v>2.7</v>
      </c>
      <c r="AA69" s="17" t="s">
        <v>73</v>
      </c>
      <c r="AB69" s="26">
        <v>7802</v>
      </c>
      <c r="AC69" s="26">
        <v>340</v>
      </c>
      <c r="AD69" s="26">
        <v>573</v>
      </c>
      <c r="AE69" s="27">
        <v>55200</v>
      </c>
      <c r="AF69" s="27">
        <v>2400</v>
      </c>
      <c r="AG69" s="28"/>
      <c r="AH69" s="28"/>
      <c r="AI69" s="17">
        <v>2018</v>
      </c>
      <c r="AJ69" s="17">
        <v>1</v>
      </c>
      <c r="AK69" s="17">
        <v>0</v>
      </c>
      <c r="AL69" s="34" t="s">
        <v>113</v>
      </c>
    </row>
    <row r="70" spans="1:46" ht="12.75" customHeight="1">
      <c r="A70" s="42" t="s">
        <v>116</v>
      </c>
      <c r="B70" s="33" t="s">
        <v>111</v>
      </c>
      <c r="C70" s="27">
        <v>11</v>
      </c>
      <c r="D70" s="20" t="s">
        <v>196</v>
      </c>
      <c r="E70" s="33">
        <v>3000</v>
      </c>
      <c r="F70" s="33" t="s">
        <v>61</v>
      </c>
      <c r="G70" s="33" t="s">
        <v>62</v>
      </c>
      <c r="H70" s="33" t="s">
        <v>42</v>
      </c>
      <c r="I70" s="17" t="b">
        <v>0</v>
      </c>
      <c r="J70" s="17" t="s">
        <v>43</v>
      </c>
      <c r="K70" s="21" t="str">
        <f t="shared" si="3"/>
        <v>https://version2.ice-d.org/antarctica/sample/K2020-18010914/</v>
      </c>
      <c r="L70" s="42" t="s">
        <v>112</v>
      </c>
      <c r="M70" s="155"/>
      <c r="O70" s="17" t="s">
        <v>63</v>
      </c>
      <c r="P70" s="22">
        <v>-69.429699999999997</v>
      </c>
      <c r="Q70" s="22">
        <v>39.606099999999998</v>
      </c>
      <c r="R70" s="22"/>
      <c r="S70" s="22">
        <v>244</v>
      </c>
      <c r="T70" s="22">
        <v>0</v>
      </c>
      <c r="U70" s="23">
        <v>400</v>
      </c>
      <c r="V70" s="24" t="s">
        <v>2129</v>
      </c>
      <c r="W70" s="25" t="s">
        <v>2351</v>
      </c>
      <c r="X70" s="22">
        <f t="shared" si="2"/>
        <v>244</v>
      </c>
      <c r="Y70" s="22">
        <v>3.5</v>
      </c>
      <c r="Z70" s="22">
        <v>2.7</v>
      </c>
      <c r="AA70" s="17" t="s">
        <v>73</v>
      </c>
      <c r="AB70" s="26">
        <v>7275</v>
      </c>
      <c r="AC70" s="26">
        <v>383</v>
      </c>
      <c r="AD70" s="26">
        <v>576</v>
      </c>
      <c r="AE70" s="27">
        <v>49500</v>
      </c>
      <c r="AF70" s="27">
        <v>2600</v>
      </c>
      <c r="AG70" s="28"/>
      <c r="AH70" s="28"/>
      <c r="AI70" s="17">
        <v>2018</v>
      </c>
      <c r="AJ70" s="17">
        <v>1</v>
      </c>
      <c r="AK70" s="17">
        <v>0</v>
      </c>
      <c r="AL70" s="34" t="s">
        <v>113</v>
      </c>
    </row>
    <row r="71" spans="1:46" ht="12.75" customHeight="1">
      <c r="A71" s="42" t="s">
        <v>117</v>
      </c>
      <c r="B71" s="33" t="s">
        <v>111</v>
      </c>
      <c r="C71" s="27">
        <v>11</v>
      </c>
      <c r="D71" s="20" t="s">
        <v>196</v>
      </c>
      <c r="E71" s="33">
        <v>3000</v>
      </c>
      <c r="F71" s="33" t="s">
        <v>61</v>
      </c>
      <c r="G71" s="33" t="s">
        <v>62</v>
      </c>
      <c r="H71" s="33" t="s">
        <v>42</v>
      </c>
      <c r="I71" s="17" t="b">
        <v>0</v>
      </c>
      <c r="J71" s="17" t="s">
        <v>64</v>
      </c>
      <c r="K71" s="21" t="str">
        <f t="shared" si="3"/>
        <v>https://version2.ice-d.org/antarctica/sample/K2020-18010916/</v>
      </c>
      <c r="L71" s="42" t="s">
        <v>112</v>
      </c>
      <c r="M71" s="155"/>
      <c r="O71" s="17" t="s">
        <v>63</v>
      </c>
      <c r="P71" s="22">
        <v>-69.428799999999995</v>
      </c>
      <c r="Q71" s="22">
        <v>39.608699999999999</v>
      </c>
      <c r="R71" s="22"/>
      <c r="S71" s="22">
        <v>194</v>
      </c>
      <c r="T71" s="22">
        <v>0</v>
      </c>
      <c r="U71" s="23">
        <v>400</v>
      </c>
      <c r="V71" s="24" t="s">
        <v>2129</v>
      </c>
      <c r="W71" s="25" t="s">
        <v>2351</v>
      </c>
      <c r="X71" s="22">
        <f t="shared" si="2"/>
        <v>194</v>
      </c>
      <c r="Y71" s="22">
        <v>4.5</v>
      </c>
      <c r="Z71" s="22">
        <v>2.7</v>
      </c>
      <c r="AA71" s="17" t="s">
        <v>73</v>
      </c>
      <c r="AB71" s="26">
        <v>7000</v>
      </c>
      <c r="AC71" s="26">
        <v>302</v>
      </c>
      <c r="AD71" s="26">
        <v>675</v>
      </c>
      <c r="AE71" s="27">
        <v>45000</v>
      </c>
      <c r="AF71" s="27">
        <v>2000</v>
      </c>
      <c r="AG71" s="27">
        <v>314100</v>
      </c>
      <c r="AH71" s="27">
        <v>13500</v>
      </c>
      <c r="AI71" s="17">
        <v>2018</v>
      </c>
      <c r="AJ71" s="17">
        <v>1</v>
      </c>
      <c r="AK71" s="17">
        <v>0</v>
      </c>
      <c r="AL71" s="34" t="s">
        <v>113</v>
      </c>
    </row>
    <row r="72" spans="1:46" ht="12.75" customHeight="1">
      <c r="A72" s="42" t="s">
        <v>117</v>
      </c>
      <c r="B72" s="33" t="s">
        <v>111</v>
      </c>
      <c r="C72" s="27">
        <v>11</v>
      </c>
      <c r="D72" s="20" t="s">
        <v>196</v>
      </c>
      <c r="E72" s="33">
        <v>3000</v>
      </c>
      <c r="F72" s="33" t="s">
        <v>61</v>
      </c>
      <c r="G72" s="33" t="s">
        <v>62</v>
      </c>
      <c r="H72" s="33" t="s">
        <v>42</v>
      </c>
      <c r="I72" s="17" t="b">
        <v>0</v>
      </c>
      <c r="J72" s="17" t="s">
        <v>43</v>
      </c>
      <c r="K72" s="21" t="str">
        <f t="shared" si="3"/>
        <v>https://version2.ice-d.org/antarctica/sample/K2020-18010916/</v>
      </c>
      <c r="L72" s="42" t="s">
        <v>112</v>
      </c>
      <c r="M72" s="155"/>
      <c r="O72" s="17" t="s">
        <v>63</v>
      </c>
      <c r="P72" s="22">
        <v>-69.428799999999995</v>
      </c>
      <c r="Q72" s="22">
        <v>39.608699999999999</v>
      </c>
      <c r="R72" s="22"/>
      <c r="S72" s="22">
        <v>194</v>
      </c>
      <c r="T72" s="22">
        <v>0</v>
      </c>
      <c r="U72" s="23">
        <v>400</v>
      </c>
      <c r="V72" s="24" t="s">
        <v>2129</v>
      </c>
      <c r="W72" s="25" t="s">
        <v>2351</v>
      </c>
      <c r="X72" s="22">
        <f t="shared" si="2"/>
        <v>194</v>
      </c>
      <c r="Y72" s="22">
        <v>4.5</v>
      </c>
      <c r="Z72" s="22">
        <v>2.7</v>
      </c>
      <c r="AA72" s="17" t="s">
        <v>73</v>
      </c>
      <c r="AB72" s="26">
        <v>7130</v>
      </c>
      <c r="AC72" s="26">
        <v>317</v>
      </c>
      <c r="AD72" s="26">
        <v>528</v>
      </c>
      <c r="AE72" s="27">
        <v>45000</v>
      </c>
      <c r="AF72" s="27">
        <v>2000</v>
      </c>
      <c r="AG72" s="27">
        <v>314100</v>
      </c>
      <c r="AH72" s="27">
        <v>13500</v>
      </c>
      <c r="AI72" s="17">
        <v>2018</v>
      </c>
      <c r="AJ72" s="17">
        <v>1</v>
      </c>
      <c r="AK72" s="17">
        <v>0</v>
      </c>
      <c r="AL72" s="34" t="s">
        <v>113</v>
      </c>
    </row>
    <row r="73" spans="1:46" ht="15.75" customHeight="1">
      <c r="A73" s="42" t="s">
        <v>118</v>
      </c>
      <c r="B73" s="33" t="s">
        <v>111</v>
      </c>
      <c r="C73" s="27">
        <v>11</v>
      </c>
      <c r="D73" s="20" t="s">
        <v>196</v>
      </c>
      <c r="E73" s="33">
        <v>3000</v>
      </c>
      <c r="F73" s="33" t="s">
        <v>61</v>
      </c>
      <c r="G73" s="33" t="s">
        <v>62</v>
      </c>
      <c r="H73" s="33" t="s">
        <v>42</v>
      </c>
      <c r="I73" s="17" t="b">
        <v>0</v>
      </c>
      <c r="J73" s="17" t="s">
        <v>43</v>
      </c>
      <c r="K73" s="21" t="str">
        <f t="shared" si="3"/>
        <v>https://version2.ice-d.org/antarctica/sample/K2020-18010919/</v>
      </c>
      <c r="L73" s="42" t="s">
        <v>112</v>
      </c>
      <c r="M73" s="155"/>
      <c r="O73" s="17" t="s">
        <v>63</v>
      </c>
      <c r="P73" s="22">
        <v>-69.429599999999994</v>
      </c>
      <c r="Q73" s="22">
        <v>39.615099999999998</v>
      </c>
      <c r="R73" s="22"/>
      <c r="S73" s="22">
        <v>146</v>
      </c>
      <c r="T73" s="22">
        <v>0</v>
      </c>
      <c r="U73" s="23">
        <v>400</v>
      </c>
      <c r="V73" s="24" t="s">
        <v>2129</v>
      </c>
      <c r="W73" s="25" t="s">
        <v>2351</v>
      </c>
      <c r="X73" s="22">
        <f t="shared" si="2"/>
        <v>146</v>
      </c>
      <c r="Y73" s="22">
        <v>3</v>
      </c>
      <c r="Z73" s="22">
        <v>2.7</v>
      </c>
      <c r="AA73" s="17" t="s">
        <v>73</v>
      </c>
      <c r="AB73" s="26">
        <v>6748</v>
      </c>
      <c r="AC73" s="26">
        <v>309</v>
      </c>
      <c r="AD73" s="26">
        <v>505</v>
      </c>
      <c r="AE73" s="27">
        <v>41500</v>
      </c>
      <c r="AF73" s="27">
        <v>1900</v>
      </c>
      <c r="AG73" s="27">
        <v>357500</v>
      </c>
      <c r="AH73" s="27">
        <v>14800</v>
      </c>
      <c r="AI73" s="17">
        <v>2018</v>
      </c>
      <c r="AJ73" s="17">
        <v>1</v>
      </c>
      <c r="AK73" s="17">
        <v>0</v>
      </c>
      <c r="AL73" s="34" t="s">
        <v>113</v>
      </c>
    </row>
    <row r="74" spans="1:46" ht="15.75" customHeight="1">
      <c r="A74" s="42" t="s">
        <v>118</v>
      </c>
      <c r="B74" s="33" t="s">
        <v>111</v>
      </c>
      <c r="C74" s="27">
        <v>11</v>
      </c>
      <c r="D74" s="20" t="s">
        <v>196</v>
      </c>
      <c r="E74" s="33">
        <v>3000</v>
      </c>
      <c r="F74" s="33" t="s">
        <v>61</v>
      </c>
      <c r="G74" s="33" t="s">
        <v>62</v>
      </c>
      <c r="H74" s="33" t="s">
        <v>42</v>
      </c>
      <c r="I74" s="17" t="b">
        <v>0</v>
      </c>
      <c r="J74" s="17" t="s">
        <v>64</v>
      </c>
      <c r="K74" s="21" t="str">
        <f t="shared" si="3"/>
        <v>https://version2.ice-d.org/antarctica/sample/K2020-18010919/</v>
      </c>
      <c r="L74" s="42" t="s">
        <v>112</v>
      </c>
      <c r="M74" s="155"/>
      <c r="O74" s="17" t="s">
        <v>63</v>
      </c>
      <c r="P74" s="22">
        <v>-69.429599999999994</v>
      </c>
      <c r="Q74" s="22">
        <v>39.615099999999998</v>
      </c>
      <c r="R74" s="22"/>
      <c r="S74" s="22">
        <v>146</v>
      </c>
      <c r="T74" s="22">
        <v>0</v>
      </c>
      <c r="U74" s="23">
        <v>400</v>
      </c>
      <c r="V74" s="24" t="s">
        <v>2129</v>
      </c>
      <c r="W74" s="25" t="s">
        <v>2351</v>
      </c>
      <c r="X74" s="22">
        <f t="shared" si="2"/>
        <v>146</v>
      </c>
      <c r="Y74" s="22">
        <v>3</v>
      </c>
      <c r="Z74" s="22">
        <v>2.7</v>
      </c>
      <c r="AA74" s="17" t="s">
        <v>73</v>
      </c>
      <c r="AB74" s="26">
        <v>8108</v>
      </c>
      <c r="AC74" s="26">
        <v>337</v>
      </c>
      <c r="AD74" s="26">
        <v>777</v>
      </c>
      <c r="AE74" s="27">
        <v>41500</v>
      </c>
      <c r="AF74" s="27">
        <v>1900</v>
      </c>
      <c r="AG74" s="27">
        <v>357500</v>
      </c>
      <c r="AH74" s="27">
        <v>14800</v>
      </c>
      <c r="AI74" s="17">
        <v>2018</v>
      </c>
      <c r="AJ74" s="17">
        <v>1</v>
      </c>
      <c r="AK74" s="17">
        <v>0</v>
      </c>
      <c r="AL74" s="34" t="s">
        <v>113</v>
      </c>
    </row>
    <row r="75" spans="1:46" ht="15.75" customHeight="1">
      <c r="A75" s="42" t="s">
        <v>119</v>
      </c>
      <c r="B75" s="33" t="s">
        <v>111</v>
      </c>
      <c r="C75" s="27">
        <v>11</v>
      </c>
      <c r="D75" s="20" t="s">
        <v>196</v>
      </c>
      <c r="E75" s="33">
        <v>3000</v>
      </c>
      <c r="F75" s="33" t="s">
        <v>61</v>
      </c>
      <c r="G75" s="33" t="s">
        <v>62</v>
      </c>
      <c r="H75" s="33" t="s">
        <v>42</v>
      </c>
      <c r="I75" s="17" t="b">
        <v>0</v>
      </c>
      <c r="J75" s="17" t="s">
        <v>43</v>
      </c>
      <c r="K75" s="21" t="str">
        <f t="shared" si="3"/>
        <v>https://version2.ice-d.org/antarctica/sample/K2020-18010924/</v>
      </c>
      <c r="L75" s="42" t="s">
        <v>112</v>
      </c>
      <c r="M75" s="155"/>
      <c r="O75" s="17" t="s">
        <v>63</v>
      </c>
      <c r="P75" s="22">
        <v>-69.430099999999996</v>
      </c>
      <c r="Q75" s="22">
        <v>39.619599999999998</v>
      </c>
      <c r="R75" s="22"/>
      <c r="S75" s="22">
        <v>105</v>
      </c>
      <c r="T75" s="22">
        <v>0</v>
      </c>
      <c r="U75" s="23">
        <v>400</v>
      </c>
      <c r="V75" s="24" t="s">
        <v>2129</v>
      </c>
      <c r="W75" s="25" t="s">
        <v>2351</v>
      </c>
      <c r="X75" s="22">
        <f t="shared" si="2"/>
        <v>105</v>
      </c>
      <c r="Y75" s="22">
        <v>4</v>
      </c>
      <c r="Z75" s="22">
        <v>2.7</v>
      </c>
      <c r="AA75" s="17" t="s">
        <v>73</v>
      </c>
      <c r="AB75" s="26">
        <v>6454</v>
      </c>
      <c r="AC75" s="26">
        <v>205</v>
      </c>
      <c r="AD75" s="26">
        <v>433</v>
      </c>
      <c r="AE75" s="27">
        <v>37800</v>
      </c>
      <c r="AF75" s="27">
        <v>1200</v>
      </c>
      <c r="AG75" s="27">
        <v>269800</v>
      </c>
      <c r="AH75" s="27">
        <v>9100</v>
      </c>
      <c r="AI75" s="17">
        <v>2018</v>
      </c>
      <c r="AJ75" s="17">
        <v>1</v>
      </c>
      <c r="AK75" s="17">
        <v>0</v>
      </c>
      <c r="AL75" s="34" t="s">
        <v>113</v>
      </c>
    </row>
    <row r="76" spans="1:46" ht="15.75" customHeight="1">
      <c r="A76" s="42" t="s">
        <v>119</v>
      </c>
      <c r="B76" s="33" t="s">
        <v>111</v>
      </c>
      <c r="C76" s="27">
        <v>11</v>
      </c>
      <c r="D76" s="20" t="s">
        <v>196</v>
      </c>
      <c r="E76" s="33">
        <v>3000</v>
      </c>
      <c r="F76" s="33" t="s">
        <v>61</v>
      </c>
      <c r="G76" s="33" t="s">
        <v>62</v>
      </c>
      <c r="H76" s="33" t="s">
        <v>42</v>
      </c>
      <c r="I76" s="17" t="b">
        <v>0</v>
      </c>
      <c r="J76" s="17" t="s">
        <v>64</v>
      </c>
      <c r="K76" s="21" t="str">
        <f t="shared" si="3"/>
        <v>https://version2.ice-d.org/antarctica/sample/K2020-18010924/</v>
      </c>
      <c r="L76" s="42" t="s">
        <v>112</v>
      </c>
      <c r="M76" s="155"/>
      <c r="O76" s="17" t="s">
        <v>63</v>
      </c>
      <c r="P76" s="22">
        <v>-69.430099999999996</v>
      </c>
      <c r="Q76" s="22">
        <v>39.619599999999998</v>
      </c>
      <c r="R76" s="22"/>
      <c r="S76" s="22">
        <v>105</v>
      </c>
      <c r="T76" s="22">
        <v>0</v>
      </c>
      <c r="U76" s="23">
        <v>400</v>
      </c>
      <c r="V76" s="24" t="s">
        <v>2129</v>
      </c>
      <c r="W76" s="25" t="s">
        <v>2351</v>
      </c>
      <c r="X76" s="22">
        <f t="shared" si="2"/>
        <v>105</v>
      </c>
      <c r="Y76" s="22">
        <v>4</v>
      </c>
      <c r="Z76" s="22">
        <v>2.7</v>
      </c>
      <c r="AA76" s="17" t="s">
        <v>73</v>
      </c>
      <c r="AB76" s="26">
        <v>6467</v>
      </c>
      <c r="AC76" s="26">
        <v>219</v>
      </c>
      <c r="AD76" s="26">
        <v>599</v>
      </c>
      <c r="AE76" s="27">
        <v>37800</v>
      </c>
      <c r="AF76" s="27">
        <v>1200</v>
      </c>
      <c r="AG76" s="27">
        <v>269800</v>
      </c>
      <c r="AH76" s="27">
        <v>9100</v>
      </c>
      <c r="AI76" s="17">
        <v>2018</v>
      </c>
      <c r="AJ76" s="17">
        <v>1</v>
      </c>
      <c r="AK76" s="17">
        <v>0</v>
      </c>
      <c r="AL76" s="34" t="s">
        <v>113</v>
      </c>
    </row>
    <row r="77" spans="1:46" ht="15.75" customHeight="1">
      <c r="A77" s="42" t="s">
        <v>120</v>
      </c>
      <c r="B77" s="33" t="s">
        <v>111</v>
      </c>
      <c r="C77" s="27">
        <v>11</v>
      </c>
      <c r="D77" s="20" t="s">
        <v>196</v>
      </c>
      <c r="E77" s="33">
        <v>3000</v>
      </c>
      <c r="F77" s="33" t="s">
        <v>61</v>
      </c>
      <c r="G77" s="33" t="s">
        <v>62</v>
      </c>
      <c r="H77" s="33" t="s">
        <v>42</v>
      </c>
      <c r="I77" s="17" t="b">
        <v>0</v>
      </c>
      <c r="J77" s="17" t="s">
        <v>43</v>
      </c>
      <c r="K77" s="21" t="str">
        <f t="shared" si="3"/>
        <v>https://version2.ice-d.org/antarctica/sample/K2020-18010929/</v>
      </c>
      <c r="L77" s="42" t="s">
        <v>112</v>
      </c>
      <c r="M77" s="155"/>
      <c r="O77" s="17" t="s">
        <v>63</v>
      </c>
      <c r="P77" s="22">
        <v>-69.4298</v>
      </c>
      <c r="Q77" s="22">
        <v>39.626600000000003</v>
      </c>
      <c r="R77" s="22"/>
      <c r="S77" s="22">
        <v>47</v>
      </c>
      <c r="T77" s="22">
        <v>0</v>
      </c>
      <c r="U77" s="23">
        <v>400</v>
      </c>
      <c r="V77" s="24" t="s">
        <v>2129</v>
      </c>
      <c r="W77" s="25" t="s">
        <v>2351</v>
      </c>
      <c r="X77" s="22">
        <f t="shared" si="2"/>
        <v>47</v>
      </c>
      <c r="Y77" s="22">
        <v>4.5</v>
      </c>
      <c r="Z77" s="22">
        <v>2.7</v>
      </c>
      <c r="AA77" s="17" t="s">
        <v>73</v>
      </c>
      <c r="AB77" s="26">
        <v>7173</v>
      </c>
      <c r="AC77" s="26">
        <v>253</v>
      </c>
      <c r="AD77" s="26">
        <v>494</v>
      </c>
      <c r="AE77" s="27">
        <v>39700</v>
      </c>
      <c r="AF77" s="27">
        <v>1400</v>
      </c>
      <c r="AG77" s="27">
        <v>288000</v>
      </c>
      <c r="AH77" s="27">
        <v>16500</v>
      </c>
      <c r="AI77" s="17">
        <v>2018</v>
      </c>
      <c r="AJ77" s="17">
        <v>1</v>
      </c>
      <c r="AK77" s="17">
        <v>0</v>
      </c>
      <c r="AL77" s="34" t="s">
        <v>113</v>
      </c>
      <c r="AN77" s="21"/>
      <c r="AT77" s="21"/>
    </row>
    <row r="78" spans="1:46" ht="15.75" customHeight="1">
      <c r="A78" s="42" t="s">
        <v>120</v>
      </c>
      <c r="B78" s="33" t="s">
        <v>111</v>
      </c>
      <c r="C78" s="27">
        <v>11</v>
      </c>
      <c r="D78" s="20" t="s">
        <v>196</v>
      </c>
      <c r="E78" s="33">
        <v>3000</v>
      </c>
      <c r="F78" s="33" t="s">
        <v>61</v>
      </c>
      <c r="G78" s="33" t="s">
        <v>62</v>
      </c>
      <c r="H78" s="33" t="s">
        <v>42</v>
      </c>
      <c r="I78" s="17" t="b">
        <v>0</v>
      </c>
      <c r="J78" s="17" t="s">
        <v>64</v>
      </c>
      <c r="K78" s="21" t="str">
        <f t="shared" si="3"/>
        <v>https://version2.ice-d.org/antarctica/sample/K2020-18010929/</v>
      </c>
      <c r="L78" s="42" t="s">
        <v>112</v>
      </c>
      <c r="M78" s="155"/>
      <c r="O78" s="17" t="s">
        <v>63</v>
      </c>
      <c r="P78" s="22">
        <v>-69.4298</v>
      </c>
      <c r="Q78" s="22">
        <v>39.626600000000003</v>
      </c>
      <c r="R78" s="22"/>
      <c r="S78" s="22">
        <v>47</v>
      </c>
      <c r="T78" s="22">
        <v>0</v>
      </c>
      <c r="U78" s="23">
        <v>400</v>
      </c>
      <c r="V78" s="24" t="s">
        <v>2129</v>
      </c>
      <c r="W78" s="25" t="s">
        <v>2351</v>
      </c>
      <c r="X78" s="22">
        <f t="shared" si="2"/>
        <v>47</v>
      </c>
      <c r="Y78" s="22">
        <v>4.5</v>
      </c>
      <c r="Z78" s="22">
        <v>2.7</v>
      </c>
      <c r="AA78" s="17" t="s">
        <v>73</v>
      </c>
      <c r="AB78" s="26">
        <v>7294</v>
      </c>
      <c r="AC78" s="26">
        <v>419</v>
      </c>
      <c r="AD78" s="26">
        <v>756</v>
      </c>
      <c r="AE78" s="27">
        <v>39700</v>
      </c>
      <c r="AF78" s="27">
        <v>1400</v>
      </c>
      <c r="AG78" s="27">
        <v>288000</v>
      </c>
      <c r="AH78" s="27">
        <v>16500</v>
      </c>
      <c r="AI78" s="17">
        <v>2018</v>
      </c>
      <c r="AJ78" s="17">
        <v>1</v>
      </c>
      <c r="AK78" s="17">
        <v>0</v>
      </c>
      <c r="AL78" s="34" t="s">
        <v>113</v>
      </c>
      <c r="AN78" s="21"/>
      <c r="AT78" s="21"/>
    </row>
    <row r="79" spans="1:46" ht="12.75" customHeight="1">
      <c r="A79" s="43" t="s">
        <v>121</v>
      </c>
      <c r="B79" s="19" t="s">
        <v>122</v>
      </c>
      <c r="C79" s="17">
        <v>12</v>
      </c>
      <c r="D79" s="20" t="s">
        <v>196</v>
      </c>
      <c r="E79" s="19">
        <v>0</v>
      </c>
      <c r="F79" s="33" t="s">
        <v>123</v>
      </c>
      <c r="G79" s="33" t="s">
        <v>124</v>
      </c>
      <c r="H79" s="33" t="s">
        <v>42</v>
      </c>
      <c r="I79" s="17" t="b">
        <v>0</v>
      </c>
      <c r="J79" s="17" t="s">
        <v>64</v>
      </c>
      <c r="K79" s="21" t="str">
        <f t="shared" si="3"/>
        <v>https://version2.ice-d.org/antarctica/sample/MDML-KUL03/</v>
      </c>
      <c r="L79" s="43" t="s">
        <v>39</v>
      </c>
      <c r="M79" s="178" t="s">
        <v>44</v>
      </c>
      <c r="O79" s="17" t="s">
        <v>125</v>
      </c>
      <c r="P79" s="22">
        <v>-72.055549999999997</v>
      </c>
      <c r="Q79" s="22">
        <v>-2.6470400000000001</v>
      </c>
      <c r="R79" s="22"/>
      <c r="S79" s="22">
        <v>1351</v>
      </c>
      <c r="T79" s="17">
        <v>1228</v>
      </c>
      <c r="U79" s="23">
        <v>700</v>
      </c>
      <c r="V79" s="24" t="s">
        <v>1839</v>
      </c>
      <c r="W79" s="44" t="s">
        <v>2142</v>
      </c>
      <c r="X79" s="22">
        <f t="shared" si="2"/>
        <v>123</v>
      </c>
      <c r="Y79" s="22">
        <v>6</v>
      </c>
      <c r="Z79" s="22">
        <v>2.7</v>
      </c>
      <c r="AA79" s="17" t="s">
        <v>73</v>
      </c>
      <c r="AB79" s="26">
        <v>10919</v>
      </c>
      <c r="AC79" s="26">
        <v>294</v>
      </c>
      <c r="AD79" s="26">
        <v>989</v>
      </c>
      <c r="AE79" s="27">
        <v>204000</v>
      </c>
      <c r="AF79" s="27">
        <v>5000</v>
      </c>
      <c r="AG79" s="27">
        <v>1421000</v>
      </c>
      <c r="AH79" s="27">
        <v>38000</v>
      </c>
      <c r="AI79" s="17">
        <v>2018</v>
      </c>
      <c r="AJ79" s="17">
        <v>1</v>
      </c>
      <c r="AK79" s="17">
        <v>0</v>
      </c>
    </row>
    <row r="80" spans="1:46" ht="12.75" customHeight="1">
      <c r="A80" s="43" t="s">
        <v>121</v>
      </c>
      <c r="B80" s="19" t="s">
        <v>122</v>
      </c>
      <c r="C80" s="17">
        <v>12</v>
      </c>
      <c r="D80" s="20" t="s">
        <v>196</v>
      </c>
      <c r="E80" s="19">
        <v>0</v>
      </c>
      <c r="F80" s="33" t="s">
        <v>123</v>
      </c>
      <c r="G80" s="33" t="s">
        <v>124</v>
      </c>
      <c r="H80" s="33" t="s">
        <v>42</v>
      </c>
      <c r="I80" s="17" t="b">
        <v>0</v>
      </c>
      <c r="J80" s="17" t="s">
        <v>43</v>
      </c>
      <c r="K80" s="21" t="str">
        <f t="shared" si="3"/>
        <v>https://version2.ice-d.org/antarctica/sample/MDML-KUL03/</v>
      </c>
      <c r="L80" s="43" t="s">
        <v>39</v>
      </c>
      <c r="M80" s="155"/>
      <c r="O80" s="17" t="s">
        <v>125</v>
      </c>
      <c r="P80" s="22">
        <v>-72.055549999999997</v>
      </c>
      <c r="Q80" s="22">
        <v>-2.6470400000000001</v>
      </c>
      <c r="R80" s="22"/>
      <c r="S80" s="22">
        <v>1351</v>
      </c>
      <c r="T80" s="17">
        <v>1228</v>
      </c>
      <c r="U80" s="23">
        <v>700</v>
      </c>
      <c r="V80" s="24" t="s">
        <v>2130</v>
      </c>
      <c r="W80" s="44" t="s">
        <v>2142</v>
      </c>
      <c r="X80" s="22">
        <f t="shared" si="2"/>
        <v>123</v>
      </c>
      <c r="Y80" s="22">
        <v>6</v>
      </c>
      <c r="Z80" s="22">
        <v>2.7</v>
      </c>
      <c r="AA80" s="17" t="s">
        <v>73</v>
      </c>
      <c r="AB80" s="26">
        <v>11010</v>
      </c>
      <c r="AC80" s="26">
        <v>271</v>
      </c>
      <c r="AD80" s="26">
        <v>705</v>
      </c>
      <c r="AE80" s="27">
        <v>204000</v>
      </c>
      <c r="AF80" s="27">
        <v>5000</v>
      </c>
      <c r="AG80" s="27">
        <v>1421000</v>
      </c>
      <c r="AH80" s="27">
        <v>38000</v>
      </c>
      <c r="AI80" s="17">
        <v>2018</v>
      </c>
      <c r="AJ80" s="17">
        <v>1</v>
      </c>
      <c r="AK80" s="17">
        <v>0</v>
      </c>
    </row>
    <row r="81" spans="1:38" ht="12.75" customHeight="1">
      <c r="A81" s="45" t="s">
        <v>126</v>
      </c>
      <c r="B81" s="19" t="s">
        <v>127</v>
      </c>
      <c r="C81" s="17">
        <v>12</v>
      </c>
      <c r="D81" s="20" t="s">
        <v>196</v>
      </c>
      <c r="E81" s="19">
        <v>0</v>
      </c>
      <c r="F81" s="33" t="s">
        <v>123</v>
      </c>
      <c r="G81" s="33" t="s">
        <v>124</v>
      </c>
      <c r="H81" s="33" t="s">
        <v>42</v>
      </c>
      <c r="I81" s="17" t="b">
        <v>0</v>
      </c>
      <c r="J81" s="17" t="s">
        <v>128</v>
      </c>
      <c r="K81" s="21" t="str">
        <f t="shared" si="3"/>
        <v>https://version2.ice-d.org/antarctica/sample/MDML-MID05/</v>
      </c>
      <c r="L81" s="45" t="s">
        <v>39</v>
      </c>
      <c r="M81" s="180"/>
      <c r="O81" s="17" t="s">
        <v>125</v>
      </c>
      <c r="P81" s="22">
        <v>-72.734800000000007</v>
      </c>
      <c r="Q81" s="22">
        <v>-2.0712600000000001</v>
      </c>
      <c r="R81" s="22"/>
      <c r="S81" s="22">
        <v>1551</v>
      </c>
      <c r="T81" s="17">
        <v>1545</v>
      </c>
      <c r="U81" s="23">
        <v>700</v>
      </c>
      <c r="V81" s="24" t="s">
        <v>2131</v>
      </c>
      <c r="W81" s="44" t="s">
        <v>2142</v>
      </c>
      <c r="X81" s="22">
        <f t="shared" si="2"/>
        <v>6</v>
      </c>
      <c r="Y81" s="22">
        <v>6</v>
      </c>
      <c r="Z81" s="22">
        <v>2.7</v>
      </c>
      <c r="AA81" s="17" t="s">
        <v>73</v>
      </c>
      <c r="AB81" s="26">
        <v>899</v>
      </c>
      <c r="AC81" s="26">
        <v>552</v>
      </c>
      <c r="AD81" s="26">
        <v>560</v>
      </c>
      <c r="AE81" s="27">
        <v>60000</v>
      </c>
      <c r="AF81" s="27">
        <v>5000</v>
      </c>
      <c r="AG81" s="27">
        <v>404000</v>
      </c>
      <c r="AH81" s="27">
        <v>17000</v>
      </c>
      <c r="AI81" s="17">
        <v>2018</v>
      </c>
      <c r="AJ81" s="17">
        <v>1</v>
      </c>
      <c r="AK81" s="17">
        <v>1</v>
      </c>
      <c r="AL81" s="17" t="s">
        <v>129</v>
      </c>
    </row>
    <row r="82" spans="1:38" ht="12.75" customHeight="1">
      <c r="A82" s="45" t="s">
        <v>126</v>
      </c>
      <c r="B82" s="19" t="s">
        <v>127</v>
      </c>
      <c r="C82" s="17">
        <v>12</v>
      </c>
      <c r="D82" s="20" t="s">
        <v>196</v>
      </c>
      <c r="E82" s="19">
        <v>0</v>
      </c>
      <c r="F82" s="33" t="s">
        <v>123</v>
      </c>
      <c r="G82" s="33" t="s">
        <v>124</v>
      </c>
      <c r="H82" s="33" t="s">
        <v>42</v>
      </c>
      <c r="I82" s="17" t="b">
        <v>0</v>
      </c>
      <c r="J82" s="17" t="s">
        <v>43</v>
      </c>
      <c r="K82" s="21" t="str">
        <f t="shared" si="3"/>
        <v>https://version2.ice-d.org/antarctica/sample/MDML-MID05/</v>
      </c>
      <c r="L82" s="45" t="s">
        <v>39</v>
      </c>
      <c r="M82" s="155"/>
      <c r="O82" s="17" t="s">
        <v>125</v>
      </c>
      <c r="P82" s="22">
        <v>-72.734800000000007</v>
      </c>
      <c r="Q82" s="22">
        <v>-2.0712600000000001</v>
      </c>
      <c r="R82" s="22"/>
      <c r="S82" s="22">
        <v>1551</v>
      </c>
      <c r="T82" s="17">
        <v>1545</v>
      </c>
      <c r="U82" s="23">
        <v>700</v>
      </c>
      <c r="V82" s="24" t="s">
        <v>2132</v>
      </c>
      <c r="W82" s="44" t="s">
        <v>2142</v>
      </c>
      <c r="X82" s="22">
        <f t="shared" si="2"/>
        <v>6</v>
      </c>
      <c r="Y82" s="22">
        <v>6</v>
      </c>
      <c r="Z82" s="22">
        <v>2.7</v>
      </c>
      <c r="AA82" s="17" t="s">
        <v>73</v>
      </c>
      <c r="AB82" s="26">
        <v>2308</v>
      </c>
      <c r="AC82" s="26">
        <v>133</v>
      </c>
      <c r="AD82" s="26">
        <v>191</v>
      </c>
      <c r="AE82" s="27">
        <v>60000</v>
      </c>
      <c r="AF82" s="27">
        <v>5000</v>
      </c>
      <c r="AG82" s="27">
        <v>404000</v>
      </c>
      <c r="AH82" s="27">
        <v>17000</v>
      </c>
      <c r="AI82" s="17">
        <v>2018</v>
      </c>
      <c r="AJ82" s="17">
        <v>1</v>
      </c>
      <c r="AK82" s="17">
        <v>0</v>
      </c>
    </row>
    <row r="83" spans="1:38" ht="12.75" customHeight="1">
      <c r="A83" s="45" t="s">
        <v>126</v>
      </c>
      <c r="B83" s="19" t="s">
        <v>127</v>
      </c>
      <c r="C83" s="17">
        <v>12</v>
      </c>
      <c r="D83" s="20" t="s">
        <v>196</v>
      </c>
      <c r="E83" s="19">
        <v>0</v>
      </c>
      <c r="F83" s="33" t="s">
        <v>123</v>
      </c>
      <c r="G83" s="33" t="s">
        <v>124</v>
      </c>
      <c r="H83" s="33" t="s">
        <v>42</v>
      </c>
      <c r="I83" s="17" t="b">
        <v>0</v>
      </c>
      <c r="J83" s="17" t="s">
        <v>64</v>
      </c>
      <c r="K83" s="21" t="str">
        <f t="shared" si="3"/>
        <v>https://version2.ice-d.org/antarctica/sample/MDML-MID05/</v>
      </c>
      <c r="L83" s="45" t="s">
        <v>39</v>
      </c>
      <c r="M83" s="155"/>
      <c r="O83" s="17" t="s">
        <v>125</v>
      </c>
      <c r="P83" s="22">
        <v>-72.734800000000007</v>
      </c>
      <c r="Q83" s="22">
        <v>-2.0712600000000001</v>
      </c>
      <c r="R83" s="22"/>
      <c r="S83" s="22">
        <v>1551</v>
      </c>
      <c r="T83" s="17">
        <v>1545</v>
      </c>
      <c r="U83" s="23">
        <v>700</v>
      </c>
      <c r="V83" s="24" t="s">
        <v>2133</v>
      </c>
      <c r="W83" s="44" t="s">
        <v>2142</v>
      </c>
      <c r="X83" s="22">
        <f t="shared" si="2"/>
        <v>6</v>
      </c>
      <c r="Y83" s="22">
        <v>6</v>
      </c>
      <c r="Z83" s="22">
        <v>2.7</v>
      </c>
      <c r="AA83" s="17" t="s">
        <v>73</v>
      </c>
      <c r="AB83" s="26">
        <v>2571</v>
      </c>
      <c r="AC83" s="26">
        <v>108</v>
      </c>
      <c r="AD83" s="26">
        <v>246</v>
      </c>
      <c r="AE83" s="27">
        <v>60000</v>
      </c>
      <c r="AF83" s="27">
        <v>5000</v>
      </c>
      <c r="AG83" s="27">
        <v>404000</v>
      </c>
      <c r="AH83" s="27">
        <v>17000</v>
      </c>
      <c r="AI83" s="17">
        <v>2018</v>
      </c>
      <c r="AJ83" s="17">
        <v>1</v>
      </c>
      <c r="AK83" s="17">
        <v>0</v>
      </c>
    </row>
    <row r="84" spans="1:38" ht="12.75" customHeight="1">
      <c r="A84" s="45" t="s">
        <v>126</v>
      </c>
      <c r="B84" s="19" t="s">
        <v>127</v>
      </c>
      <c r="C84" s="17">
        <v>12</v>
      </c>
      <c r="D84" s="20" t="s">
        <v>196</v>
      </c>
      <c r="E84" s="19">
        <v>0</v>
      </c>
      <c r="F84" s="33" t="s">
        <v>123</v>
      </c>
      <c r="G84" s="33" t="s">
        <v>124</v>
      </c>
      <c r="H84" s="33" t="s">
        <v>42</v>
      </c>
      <c r="I84" s="17" t="b">
        <v>0</v>
      </c>
      <c r="J84" s="17" t="s">
        <v>64</v>
      </c>
      <c r="K84" s="21" t="str">
        <f t="shared" si="3"/>
        <v>https://version2.ice-d.org/antarctica/sample/MDML-MID05/</v>
      </c>
      <c r="L84" s="45" t="s">
        <v>39</v>
      </c>
      <c r="M84" s="155"/>
      <c r="O84" s="17" t="s">
        <v>125</v>
      </c>
      <c r="P84" s="22">
        <v>-72.734800000000007</v>
      </c>
      <c r="Q84" s="22">
        <v>-2.0712600000000001</v>
      </c>
      <c r="R84" s="22"/>
      <c r="S84" s="22">
        <v>1551</v>
      </c>
      <c r="T84" s="17">
        <v>1545</v>
      </c>
      <c r="U84" s="23">
        <v>700</v>
      </c>
      <c r="V84" s="24" t="s">
        <v>2134</v>
      </c>
      <c r="W84" s="44" t="s">
        <v>2142</v>
      </c>
      <c r="X84" s="22">
        <f t="shared" si="2"/>
        <v>6</v>
      </c>
      <c r="Y84" s="22">
        <v>6</v>
      </c>
      <c r="Z84" s="22">
        <v>2.7</v>
      </c>
      <c r="AA84" s="17" t="s">
        <v>73</v>
      </c>
      <c r="AB84" s="26">
        <v>2592</v>
      </c>
      <c r="AC84" s="26">
        <v>96</v>
      </c>
      <c r="AD84" s="26">
        <v>243</v>
      </c>
      <c r="AE84" s="27">
        <v>60000</v>
      </c>
      <c r="AF84" s="27">
        <v>5000</v>
      </c>
      <c r="AG84" s="27">
        <v>404000</v>
      </c>
      <c r="AH84" s="27">
        <v>17000</v>
      </c>
      <c r="AI84" s="17">
        <v>2018</v>
      </c>
      <c r="AJ84" s="17">
        <v>1</v>
      </c>
      <c r="AK84" s="17">
        <v>0</v>
      </c>
    </row>
    <row r="85" spans="1:38" ht="12.75" customHeight="1">
      <c r="A85" s="45" t="s">
        <v>126</v>
      </c>
      <c r="B85" s="19" t="s">
        <v>127</v>
      </c>
      <c r="C85" s="17">
        <v>12</v>
      </c>
      <c r="D85" s="20" t="s">
        <v>196</v>
      </c>
      <c r="E85" s="19">
        <v>0</v>
      </c>
      <c r="F85" s="33" t="s">
        <v>123</v>
      </c>
      <c r="G85" s="33" t="s">
        <v>124</v>
      </c>
      <c r="H85" s="33" t="s">
        <v>42</v>
      </c>
      <c r="I85" s="17" t="b">
        <v>0</v>
      </c>
      <c r="J85" s="17" t="s">
        <v>43</v>
      </c>
      <c r="K85" s="21" t="str">
        <f t="shared" si="3"/>
        <v>https://version2.ice-d.org/antarctica/sample/MDML-MID05/</v>
      </c>
      <c r="L85" s="45" t="s">
        <v>39</v>
      </c>
      <c r="M85" s="155"/>
      <c r="O85" s="17" t="s">
        <v>125</v>
      </c>
      <c r="P85" s="22">
        <v>-72.734800000000007</v>
      </c>
      <c r="Q85" s="22">
        <v>-2.0712600000000001</v>
      </c>
      <c r="R85" s="22"/>
      <c r="S85" s="22">
        <v>1551</v>
      </c>
      <c r="T85" s="17">
        <v>1545</v>
      </c>
      <c r="U85" s="23">
        <v>700</v>
      </c>
      <c r="V85" s="24" t="s">
        <v>2135</v>
      </c>
      <c r="W85" s="44" t="s">
        <v>2142</v>
      </c>
      <c r="X85" s="22">
        <f t="shared" si="2"/>
        <v>6</v>
      </c>
      <c r="Y85" s="22">
        <v>6</v>
      </c>
      <c r="Z85" s="22">
        <v>2.7</v>
      </c>
      <c r="AA85" s="17" t="s">
        <v>73</v>
      </c>
      <c r="AB85" s="26">
        <v>2685</v>
      </c>
      <c r="AC85" s="26">
        <v>224</v>
      </c>
      <c r="AD85" s="26">
        <v>274</v>
      </c>
      <c r="AE85" s="27">
        <v>60000</v>
      </c>
      <c r="AF85" s="27">
        <v>5000</v>
      </c>
      <c r="AG85" s="27">
        <v>404000</v>
      </c>
      <c r="AH85" s="27">
        <v>17000</v>
      </c>
      <c r="AI85" s="17">
        <v>2018</v>
      </c>
      <c r="AJ85" s="17">
        <v>1</v>
      </c>
      <c r="AK85" s="17">
        <v>0</v>
      </c>
    </row>
    <row r="86" spans="1:38" ht="12.75" customHeight="1">
      <c r="A86" s="46" t="s">
        <v>130</v>
      </c>
      <c r="B86" s="19" t="s">
        <v>131</v>
      </c>
      <c r="C86" s="17">
        <v>12</v>
      </c>
      <c r="D86" s="20" t="s">
        <v>196</v>
      </c>
      <c r="E86" s="19">
        <v>0</v>
      </c>
      <c r="F86" s="33" t="s">
        <v>123</v>
      </c>
      <c r="G86" s="33" t="s">
        <v>124</v>
      </c>
      <c r="H86" s="33" t="s">
        <v>42</v>
      </c>
      <c r="I86" s="17" t="b">
        <v>0</v>
      </c>
      <c r="J86" s="17" t="s">
        <v>132</v>
      </c>
      <c r="K86" s="21" t="str">
        <f t="shared" si="3"/>
        <v>https://version2.ice-d.org/antarctica/sample/MDML-MOT01/</v>
      </c>
      <c r="L86" s="46" t="s">
        <v>39</v>
      </c>
      <c r="M86" s="46" t="s">
        <v>44</v>
      </c>
      <c r="O86" s="17" t="s">
        <v>125</v>
      </c>
      <c r="P86" s="22">
        <v>-72.790599999999998</v>
      </c>
      <c r="Q86" s="22">
        <v>-3.1800999999999999</v>
      </c>
      <c r="R86" s="22"/>
      <c r="S86" s="22">
        <v>1602</v>
      </c>
      <c r="T86" s="17">
        <v>1567</v>
      </c>
      <c r="U86" s="23">
        <v>700</v>
      </c>
      <c r="V86" s="24" t="s">
        <v>2136</v>
      </c>
      <c r="W86" s="44" t="s">
        <v>2142</v>
      </c>
      <c r="X86" s="22">
        <f t="shared" si="2"/>
        <v>35</v>
      </c>
      <c r="Y86" s="22">
        <v>4</v>
      </c>
      <c r="Z86" s="22">
        <v>2.7</v>
      </c>
      <c r="AA86" s="17" t="s">
        <v>58</v>
      </c>
      <c r="AB86" s="26">
        <v>13605</v>
      </c>
      <c r="AC86" s="26">
        <v>270</v>
      </c>
      <c r="AD86" s="26">
        <v>2161</v>
      </c>
      <c r="AE86" s="27">
        <v>1062000</v>
      </c>
      <c r="AF86" s="27">
        <v>86000</v>
      </c>
      <c r="AG86" s="27">
        <v>4837000</v>
      </c>
      <c r="AH86" s="27">
        <v>485000</v>
      </c>
      <c r="AI86" s="17">
        <v>2018</v>
      </c>
      <c r="AJ86" s="17">
        <v>1</v>
      </c>
      <c r="AK86" s="17">
        <v>0</v>
      </c>
      <c r="AL86" s="17" t="s">
        <v>133</v>
      </c>
    </row>
    <row r="87" spans="1:38" ht="12.75" customHeight="1">
      <c r="A87" s="47" t="s">
        <v>134</v>
      </c>
      <c r="B87" s="19" t="s">
        <v>122</v>
      </c>
      <c r="C87" s="17">
        <v>12</v>
      </c>
      <c r="D87" s="20" t="s">
        <v>196</v>
      </c>
      <c r="E87" s="19">
        <v>0</v>
      </c>
      <c r="F87" s="33" t="s">
        <v>123</v>
      </c>
      <c r="G87" s="33" t="s">
        <v>124</v>
      </c>
      <c r="H87" s="33" t="s">
        <v>42</v>
      </c>
      <c r="I87" s="17" t="b">
        <v>0</v>
      </c>
      <c r="J87" s="17" t="s">
        <v>132</v>
      </c>
      <c r="K87" s="21" t="str">
        <f t="shared" si="3"/>
        <v>https://version2.ice-d.org/antarctica/sample/MDML-VID03/</v>
      </c>
      <c r="L87" s="47" t="s">
        <v>135</v>
      </c>
      <c r="M87" s="181" t="s">
        <v>44</v>
      </c>
      <c r="O87" s="17" t="s">
        <v>125</v>
      </c>
      <c r="P87" s="22">
        <v>-72.418589999999995</v>
      </c>
      <c r="Q87" s="22">
        <v>-2.29359</v>
      </c>
      <c r="R87" s="22"/>
      <c r="S87" s="22">
        <v>1165</v>
      </c>
      <c r="T87" s="17">
        <v>1122</v>
      </c>
      <c r="U87" s="23">
        <v>700</v>
      </c>
      <c r="V87" s="24" t="s">
        <v>2137</v>
      </c>
      <c r="W87" s="44" t="s">
        <v>2142</v>
      </c>
      <c r="X87" s="22">
        <f t="shared" si="2"/>
        <v>43</v>
      </c>
      <c r="Y87" s="22">
        <v>2</v>
      </c>
      <c r="Z87" s="22">
        <v>2.7</v>
      </c>
      <c r="AA87" s="17" t="s">
        <v>58</v>
      </c>
      <c r="AB87" s="26">
        <v>16872</v>
      </c>
      <c r="AC87" s="26">
        <v>5008</v>
      </c>
      <c r="AD87" s="26">
        <v>7497</v>
      </c>
      <c r="AE87" s="27">
        <v>571000</v>
      </c>
      <c r="AF87" s="27">
        <v>38000</v>
      </c>
      <c r="AG87" s="27">
        <v>3455000</v>
      </c>
      <c r="AH87" s="27">
        <v>143000</v>
      </c>
      <c r="AI87" s="17">
        <v>2018</v>
      </c>
      <c r="AJ87" s="17">
        <v>1</v>
      </c>
      <c r="AK87" s="17">
        <v>0</v>
      </c>
      <c r="AL87" s="17" t="s">
        <v>133</v>
      </c>
    </row>
    <row r="88" spans="1:38" ht="12.75" customHeight="1">
      <c r="A88" s="47" t="s">
        <v>136</v>
      </c>
      <c r="B88" s="19" t="s">
        <v>122</v>
      </c>
      <c r="C88" s="17">
        <v>12</v>
      </c>
      <c r="D88" s="20" t="s">
        <v>196</v>
      </c>
      <c r="E88" s="19">
        <v>0</v>
      </c>
      <c r="F88" s="33" t="s">
        <v>123</v>
      </c>
      <c r="G88" s="33" t="s">
        <v>124</v>
      </c>
      <c r="H88" s="33" t="s">
        <v>42</v>
      </c>
      <c r="I88" s="17" t="b">
        <v>0</v>
      </c>
      <c r="J88" s="17" t="s">
        <v>64</v>
      </c>
      <c r="K88" s="21" t="str">
        <f t="shared" si="3"/>
        <v>https://version2.ice-d.org/antarctica/sample/MDML-VID04/</v>
      </c>
      <c r="L88" s="47" t="s">
        <v>135</v>
      </c>
      <c r="M88" s="155"/>
      <c r="O88" s="17" t="s">
        <v>125</v>
      </c>
      <c r="P88" s="22">
        <v>-72.416920000000005</v>
      </c>
      <c r="Q88" s="22">
        <v>-2.2987700000000002</v>
      </c>
      <c r="R88" s="22"/>
      <c r="S88" s="22">
        <v>1159</v>
      </c>
      <c r="T88" s="17">
        <v>1125</v>
      </c>
      <c r="U88" s="23">
        <v>700</v>
      </c>
      <c r="V88" s="24" t="s">
        <v>2138</v>
      </c>
      <c r="W88" s="44" t="s">
        <v>2142</v>
      </c>
      <c r="X88" s="22">
        <f t="shared" si="2"/>
        <v>34</v>
      </c>
      <c r="Y88" s="22">
        <v>2</v>
      </c>
      <c r="Z88" s="22">
        <v>2.7</v>
      </c>
      <c r="AA88" s="17" t="s">
        <v>51</v>
      </c>
      <c r="AB88" s="26">
        <v>4903</v>
      </c>
      <c r="AC88" s="26">
        <v>267</v>
      </c>
      <c r="AD88" s="26">
        <v>500</v>
      </c>
      <c r="AE88" s="27">
        <v>82000</v>
      </c>
      <c r="AF88" s="27">
        <v>5000</v>
      </c>
      <c r="AG88" s="27">
        <v>553000</v>
      </c>
      <c r="AH88" s="27">
        <v>30000</v>
      </c>
      <c r="AI88" s="17">
        <v>2018</v>
      </c>
      <c r="AJ88" s="17">
        <v>1</v>
      </c>
      <c r="AK88" s="17">
        <v>0</v>
      </c>
    </row>
    <row r="89" spans="1:38" ht="12.75" customHeight="1">
      <c r="A89" s="47" t="s">
        <v>136</v>
      </c>
      <c r="B89" s="19" t="s">
        <v>122</v>
      </c>
      <c r="C89" s="17">
        <v>12</v>
      </c>
      <c r="D89" s="20" t="s">
        <v>196</v>
      </c>
      <c r="E89" s="19">
        <v>0</v>
      </c>
      <c r="F89" s="33" t="s">
        <v>123</v>
      </c>
      <c r="G89" s="33" t="s">
        <v>124</v>
      </c>
      <c r="H89" s="33" t="s">
        <v>42</v>
      </c>
      <c r="I89" s="17" t="b">
        <v>0</v>
      </c>
      <c r="J89" s="17" t="s">
        <v>43</v>
      </c>
      <c r="K89" s="21" t="str">
        <f t="shared" si="3"/>
        <v>https://version2.ice-d.org/antarctica/sample/MDML-VID04/</v>
      </c>
      <c r="L89" s="47" t="s">
        <v>135</v>
      </c>
      <c r="M89" s="155"/>
      <c r="O89" s="17" t="s">
        <v>125</v>
      </c>
      <c r="P89" s="22">
        <v>-72.416920000000005</v>
      </c>
      <c r="Q89" s="22">
        <v>-2.2987700000000002</v>
      </c>
      <c r="R89" s="22"/>
      <c r="S89" s="22">
        <v>1159</v>
      </c>
      <c r="T89" s="17">
        <v>1125</v>
      </c>
      <c r="U89" s="23">
        <v>700</v>
      </c>
      <c r="V89" s="24" t="s">
        <v>2139</v>
      </c>
      <c r="W89" s="44" t="s">
        <v>2142</v>
      </c>
      <c r="X89" s="22">
        <f t="shared" si="2"/>
        <v>34</v>
      </c>
      <c r="Y89" s="22">
        <v>2</v>
      </c>
      <c r="Z89" s="22">
        <v>2.7</v>
      </c>
      <c r="AA89" s="17" t="s">
        <v>51</v>
      </c>
      <c r="AB89" s="26">
        <v>5132</v>
      </c>
      <c r="AC89" s="26">
        <v>313</v>
      </c>
      <c r="AD89" s="26">
        <v>436</v>
      </c>
      <c r="AE89" s="27">
        <v>82000</v>
      </c>
      <c r="AF89" s="27">
        <v>5000</v>
      </c>
      <c r="AG89" s="27">
        <v>553000</v>
      </c>
      <c r="AH89" s="27">
        <v>30000</v>
      </c>
      <c r="AI89" s="17">
        <v>2018</v>
      </c>
      <c r="AJ89" s="17">
        <v>1</v>
      </c>
      <c r="AK89" s="17">
        <v>0</v>
      </c>
    </row>
    <row r="90" spans="1:38" ht="12.75" customHeight="1">
      <c r="A90" s="47" t="s">
        <v>136</v>
      </c>
      <c r="B90" s="19" t="s">
        <v>122</v>
      </c>
      <c r="C90" s="17">
        <v>12</v>
      </c>
      <c r="D90" s="20" t="s">
        <v>196</v>
      </c>
      <c r="E90" s="19">
        <v>0</v>
      </c>
      <c r="F90" s="33" t="s">
        <v>123</v>
      </c>
      <c r="G90" s="33" t="s">
        <v>124</v>
      </c>
      <c r="H90" s="33" t="s">
        <v>42</v>
      </c>
      <c r="I90" s="17" t="b">
        <v>0</v>
      </c>
      <c r="J90" s="17" t="s">
        <v>128</v>
      </c>
      <c r="K90" s="21" t="str">
        <f t="shared" si="3"/>
        <v>https://version2.ice-d.org/antarctica/sample/MDML-VID04/</v>
      </c>
      <c r="L90" s="47" t="s">
        <v>135</v>
      </c>
      <c r="M90" s="155"/>
      <c r="O90" s="17" t="s">
        <v>125</v>
      </c>
      <c r="P90" s="22">
        <v>-72.416920000000005</v>
      </c>
      <c r="Q90" s="22">
        <v>-2.2987700000000002</v>
      </c>
      <c r="R90" s="22"/>
      <c r="S90" s="22">
        <v>1159</v>
      </c>
      <c r="T90" s="17">
        <v>1125</v>
      </c>
      <c r="U90" s="23">
        <v>700</v>
      </c>
      <c r="V90" s="24" t="s">
        <v>2140</v>
      </c>
      <c r="W90" s="44" t="s">
        <v>2142</v>
      </c>
      <c r="X90" s="22">
        <f t="shared" si="2"/>
        <v>34</v>
      </c>
      <c r="Y90" s="22">
        <v>2</v>
      </c>
      <c r="Z90" s="22">
        <v>2.7</v>
      </c>
      <c r="AA90" s="17" t="s">
        <v>51</v>
      </c>
      <c r="AB90" s="26">
        <v>8074</v>
      </c>
      <c r="AC90" s="26">
        <v>1811</v>
      </c>
      <c r="AD90" s="26">
        <v>1983</v>
      </c>
      <c r="AE90" s="27">
        <v>82000</v>
      </c>
      <c r="AF90" s="27">
        <v>5000</v>
      </c>
      <c r="AG90" s="27">
        <v>553000</v>
      </c>
      <c r="AH90" s="27">
        <v>30000</v>
      </c>
      <c r="AI90" s="17">
        <v>2018</v>
      </c>
      <c r="AJ90" s="17">
        <v>1</v>
      </c>
      <c r="AK90" s="17">
        <v>1</v>
      </c>
      <c r="AL90" s="17" t="s">
        <v>137</v>
      </c>
    </row>
    <row r="91" spans="1:38" ht="12.75" customHeight="1">
      <c r="A91" s="48" t="s">
        <v>138</v>
      </c>
      <c r="B91" s="19" t="s">
        <v>139</v>
      </c>
      <c r="C91" s="17">
        <v>12</v>
      </c>
      <c r="D91" s="20" t="s">
        <v>196</v>
      </c>
      <c r="E91" s="19">
        <v>0</v>
      </c>
      <c r="F91" s="33" t="s">
        <v>123</v>
      </c>
      <c r="G91" s="33" t="s">
        <v>124</v>
      </c>
      <c r="H91" s="33" t="s">
        <v>42</v>
      </c>
      <c r="I91" s="17" t="b">
        <v>0</v>
      </c>
      <c r="J91" s="17" t="s">
        <v>132</v>
      </c>
      <c r="K91" s="21" t="str">
        <f t="shared" si="3"/>
        <v>https://version2.ice-d.org/antarctica/sample/MDML-SVE03/</v>
      </c>
      <c r="L91" s="48" t="s">
        <v>39</v>
      </c>
      <c r="M91" s="48" t="s">
        <v>44</v>
      </c>
      <c r="O91" s="17" t="s">
        <v>125</v>
      </c>
      <c r="P91" s="22">
        <v>-72.095140000000001</v>
      </c>
      <c r="Q91" s="22">
        <v>-0.40160000000000001</v>
      </c>
      <c r="R91" s="22"/>
      <c r="S91" s="22">
        <v>830</v>
      </c>
      <c r="T91" s="17">
        <v>774</v>
      </c>
      <c r="U91" s="23">
        <v>700</v>
      </c>
      <c r="V91" s="24" t="s">
        <v>2141</v>
      </c>
      <c r="W91" s="44" t="s">
        <v>2142</v>
      </c>
      <c r="X91" s="22">
        <f t="shared" si="2"/>
        <v>56</v>
      </c>
      <c r="Y91" s="22">
        <v>3</v>
      </c>
      <c r="Z91" s="22">
        <v>2.7</v>
      </c>
      <c r="AA91" s="17" t="s">
        <v>58</v>
      </c>
      <c r="AB91" s="26">
        <v>17945</v>
      </c>
      <c r="AC91" s="26">
        <v>428</v>
      </c>
      <c r="AD91" s="26">
        <v>2383</v>
      </c>
      <c r="AE91" s="27">
        <v>790000</v>
      </c>
      <c r="AF91" s="27">
        <v>17000</v>
      </c>
      <c r="AG91" s="27">
        <v>3324000</v>
      </c>
      <c r="AH91" s="27">
        <v>88000</v>
      </c>
      <c r="AI91" s="17">
        <v>2018</v>
      </c>
      <c r="AJ91" s="17">
        <v>1</v>
      </c>
      <c r="AK91" s="17">
        <v>0</v>
      </c>
      <c r="AL91" s="17" t="s">
        <v>133</v>
      </c>
    </row>
    <row r="92" spans="1:38" ht="15.75" customHeight="1">
      <c r="A92" s="49" t="s">
        <v>140</v>
      </c>
      <c r="B92" s="19" t="s">
        <v>141</v>
      </c>
      <c r="C92" s="17">
        <v>13</v>
      </c>
      <c r="D92" s="20" t="s">
        <v>196</v>
      </c>
      <c r="E92" s="19">
        <v>0</v>
      </c>
      <c r="F92" s="19" t="s">
        <v>142</v>
      </c>
      <c r="G92" s="19" t="s">
        <v>143</v>
      </c>
      <c r="H92" s="19" t="s">
        <v>42</v>
      </c>
      <c r="I92" s="17" t="b">
        <v>0</v>
      </c>
      <c r="J92" s="17" t="s">
        <v>43</v>
      </c>
      <c r="K92" s="21" t="str">
        <f t="shared" si="3"/>
        <v>https://version2.ice-d.org/antarctica/sample/K2009-LH-10-97/</v>
      </c>
      <c r="L92" s="49" t="s">
        <v>39</v>
      </c>
      <c r="M92" s="174" t="s">
        <v>44</v>
      </c>
      <c r="O92" s="17" t="s">
        <v>144</v>
      </c>
      <c r="P92" s="22">
        <v>-69.421700000000001</v>
      </c>
      <c r="Q92" s="22">
        <v>76.071700000000007</v>
      </c>
      <c r="R92" s="22"/>
      <c r="S92" s="22">
        <v>40</v>
      </c>
      <c r="T92" s="22">
        <v>0</v>
      </c>
      <c r="U92" s="23">
        <v>598</v>
      </c>
      <c r="V92" s="24" t="s">
        <v>2465</v>
      </c>
      <c r="W92" s="44" t="s">
        <v>2459</v>
      </c>
      <c r="X92" s="22">
        <v>40</v>
      </c>
      <c r="Y92" s="22">
        <v>4.5</v>
      </c>
      <c r="Z92" s="22">
        <v>2.7</v>
      </c>
      <c r="AA92" s="17" t="s">
        <v>58</v>
      </c>
      <c r="AB92" s="26">
        <v>4177</v>
      </c>
      <c r="AC92" s="26">
        <v>836</v>
      </c>
      <c r="AD92" s="26">
        <v>872</v>
      </c>
      <c r="AE92" s="27">
        <v>25000</v>
      </c>
      <c r="AF92" s="27">
        <v>5000</v>
      </c>
      <c r="AG92" s="28"/>
      <c r="AH92" s="28"/>
      <c r="AI92" s="17">
        <v>2007</v>
      </c>
      <c r="AJ92" s="17">
        <v>0</v>
      </c>
      <c r="AK92" s="17">
        <v>0</v>
      </c>
    </row>
    <row r="93" spans="1:38" ht="15.75" customHeight="1">
      <c r="A93" s="49" t="s">
        <v>145</v>
      </c>
      <c r="B93" s="19" t="s">
        <v>141</v>
      </c>
      <c r="C93" s="17">
        <v>13</v>
      </c>
      <c r="D93" s="20" t="s">
        <v>196</v>
      </c>
      <c r="E93" s="19">
        <v>0</v>
      </c>
      <c r="F93" s="19" t="s">
        <v>142</v>
      </c>
      <c r="G93" s="19" t="s">
        <v>143</v>
      </c>
      <c r="H93" s="19" t="s">
        <v>42</v>
      </c>
      <c r="I93" s="17" t="b">
        <v>0</v>
      </c>
      <c r="J93" s="17" t="s">
        <v>43</v>
      </c>
      <c r="K93" s="21" t="str">
        <f t="shared" si="3"/>
        <v>https://version2.ice-d.org/antarctica/sample/K2009-LH-11-97/</v>
      </c>
      <c r="L93" s="49" t="s">
        <v>39</v>
      </c>
      <c r="M93" s="155"/>
      <c r="O93" s="17" t="s">
        <v>144</v>
      </c>
      <c r="P93" s="22">
        <v>-69.417299999999997</v>
      </c>
      <c r="Q93" s="22">
        <v>76.071700000000007</v>
      </c>
      <c r="R93" s="22"/>
      <c r="S93" s="22">
        <v>75</v>
      </c>
      <c r="T93" s="22">
        <v>0</v>
      </c>
      <c r="U93" s="23">
        <v>598</v>
      </c>
      <c r="V93" s="24" t="s">
        <v>2465</v>
      </c>
      <c r="W93" s="44" t="s">
        <v>2459</v>
      </c>
      <c r="X93" s="22">
        <v>75</v>
      </c>
      <c r="Y93" s="22">
        <v>4.5</v>
      </c>
      <c r="Z93" s="22">
        <v>2.7</v>
      </c>
      <c r="AA93" s="17" t="s">
        <v>58</v>
      </c>
      <c r="AB93" s="26">
        <v>12768</v>
      </c>
      <c r="AC93" s="26">
        <v>1459</v>
      </c>
      <c r="AD93" s="26">
        <v>1643</v>
      </c>
      <c r="AE93" s="27">
        <v>79000</v>
      </c>
      <c r="AF93" s="27">
        <v>9000</v>
      </c>
      <c r="AG93" s="28"/>
      <c r="AH93" s="28"/>
      <c r="AI93" s="17">
        <v>2007</v>
      </c>
      <c r="AJ93" s="17">
        <v>0</v>
      </c>
      <c r="AK93" s="17">
        <v>0</v>
      </c>
    </row>
    <row r="94" spans="1:38" ht="15.75" customHeight="1">
      <c r="A94" s="50" t="s">
        <v>146</v>
      </c>
      <c r="B94" s="19" t="s">
        <v>141</v>
      </c>
      <c r="C94" s="17">
        <v>13</v>
      </c>
      <c r="D94" s="20" t="s">
        <v>196</v>
      </c>
      <c r="E94" s="19">
        <v>0</v>
      </c>
      <c r="F94" s="19" t="s">
        <v>142</v>
      </c>
      <c r="G94" s="19" t="s">
        <v>147</v>
      </c>
      <c r="H94" s="19" t="s">
        <v>42</v>
      </c>
      <c r="I94" s="17" t="b">
        <v>0</v>
      </c>
      <c r="J94" s="17" t="s">
        <v>43</v>
      </c>
      <c r="K94" s="21" t="str">
        <f t="shared" si="3"/>
        <v>https://version2.ice-d.org/antarctica/sample/H2010-I02/</v>
      </c>
      <c r="L94" s="50" t="s">
        <v>148</v>
      </c>
      <c r="M94" s="51" t="s">
        <v>149</v>
      </c>
      <c r="N94" s="17" t="s">
        <v>39</v>
      </c>
      <c r="O94" s="17" t="s">
        <v>150</v>
      </c>
      <c r="P94" s="22">
        <v>-69.432500000000005</v>
      </c>
      <c r="Q94" s="22">
        <v>76.106944440000007</v>
      </c>
      <c r="R94" s="22"/>
      <c r="S94" s="22">
        <v>150</v>
      </c>
      <c r="T94" s="22">
        <v>0</v>
      </c>
      <c r="U94" s="23">
        <v>598</v>
      </c>
      <c r="V94" s="24" t="s">
        <v>2465</v>
      </c>
      <c r="W94" s="44" t="s">
        <v>2459</v>
      </c>
      <c r="X94" s="22">
        <v>150</v>
      </c>
      <c r="Y94" s="22">
        <v>3</v>
      </c>
      <c r="Z94" s="22">
        <v>2.7</v>
      </c>
      <c r="AA94" s="17" t="s">
        <v>58</v>
      </c>
      <c r="AB94" s="26">
        <v>18807</v>
      </c>
      <c r="AC94" s="26">
        <v>813</v>
      </c>
      <c r="AD94" s="26">
        <v>1380</v>
      </c>
      <c r="AE94" s="27">
        <v>126656</v>
      </c>
      <c r="AF94" s="27">
        <v>5446.2079999999996</v>
      </c>
      <c r="AG94" s="28"/>
      <c r="AH94" s="28"/>
      <c r="AI94" s="17">
        <v>2008</v>
      </c>
      <c r="AJ94" s="17">
        <v>0</v>
      </c>
      <c r="AK94" s="17">
        <v>0</v>
      </c>
    </row>
    <row r="95" spans="1:38" ht="12.75" customHeight="1">
      <c r="A95" s="52" t="s">
        <v>151</v>
      </c>
      <c r="B95" s="19" t="s">
        <v>152</v>
      </c>
      <c r="C95" s="17">
        <v>14</v>
      </c>
      <c r="D95" s="20" t="s">
        <v>196</v>
      </c>
      <c r="E95" s="19">
        <v>0</v>
      </c>
      <c r="F95" s="33" t="s">
        <v>142</v>
      </c>
      <c r="G95" s="19" t="s">
        <v>153</v>
      </c>
      <c r="H95" s="19" t="s">
        <v>42</v>
      </c>
      <c r="I95" s="17" t="b">
        <v>0</v>
      </c>
      <c r="J95" s="17" t="s">
        <v>64</v>
      </c>
      <c r="K95" s="21" t="str">
        <f t="shared" si="3"/>
        <v>https://version2.ice-d.org/antarctica/sample/W2022-RI-007B/</v>
      </c>
      <c r="L95" s="53" t="s">
        <v>154</v>
      </c>
      <c r="M95" s="52" t="s">
        <v>44</v>
      </c>
      <c r="O95" s="17" t="s">
        <v>155</v>
      </c>
      <c r="P95" s="22">
        <v>-68.815179999999998</v>
      </c>
      <c r="Q95" s="22">
        <v>77.833500000000001</v>
      </c>
      <c r="R95" s="22"/>
      <c r="S95" s="22">
        <v>70</v>
      </c>
      <c r="T95" s="22">
        <v>0</v>
      </c>
      <c r="U95" s="23">
        <v>600</v>
      </c>
      <c r="V95" s="24" t="s">
        <v>2214</v>
      </c>
      <c r="W95" s="44" t="s">
        <v>2460</v>
      </c>
      <c r="X95" s="22">
        <f t="shared" ref="X95:X169" si="4">S95-T95</f>
        <v>70</v>
      </c>
      <c r="Y95" s="22">
        <v>5</v>
      </c>
      <c r="Z95" s="22">
        <v>2.7</v>
      </c>
      <c r="AA95" s="17" t="s">
        <v>46</v>
      </c>
      <c r="AB95" s="26">
        <v>11649</v>
      </c>
      <c r="AC95" s="26">
        <v>2086</v>
      </c>
      <c r="AD95" s="26"/>
      <c r="AE95" s="27">
        <v>121591.90280113999</v>
      </c>
      <c r="AF95" s="27">
        <v>13381.834110482399</v>
      </c>
      <c r="AG95" s="27">
        <v>470561.44029352901</v>
      </c>
      <c r="AH95" s="27">
        <v>83769.675632113795</v>
      </c>
      <c r="AI95" s="27">
        <v>2020</v>
      </c>
      <c r="AJ95" s="17">
        <v>0</v>
      </c>
      <c r="AK95" s="17">
        <v>1</v>
      </c>
      <c r="AL95" s="17" t="s">
        <v>156</v>
      </c>
    </row>
    <row r="96" spans="1:38" ht="12.75" customHeight="1">
      <c r="A96" s="52" t="s">
        <v>157</v>
      </c>
      <c r="B96" s="19" t="s">
        <v>158</v>
      </c>
      <c r="C96" s="17">
        <v>14</v>
      </c>
      <c r="D96" s="20" t="s">
        <v>196</v>
      </c>
      <c r="E96" s="19">
        <v>0</v>
      </c>
      <c r="F96" s="33" t="s">
        <v>142</v>
      </c>
      <c r="G96" s="19" t="s">
        <v>153</v>
      </c>
      <c r="H96" s="19" t="s">
        <v>42</v>
      </c>
      <c r="I96" s="17" t="b">
        <v>0</v>
      </c>
      <c r="J96" s="17" t="s">
        <v>43</v>
      </c>
      <c r="K96" s="21" t="str">
        <f t="shared" si="3"/>
        <v>https://version2.ice-d.org/antarctica/sample/W2022-RI-112A/</v>
      </c>
      <c r="L96" s="53" t="s">
        <v>154</v>
      </c>
      <c r="M96" s="52"/>
      <c r="O96" s="17" t="s">
        <v>155</v>
      </c>
      <c r="P96" s="22">
        <v>-68.847520000000003</v>
      </c>
      <c r="Q96" s="22">
        <v>77.933099999999996</v>
      </c>
      <c r="R96" s="22"/>
      <c r="S96" s="22">
        <v>30</v>
      </c>
      <c r="T96" s="22">
        <v>0</v>
      </c>
      <c r="U96" s="23">
        <v>600</v>
      </c>
      <c r="V96" s="24" t="s">
        <v>2215</v>
      </c>
      <c r="W96" s="44" t="s">
        <v>2460</v>
      </c>
      <c r="X96" s="22">
        <f t="shared" si="4"/>
        <v>30</v>
      </c>
      <c r="Y96" s="22">
        <v>5</v>
      </c>
      <c r="Z96" s="22">
        <v>2.7</v>
      </c>
      <c r="AA96" s="17" t="s">
        <v>46</v>
      </c>
      <c r="AB96" s="26">
        <v>6851</v>
      </c>
      <c r="AC96" s="26">
        <v>537</v>
      </c>
      <c r="AD96" s="26">
        <v>673</v>
      </c>
      <c r="AE96" s="27">
        <v>37316.618558098802</v>
      </c>
      <c r="AF96" s="27">
        <v>2921.6475743556002</v>
      </c>
      <c r="AG96" s="28"/>
      <c r="AH96" s="28"/>
      <c r="AI96" s="27">
        <v>2020</v>
      </c>
      <c r="AJ96" s="17">
        <v>0</v>
      </c>
      <c r="AK96" s="17">
        <v>0</v>
      </c>
    </row>
    <row r="97" spans="1:37" ht="12.75" customHeight="1">
      <c r="A97" s="52" t="s">
        <v>159</v>
      </c>
      <c r="B97" s="19" t="s">
        <v>158</v>
      </c>
      <c r="C97" s="17">
        <v>14</v>
      </c>
      <c r="D97" s="20" t="s">
        <v>196</v>
      </c>
      <c r="E97" s="19">
        <v>0</v>
      </c>
      <c r="F97" s="33" t="s">
        <v>142</v>
      </c>
      <c r="G97" s="19" t="s">
        <v>153</v>
      </c>
      <c r="H97" s="19" t="s">
        <v>42</v>
      </c>
      <c r="I97" s="17" t="b">
        <v>0</v>
      </c>
      <c r="J97" s="17" t="s">
        <v>64</v>
      </c>
      <c r="K97" s="21" t="str">
        <f t="shared" si="3"/>
        <v>https://version2.ice-d.org/antarctica/sample/W2022-RI-112B/</v>
      </c>
      <c r="L97" s="53" t="s">
        <v>154</v>
      </c>
      <c r="M97" s="52"/>
      <c r="O97" s="17" t="s">
        <v>155</v>
      </c>
      <c r="P97" s="22">
        <v>-68.847520000000003</v>
      </c>
      <c r="Q97" s="22">
        <v>77.933099999999996</v>
      </c>
      <c r="R97" s="22"/>
      <c r="S97" s="22">
        <v>30</v>
      </c>
      <c r="T97" s="22">
        <v>0</v>
      </c>
      <c r="U97" s="23">
        <v>600</v>
      </c>
      <c r="V97" s="24" t="s">
        <v>2216</v>
      </c>
      <c r="W97" s="44" t="s">
        <v>2460</v>
      </c>
      <c r="X97" s="22">
        <f t="shared" si="4"/>
        <v>30</v>
      </c>
      <c r="Y97" s="22">
        <v>5</v>
      </c>
      <c r="Z97" s="22">
        <v>2.7</v>
      </c>
      <c r="AA97" s="17" t="s">
        <v>46</v>
      </c>
      <c r="AB97" s="26">
        <v>6817</v>
      </c>
      <c r="AC97" s="26">
        <v>704</v>
      </c>
      <c r="AD97" s="26">
        <v>917</v>
      </c>
      <c r="AE97" s="27">
        <v>39751.8829124107</v>
      </c>
      <c r="AF97" s="27">
        <v>2735.6741903471302</v>
      </c>
      <c r="AG97" s="27">
        <v>264653.057593951</v>
      </c>
      <c r="AH97" s="27">
        <v>27226.329777024701</v>
      </c>
      <c r="AI97" s="27">
        <v>2020</v>
      </c>
      <c r="AJ97" s="17">
        <v>0</v>
      </c>
      <c r="AK97" s="17">
        <v>0</v>
      </c>
    </row>
    <row r="98" spans="1:37" ht="12.75" customHeight="1">
      <c r="A98" s="52" t="s">
        <v>159</v>
      </c>
      <c r="B98" s="19" t="s">
        <v>158</v>
      </c>
      <c r="C98" s="17">
        <v>14</v>
      </c>
      <c r="D98" s="20" t="s">
        <v>196</v>
      </c>
      <c r="E98" s="19">
        <v>0</v>
      </c>
      <c r="F98" s="33" t="s">
        <v>142</v>
      </c>
      <c r="G98" s="19" t="s">
        <v>153</v>
      </c>
      <c r="H98" s="19" t="s">
        <v>42</v>
      </c>
      <c r="I98" s="17" t="b">
        <v>0</v>
      </c>
      <c r="J98" s="17" t="s">
        <v>43</v>
      </c>
      <c r="K98" s="21" t="str">
        <f t="shared" si="3"/>
        <v>https://version2.ice-d.org/antarctica/sample/W2022-RI-112B/</v>
      </c>
      <c r="L98" s="53" t="s">
        <v>154</v>
      </c>
      <c r="M98" s="52"/>
      <c r="O98" s="17" t="s">
        <v>155</v>
      </c>
      <c r="P98" s="22">
        <v>-68.847520000000003</v>
      </c>
      <c r="Q98" s="22">
        <v>77.933099999999996</v>
      </c>
      <c r="R98" s="22"/>
      <c r="S98" s="22">
        <v>30</v>
      </c>
      <c r="T98" s="22">
        <v>0</v>
      </c>
      <c r="U98" s="23">
        <v>600</v>
      </c>
      <c r="V98" s="24" t="s">
        <v>2217</v>
      </c>
      <c r="W98" s="44" t="s">
        <v>2460</v>
      </c>
      <c r="X98" s="22">
        <f t="shared" si="4"/>
        <v>30</v>
      </c>
      <c r="Y98" s="22">
        <v>5</v>
      </c>
      <c r="Z98" s="22">
        <v>2.7</v>
      </c>
      <c r="AA98" s="17" t="s">
        <v>46</v>
      </c>
      <c r="AB98" s="26">
        <v>7279</v>
      </c>
      <c r="AC98" s="26">
        <v>502</v>
      </c>
      <c r="AD98" s="26">
        <v>661</v>
      </c>
      <c r="AE98" s="27">
        <v>39751.8829124107</v>
      </c>
      <c r="AF98" s="27">
        <v>2735.6741903471302</v>
      </c>
      <c r="AG98" s="27">
        <v>264653.057593951</v>
      </c>
      <c r="AH98" s="27">
        <v>27226.329777024701</v>
      </c>
      <c r="AI98" s="27">
        <v>2020</v>
      </c>
      <c r="AJ98" s="17">
        <v>0</v>
      </c>
      <c r="AK98" s="17">
        <v>0</v>
      </c>
    </row>
    <row r="99" spans="1:37" ht="12.75" customHeight="1">
      <c r="A99" s="52" t="s">
        <v>160</v>
      </c>
      <c r="B99" s="19" t="s">
        <v>158</v>
      </c>
      <c r="C99" s="17">
        <v>14</v>
      </c>
      <c r="D99" s="20" t="s">
        <v>196</v>
      </c>
      <c r="E99" s="19">
        <v>0</v>
      </c>
      <c r="F99" s="33" t="s">
        <v>142</v>
      </c>
      <c r="G99" s="19" t="s">
        <v>153</v>
      </c>
      <c r="H99" s="19" t="s">
        <v>42</v>
      </c>
      <c r="I99" s="17" t="b">
        <v>0</v>
      </c>
      <c r="J99" s="17" t="s">
        <v>64</v>
      </c>
      <c r="K99" s="21" t="str">
        <f t="shared" si="3"/>
        <v>https://version2.ice-d.org/antarctica/sample/W2022-RI-113A/</v>
      </c>
      <c r="L99" s="53" t="s">
        <v>154</v>
      </c>
      <c r="M99" s="52"/>
      <c r="O99" s="17" t="s">
        <v>155</v>
      </c>
      <c r="P99" s="22">
        <v>-68.850800000000007</v>
      </c>
      <c r="Q99" s="22">
        <v>77.915549999999996</v>
      </c>
      <c r="R99" s="22"/>
      <c r="S99" s="22">
        <v>90</v>
      </c>
      <c r="T99" s="22">
        <v>0</v>
      </c>
      <c r="U99" s="23">
        <v>600</v>
      </c>
      <c r="V99" s="24" t="s">
        <v>2218</v>
      </c>
      <c r="W99" s="44" t="s">
        <v>2460</v>
      </c>
      <c r="X99" s="22">
        <f t="shared" si="4"/>
        <v>90</v>
      </c>
      <c r="Y99" s="22">
        <v>5</v>
      </c>
      <c r="Z99" s="22">
        <v>2.7</v>
      </c>
      <c r="AA99" s="17" t="s">
        <v>46</v>
      </c>
      <c r="AB99" s="26">
        <v>9325</v>
      </c>
      <c r="AC99" s="26">
        <v>1863</v>
      </c>
      <c r="AD99" s="26">
        <v>2030</v>
      </c>
      <c r="AE99" s="27">
        <v>55232.779511874302</v>
      </c>
      <c r="AF99" s="27">
        <v>3193.84341391313</v>
      </c>
      <c r="AG99" s="27">
        <v>386041.28533466702</v>
      </c>
      <c r="AH99" s="27">
        <v>76790.528701524498</v>
      </c>
      <c r="AI99" s="27">
        <v>2020</v>
      </c>
      <c r="AJ99" s="17">
        <v>0</v>
      </c>
      <c r="AK99" s="17">
        <v>0</v>
      </c>
    </row>
    <row r="100" spans="1:37" ht="12.75" customHeight="1">
      <c r="A100" s="52" t="s">
        <v>160</v>
      </c>
      <c r="B100" s="19" t="s">
        <v>158</v>
      </c>
      <c r="C100" s="17">
        <v>14</v>
      </c>
      <c r="D100" s="20" t="s">
        <v>196</v>
      </c>
      <c r="E100" s="19">
        <v>0</v>
      </c>
      <c r="F100" s="33" t="s">
        <v>142</v>
      </c>
      <c r="G100" s="19" t="s">
        <v>153</v>
      </c>
      <c r="H100" s="19" t="s">
        <v>42</v>
      </c>
      <c r="I100" s="17" t="b">
        <v>0</v>
      </c>
      <c r="J100" s="17" t="s">
        <v>43</v>
      </c>
      <c r="K100" s="21" t="str">
        <f t="shared" si="3"/>
        <v>https://version2.ice-d.org/antarctica/sample/W2022-RI-113A/</v>
      </c>
      <c r="L100" s="53" t="s">
        <v>154</v>
      </c>
      <c r="M100" s="52"/>
      <c r="O100" s="17" t="s">
        <v>155</v>
      </c>
      <c r="P100" s="22">
        <v>-68.850800000000007</v>
      </c>
      <c r="Q100" s="22">
        <v>77.915549999999996</v>
      </c>
      <c r="R100" s="22"/>
      <c r="S100" s="22">
        <v>90</v>
      </c>
      <c r="T100" s="22">
        <v>0</v>
      </c>
      <c r="U100" s="23">
        <v>600</v>
      </c>
      <c r="V100" s="24" t="s">
        <v>2219</v>
      </c>
      <c r="W100" s="44" t="s">
        <v>2460</v>
      </c>
      <c r="X100" s="22">
        <f t="shared" si="4"/>
        <v>90</v>
      </c>
      <c r="Y100" s="22">
        <v>5</v>
      </c>
      <c r="Z100" s="22">
        <v>2.7</v>
      </c>
      <c r="AA100" s="17" t="s">
        <v>46</v>
      </c>
      <c r="AB100" s="26">
        <v>9492</v>
      </c>
      <c r="AC100" s="26">
        <v>550</v>
      </c>
      <c r="AD100" s="26">
        <v>786</v>
      </c>
      <c r="AE100" s="27">
        <v>55232.779511874302</v>
      </c>
      <c r="AF100" s="27">
        <v>3193.84341391313</v>
      </c>
      <c r="AG100" s="27">
        <v>386041.28533466702</v>
      </c>
      <c r="AH100" s="27">
        <v>76790.528701524498</v>
      </c>
      <c r="AI100" s="27">
        <v>2020</v>
      </c>
      <c r="AJ100" s="17">
        <v>0</v>
      </c>
      <c r="AK100" s="17">
        <v>0</v>
      </c>
    </row>
    <row r="101" spans="1:37" ht="12.75" customHeight="1">
      <c r="A101" s="52" t="s">
        <v>161</v>
      </c>
      <c r="B101" s="19" t="s">
        <v>158</v>
      </c>
      <c r="C101" s="17">
        <v>14</v>
      </c>
      <c r="D101" s="20" t="s">
        <v>196</v>
      </c>
      <c r="E101" s="19">
        <v>0</v>
      </c>
      <c r="F101" s="33" t="s">
        <v>142</v>
      </c>
      <c r="G101" s="19" t="s">
        <v>153</v>
      </c>
      <c r="H101" s="19" t="s">
        <v>42</v>
      </c>
      <c r="I101" s="17" t="b">
        <v>0</v>
      </c>
      <c r="J101" s="17" t="s">
        <v>43</v>
      </c>
      <c r="K101" s="21" t="str">
        <f t="shared" si="3"/>
        <v>https://version2.ice-d.org/antarctica/sample/W2022-RI-113B/</v>
      </c>
      <c r="L101" s="53" t="s">
        <v>154</v>
      </c>
      <c r="M101" s="52"/>
      <c r="O101" s="17" t="s">
        <v>155</v>
      </c>
      <c r="P101" s="22">
        <v>-68.850800000000007</v>
      </c>
      <c r="Q101" s="22">
        <v>77.915549999999996</v>
      </c>
      <c r="R101" s="22"/>
      <c r="S101" s="22">
        <v>90</v>
      </c>
      <c r="T101" s="22">
        <v>0</v>
      </c>
      <c r="U101" s="23">
        <v>600</v>
      </c>
      <c r="V101" s="24" t="s">
        <v>2220</v>
      </c>
      <c r="W101" s="44" t="s">
        <v>2460</v>
      </c>
      <c r="X101" s="22">
        <f t="shared" si="4"/>
        <v>90</v>
      </c>
      <c r="Y101" s="22">
        <v>5</v>
      </c>
      <c r="Z101" s="22">
        <v>2.7</v>
      </c>
      <c r="AA101" s="17" t="s">
        <v>46</v>
      </c>
      <c r="AB101" s="26">
        <v>9863</v>
      </c>
      <c r="AC101" s="26">
        <v>1051</v>
      </c>
      <c r="AD101" s="26">
        <v>1202</v>
      </c>
      <c r="AE101" s="27">
        <v>57312.785658461296</v>
      </c>
      <c r="AF101" s="27">
        <v>6090.8274108340102</v>
      </c>
      <c r="AG101" s="27">
        <v>450323.16025498399</v>
      </c>
      <c r="AH101" s="27">
        <v>88177.847443679799</v>
      </c>
      <c r="AI101" s="27">
        <v>2020</v>
      </c>
      <c r="AJ101" s="17">
        <v>0</v>
      </c>
      <c r="AK101" s="17">
        <v>0</v>
      </c>
    </row>
    <row r="102" spans="1:37" ht="12.75" customHeight="1">
      <c r="A102" s="52" t="s">
        <v>161</v>
      </c>
      <c r="B102" s="19" t="s">
        <v>158</v>
      </c>
      <c r="C102" s="17">
        <v>14</v>
      </c>
      <c r="D102" s="20" t="s">
        <v>196</v>
      </c>
      <c r="E102" s="19">
        <v>0</v>
      </c>
      <c r="F102" s="33" t="s">
        <v>142</v>
      </c>
      <c r="G102" s="19" t="s">
        <v>153</v>
      </c>
      <c r="H102" s="19" t="s">
        <v>42</v>
      </c>
      <c r="I102" s="17" t="b">
        <v>0</v>
      </c>
      <c r="J102" s="17" t="s">
        <v>64</v>
      </c>
      <c r="K102" s="21" t="str">
        <f t="shared" si="3"/>
        <v>https://version2.ice-d.org/antarctica/sample/W2022-RI-113B/</v>
      </c>
      <c r="L102" s="53" t="s">
        <v>154</v>
      </c>
      <c r="M102" s="52"/>
      <c r="O102" s="17" t="s">
        <v>155</v>
      </c>
      <c r="P102" s="22">
        <v>-68.850800000000007</v>
      </c>
      <c r="Q102" s="22">
        <v>77.915549999999996</v>
      </c>
      <c r="R102" s="22"/>
      <c r="S102" s="22">
        <v>90</v>
      </c>
      <c r="T102" s="22">
        <v>0</v>
      </c>
      <c r="U102" s="23">
        <v>600</v>
      </c>
      <c r="V102" s="24" t="s">
        <v>2221</v>
      </c>
      <c r="W102" s="44" t="s">
        <v>2460</v>
      </c>
      <c r="X102" s="22">
        <f t="shared" si="4"/>
        <v>90</v>
      </c>
      <c r="Y102" s="22">
        <v>5</v>
      </c>
      <c r="Z102" s="22">
        <v>2.7</v>
      </c>
      <c r="AA102" s="17" t="s">
        <v>46</v>
      </c>
      <c r="AB102" s="26">
        <v>10919</v>
      </c>
      <c r="AC102" s="26">
        <v>2150</v>
      </c>
      <c r="AD102" s="26">
        <v>2348</v>
      </c>
      <c r="AE102" s="27">
        <v>57312.785658461296</v>
      </c>
      <c r="AF102" s="27">
        <v>6090.8274108340102</v>
      </c>
      <c r="AG102" s="27">
        <v>450323.16025498399</v>
      </c>
      <c r="AH102" s="27">
        <v>88177.847443679799</v>
      </c>
      <c r="AI102" s="27">
        <v>2020</v>
      </c>
      <c r="AJ102" s="17">
        <v>0</v>
      </c>
      <c r="AK102" s="17">
        <v>0</v>
      </c>
    </row>
    <row r="103" spans="1:37" ht="12.75" customHeight="1">
      <c r="A103" s="52" t="s">
        <v>162</v>
      </c>
      <c r="B103" s="19" t="s">
        <v>158</v>
      </c>
      <c r="C103" s="17">
        <v>14</v>
      </c>
      <c r="D103" s="20" t="s">
        <v>196</v>
      </c>
      <c r="E103" s="19">
        <v>0</v>
      </c>
      <c r="F103" s="33" t="s">
        <v>142</v>
      </c>
      <c r="G103" s="19" t="s">
        <v>153</v>
      </c>
      <c r="H103" s="19" t="s">
        <v>42</v>
      </c>
      <c r="I103" s="17" t="b">
        <v>0</v>
      </c>
      <c r="J103" s="17" t="s">
        <v>43</v>
      </c>
      <c r="K103" s="21" t="str">
        <f t="shared" si="3"/>
        <v>https://version2.ice-d.org/antarctica/sample/W2022-RI-113D/</v>
      </c>
      <c r="L103" s="53" t="s">
        <v>154</v>
      </c>
      <c r="M103" s="52"/>
      <c r="O103" s="17" t="s">
        <v>155</v>
      </c>
      <c r="P103" s="22">
        <v>-68.850800000000007</v>
      </c>
      <c r="Q103" s="22">
        <v>77.915549999999996</v>
      </c>
      <c r="R103" s="22"/>
      <c r="S103" s="22">
        <v>90</v>
      </c>
      <c r="T103" s="22">
        <v>0</v>
      </c>
      <c r="U103" s="23">
        <v>600</v>
      </c>
      <c r="V103" s="24" t="s">
        <v>2222</v>
      </c>
      <c r="W103" s="44" t="s">
        <v>2460</v>
      </c>
      <c r="X103" s="22">
        <f t="shared" si="4"/>
        <v>90</v>
      </c>
      <c r="Y103" s="22">
        <v>5</v>
      </c>
      <c r="Z103" s="22">
        <v>2.7</v>
      </c>
      <c r="AA103" s="17" t="s">
        <v>46</v>
      </c>
      <c r="AB103" s="26">
        <v>8963</v>
      </c>
      <c r="AC103" s="26">
        <v>387</v>
      </c>
      <c r="AD103" s="26">
        <v>656</v>
      </c>
      <c r="AE103" s="27">
        <v>52134.705916022998</v>
      </c>
      <c r="AF103" s="27">
        <v>2247.07090926611</v>
      </c>
      <c r="AG103" s="27">
        <v>446543.77351567702</v>
      </c>
      <c r="AH103" s="27">
        <v>313693.97455931501</v>
      </c>
      <c r="AI103" s="27">
        <v>2020</v>
      </c>
      <c r="AJ103" s="17">
        <v>0</v>
      </c>
      <c r="AK103" s="17">
        <v>0</v>
      </c>
    </row>
    <row r="104" spans="1:37" ht="12.75" customHeight="1">
      <c r="A104" s="52" t="s">
        <v>162</v>
      </c>
      <c r="B104" s="19" t="s">
        <v>158</v>
      </c>
      <c r="C104" s="17">
        <v>14</v>
      </c>
      <c r="D104" s="20" t="s">
        <v>196</v>
      </c>
      <c r="E104" s="19">
        <v>0</v>
      </c>
      <c r="F104" s="33" t="s">
        <v>142</v>
      </c>
      <c r="G104" s="19" t="s">
        <v>153</v>
      </c>
      <c r="H104" s="19" t="s">
        <v>42</v>
      </c>
      <c r="I104" s="17" t="b">
        <v>0</v>
      </c>
      <c r="J104" s="17" t="s">
        <v>64</v>
      </c>
      <c r="K104" s="21" t="str">
        <f t="shared" si="3"/>
        <v>https://version2.ice-d.org/antarctica/sample/W2022-RI-113D/</v>
      </c>
      <c r="L104" s="53" t="s">
        <v>154</v>
      </c>
      <c r="M104" s="52"/>
      <c r="O104" s="17" t="s">
        <v>155</v>
      </c>
      <c r="P104" s="22">
        <v>-68.850800000000007</v>
      </c>
      <c r="Q104" s="22">
        <v>77.915549999999996</v>
      </c>
      <c r="R104" s="22"/>
      <c r="S104" s="22">
        <v>90</v>
      </c>
      <c r="T104" s="22">
        <v>0</v>
      </c>
      <c r="U104" s="23">
        <v>600</v>
      </c>
      <c r="V104" s="24" t="s">
        <v>2223</v>
      </c>
      <c r="W104" s="44" t="s">
        <v>2460</v>
      </c>
      <c r="X104" s="22">
        <f t="shared" si="4"/>
        <v>90</v>
      </c>
      <c r="Y104" s="22">
        <v>5</v>
      </c>
      <c r="Z104" s="22">
        <v>2.7</v>
      </c>
      <c r="AA104" s="17" t="s">
        <v>46</v>
      </c>
      <c r="AB104" s="26">
        <v>10818</v>
      </c>
      <c r="AC104" s="26">
        <v>7640</v>
      </c>
      <c r="AD104" s="26">
        <v>7697</v>
      </c>
      <c r="AE104" s="27">
        <v>52134.705916022998</v>
      </c>
      <c r="AF104" s="27">
        <v>2247.07090926611</v>
      </c>
      <c r="AG104" s="27">
        <v>446543.77351567702</v>
      </c>
      <c r="AH104" s="27">
        <v>313693.97455931501</v>
      </c>
      <c r="AI104" s="27">
        <v>2020</v>
      </c>
      <c r="AJ104" s="17">
        <v>0</v>
      </c>
      <c r="AK104" s="17">
        <v>0</v>
      </c>
    </row>
    <row r="105" spans="1:37" ht="12.75" customHeight="1">
      <c r="A105" s="52" t="s">
        <v>163</v>
      </c>
      <c r="B105" s="19" t="s">
        <v>158</v>
      </c>
      <c r="C105" s="17">
        <v>15</v>
      </c>
      <c r="D105" s="20" t="s">
        <v>196</v>
      </c>
      <c r="E105" s="19">
        <v>0</v>
      </c>
      <c r="F105" s="33" t="s">
        <v>142</v>
      </c>
      <c r="G105" s="19" t="s">
        <v>153</v>
      </c>
      <c r="H105" s="19" t="s">
        <v>42</v>
      </c>
      <c r="I105" s="17" t="b">
        <v>0</v>
      </c>
      <c r="J105" s="17" t="s">
        <v>43</v>
      </c>
      <c r="K105" s="21" t="str">
        <f t="shared" si="3"/>
        <v>https://version2.ice-d.org/antarctica/sample/W2022-RI-117A/</v>
      </c>
      <c r="L105" s="53" t="s">
        <v>154</v>
      </c>
      <c r="M105" s="52"/>
      <c r="O105" s="17" t="s">
        <v>155</v>
      </c>
      <c r="P105" s="22">
        <v>-68.848569999999995</v>
      </c>
      <c r="Q105" s="22">
        <v>77.937070000000006</v>
      </c>
      <c r="R105" s="22"/>
      <c r="S105" s="22">
        <v>50</v>
      </c>
      <c r="T105" s="22">
        <v>0</v>
      </c>
      <c r="U105" s="23">
        <v>600</v>
      </c>
      <c r="V105" s="24" t="s">
        <v>2224</v>
      </c>
      <c r="W105" s="44" t="s">
        <v>2460</v>
      </c>
      <c r="X105" s="22">
        <f t="shared" si="4"/>
        <v>50</v>
      </c>
      <c r="Y105" s="22">
        <v>5</v>
      </c>
      <c r="Z105" s="22">
        <v>2.7</v>
      </c>
      <c r="AA105" s="17" t="s">
        <v>46</v>
      </c>
      <c r="AB105" s="26">
        <v>5952</v>
      </c>
      <c r="AC105" s="26">
        <v>463</v>
      </c>
      <c r="AD105" s="26">
        <v>581</v>
      </c>
      <c r="AE105" s="27">
        <v>33051.432223844698</v>
      </c>
      <c r="AF105" s="27">
        <v>2565.74857051563</v>
      </c>
      <c r="AG105" s="28"/>
      <c r="AH105" s="28"/>
      <c r="AI105" s="27">
        <v>2020</v>
      </c>
      <c r="AJ105" s="17">
        <v>0</v>
      </c>
      <c r="AK105" s="17">
        <v>0</v>
      </c>
    </row>
    <row r="106" spans="1:37" ht="12.75" customHeight="1">
      <c r="A106" s="52" t="s">
        <v>164</v>
      </c>
      <c r="B106" s="19" t="s">
        <v>158</v>
      </c>
      <c r="C106" s="17">
        <v>15</v>
      </c>
      <c r="D106" s="20" t="s">
        <v>196</v>
      </c>
      <c r="E106" s="19">
        <v>0</v>
      </c>
      <c r="F106" s="33" t="s">
        <v>142</v>
      </c>
      <c r="G106" s="19" t="s">
        <v>153</v>
      </c>
      <c r="H106" s="19" t="s">
        <v>42</v>
      </c>
      <c r="I106" s="17" t="b">
        <v>0</v>
      </c>
      <c r="J106" s="17" t="s">
        <v>43</v>
      </c>
      <c r="K106" s="21" t="str">
        <f t="shared" si="3"/>
        <v>https://version2.ice-d.org/antarctica/sample/W2022-RI-41A/</v>
      </c>
      <c r="L106" s="53" t="s">
        <v>154</v>
      </c>
      <c r="M106" s="52"/>
      <c r="O106" s="17" t="s">
        <v>155</v>
      </c>
      <c r="P106" s="22">
        <v>-68.845330000000004</v>
      </c>
      <c r="Q106" s="22">
        <v>77.938500000000005</v>
      </c>
      <c r="R106" s="22"/>
      <c r="S106" s="22">
        <v>20</v>
      </c>
      <c r="T106" s="22">
        <v>0</v>
      </c>
      <c r="U106" s="23">
        <v>600</v>
      </c>
      <c r="V106" s="24" t="s">
        <v>2225</v>
      </c>
      <c r="W106" s="44" t="s">
        <v>2460</v>
      </c>
      <c r="X106" s="22">
        <f t="shared" si="4"/>
        <v>20</v>
      </c>
      <c r="Y106" s="22">
        <v>5</v>
      </c>
      <c r="Z106" s="22">
        <v>2.7</v>
      </c>
      <c r="AA106" s="17" t="s">
        <v>46</v>
      </c>
      <c r="AB106" s="26">
        <v>355</v>
      </c>
      <c r="AC106" s="26">
        <v>220</v>
      </c>
      <c r="AD106" s="26">
        <v>221</v>
      </c>
      <c r="AE106" s="27">
        <v>1939.2255236865301</v>
      </c>
      <c r="AF106" s="27">
        <v>1201.25583672006</v>
      </c>
      <c r="AG106" s="28"/>
      <c r="AH106" s="28"/>
      <c r="AI106" s="27">
        <v>2020</v>
      </c>
      <c r="AJ106" s="17">
        <v>0</v>
      </c>
      <c r="AK106" s="17">
        <v>0</v>
      </c>
    </row>
    <row r="107" spans="1:37" ht="12.75" customHeight="1">
      <c r="A107" s="52" t="s">
        <v>165</v>
      </c>
      <c r="B107" s="19" t="s">
        <v>166</v>
      </c>
      <c r="C107" s="17">
        <v>15</v>
      </c>
      <c r="D107" s="20" t="s">
        <v>196</v>
      </c>
      <c r="E107" s="19">
        <v>0</v>
      </c>
      <c r="F107" s="33" t="s">
        <v>142</v>
      </c>
      <c r="G107" s="19" t="s">
        <v>153</v>
      </c>
      <c r="H107" s="19" t="s">
        <v>42</v>
      </c>
      <c r="I107" s="17" t="b">
        <v>0</v>
      </c>
      <c r="J107" s="17" t="s">
        <v>43</v>
      </c>
      <c r="K107" s="21" t="str">
        <f t="shared" si="3"/>
        <v>https://version2.ice-d.org/antarctica/sample/W2022-RI-35B/</v>
      </c>
      <c r="L107" s="53" t="s">
        <v>154</v>
      </c>
      <c r="M107" s="52"/>
      <c r="O107" s="17" t="s">
        <v>155</v>
      </c>
      <c r="P107" s="22">
        <v>-68.819599999999994</v>
      </c>
      <c r="Q107" s="22">
        <v>77.688599999999994</v>
      </c>
      <c r="R107" s="22"/>
      <c r="S107" s="22">
        <v>32</v>
      </c>
      <c r="T107" s="22">
        <v>0</v>
      </c>
      <c r="U107" s="23">
        <v>600</v>
      </c>
      <c r="V107" s="24" t="s">
        <v>2226</v>
      </c>
      <c r="W107" s="44" t="s">
        <v>2460</v>
      </c>
      <c r="X107" s="22">
        <f t="shared" si="4"/>
        <v>32</v>
      </c>
      <c r="Y107" s="22">
        <v>5</v>
      </c>
      <c r="Z107" s="22">
        <v>2.7</v>
      </c>
      <c r="AA107" s="17" t="s">
        <v>46</v>
      </c>
      <c r="AB107" s="26">
        <v>10435</v>
      </c>
      <c r="AC107" s="26">
        <v>855</v>
      </c>
      <c r="AD107" s="26">
        <v>1055</v>
      </c>
      <c r="AE107" s="27">
        <v>57152.884358010902</v>
      </c>
      <c r="AF107" s="27">
        <v>4670.7004063347704</v>
      </c>
      <c r="AG107" s="27">
        <v>409569.35734934302</v>
      </c>
      <c r="AH107" s="27">
        <v>68619.272995833395</v>
      </c>
      <c r="AI107" s="27">
        <v>2020</v>
      </c>
      <c r="AJ107" s="17">
        <v>0</v>
      </c>
      <c r="AK107" s="17">
        <v>0</v>
      </c>
    </row>
    <row r="108" spans="1:37" ht="12.75" customHeight="1">
      <c r="A108" s="52" t="s">
        <v>165</v>
      </c>
      <c r="B108" s="19" t="s">
        <v>166</v>
      </c>
      <c r="C108" s="17">
        <v>15</v>
      </c>
      <c r="D108" s="20" t="s">
        <v>196</v>
      </c>
      <c r="E108" s="19">
        <v>0</v>
      </c>
      <c r="F108" s="33" t="s">
        <v>142</v>
      </c>
      <c r="G108" s="19" t="s">
        <v>153</v>
      </c>
      <c r="H108" s="19" t="s">
        <v>42</v>
      </c>
      <c r="I108" s="17" t="b">
        <v>0</v>
      </c>
      <c r="J108" s="17" t="s">
        <v>64</v>
      </c>
      <c r="K108" s="21" t="str">
        <f t="shared" si="3"/>
        <v>https://version2.ice-d.org/antarctica/sample/W2022-RI-35B/</v>
      </c>
      <c r="L108" s="53" t="s">
        <v>154</v>
      </c>
      <c r="M108" s="52"/>
      <c r="O108" s="17" t="s">
        <v>155</v>
      </c>
      <c r="P108" s="22">
        <v>-68.819599999999994</v>
      </c>
      <c r="Q108" s="22">
        <v>77.688599999999994</v>
      </c>
      <c r="R108" s="22"/>
      <c r="S108" s="22">
        <v>32</v>
      </c>
      <c r="T108" s="22">
        <v>0</v>
      </c>
      <c r="U108" s="23">
        <v>600</v>
      </c>
      <c r="V108" s="24" t="s">
        <v>2227</v>
      </c>
      <c r="W108" s="44" t="s">
        <v>2460</v>
      </c>
      <c r="X108" s="22">
        <f t="shared" si="4"/>
        <v>32</v>
      </c>
      <c r="Y108" s="22">
        <v>5</v>
      </c>
      <c r="Z108" s="22">
        <v>2.7</v>
      </c>
      <c r="AA108" s="17" t="s">
        <v>46</v>
      </c>
      <c r="AB108" s="26">
        <v>10501</v>
      </c>
      <c r="AC108" s="26">
        <v>1768</v>
      </c>
      <c r="AD108" s="26">
        <v>1988</v>
      </c>
      <c r="AE108" s="27">
        <v>57152.884358010902</v>
      </c>
      <c r="AF108" s="27">
        <v>4670.7004063347704</v>
      </c>
      <c r="AG108" s="27">
        <v>409569.35734934302</v>
      </c>
      <c r="AH108" s="27">
        <v>68619.272995833395</v>
      </c>
      <c r="AI108" s="27">
        <v>2020</v>
      </c>
      <c r="AJ108" s="17">
        <v>0</v>
      </c>
      <c r="AK108" s="17">
        <v>0</v>
      </c>
    </row>
    <row r="109" spans="1:37" ht="12.75" customHeight="1">
      <c r="A109" s="52" t="s">
        <v>167</v>
      </c>
      <c r="B109" s="19" t="s">
        <v>166</v>
      </c>
      <c r="C109" s="17">
        <v>15</v>
      </c>
      <c r="D109" s="20" t="s">
        <v>196</v>
      </c>
      <c r="E109" s="19">
        <v>0</v>
      </c>
      <c r="F109" s="33" t="s">
        <v>142</v>
      </c>
      <c r="G109" s="19" t="s">
        <v>153</v>
      </c>
      <c r="H109" s="19" t="s">
        <v>42</v>
      </c>
      <c r="I109" s="17" t="b">
        <v>0</v>
      </c>
      <c r="J109" s="17" t="s">
        <v>64</v>
      </c>
      <c r="K109" s="21" t="str">
        <f t="shared" si="3"/>
        <v>https://version2.ice-d.org/antarctica/sample/W2022-RI-35C/</v>
      </c>
      <c r="L109" s="53" t="s">
        <v>154</v>
      </c>
      <c r="M109" s="52"/>
      <c r="O109" s="17" t="s">
        <v>155</v>
      </c>
      <c r="P109" s="22">
        <v>-68.819599999999994</v>
      </c>
      <c r="Q109" s="22">
        <v>77.688599999999994</v>
      </c>
      <c r="R109" s="22"/>
      <c r="S109" s="22">
        <v>32</v>
      </c>
      <c r="T109" s="22">
        <v>0</v>
      </c>
      <c r="U109" s="23">
        <v>600</v>
      </c>
      <c r="V109" s="24" t="s">
        <v>2228</v>
      </c>
      <c r="W109" s="44" t="s">
        <v>2460</v>
      </c>
      <c r="X109" s="22">
        <f t="shared" si="4"/>
        <v>32</v>
      </c>
      <c r="Y109" s="22">
        <v>5</v>
      </c>
      <c r="Z109" s="22">
        <v>2.7</v>
      </c>
      <c r="AA109" s="17" t="s">
        <v>46</v>
      </c>
      <c r="AB109" s="26">
        <v>8925</v>
      </c>
      <c r="AC109" s="26">
        <v>3907</v>
      </c>
      <c r="AD109" s="26">
        <v>3983</v>
      </c>
      <c r="AE109" s="27">
        <v>75297.3153949314</v>
      </c>
      <c r="AF109" s="27">
        <v>9213.6108116717896</v>
      </c>
      <c r="AG109" s="27">
        <v>348772.37121043599</v>
      </c>
      <c r="AH109" s="27">
        <v>152012.28676155701</v>
      </c>
      <c r="AI109" s="27">
        <v>2020</v>
      </c>
      <c r="AJ109" s="17">
        <v>0</v>
      </c>
      <c r="AK109" s="17">
        <v>0</v>
      </c>
    </row>
    <row r="110" spans="1:37" ht="12.75" customHeight="1">
      <c r="A110" s="52" t="s">
        <v>167</v>
      </c>
      <c r="B110" s="19" t="s">
        <v>166</v>
      </c>
      <c r="C110" s="17">
        <v>15</v>
      </c>
      <c r="D110" s="20" t="s">
        <v>196</v>
      </c>
      <c r="E110" s="19">
        <v>0</v>
      </c>
      <c r="F110" s="33" t="s">
        <v>142</v>
      </c>
      <c r="G110" s="19" t="s">
        <v>153</v>
      </c>
      <c r="H110" s="19" t="s">
        <v>42</v>
      </c>
      <c r="I110" s="17" t="b">
        <v>0</v>
      </c>
      <c r="J110" s="17" t="s">
        <v>43</v>
      </c>
      <c r="K110" s="21" t="str">
        <f t="shared" si="3"/>
        <v>https://version2.ice-d.org/antarctica/sample/W2022-RI-35C/</v>
      </c>
      <c r="L110" s="53" t="s">
        <v>154</v>
      </c>
      <c r="M110" s="52"/>
      <c r="O110" s="17" t="s">
        <v>155</v>
      </c>
      <c r="P110" s="22">
        <v>-68.819599999999994</v>
      </c>
      <c r="Q110" s="22">
        <v>77.688599999999994</v>
      </c>
      <c r="R110" s="22"/>
      <c r="S110" s="22">
        <v>32</v>
      </c>
      <c r="T110" s="22">
        <v>0</v>
      </c>
      <c r="U110" s="23">
        <v>600</v>
      </c>
      <c r="V110" s="24" t="s">
        <v>2229</v>
      </c>
      <c r="W110" s="44" t="s">
        <v>2460</v>
      </c>
      <c r="X110" s="22">
        <f t="shared" si="4"/>
        <v>32</v>
      </c>
      <c r="Y110" s="22">
        <v>5</v>
      </c>
      <c r="Z110" s="22">
        <v>2.7</v>
      </c>
      <c r="AA110" s="17" t="s">
        <v>46</v>
      </c>
      <c r="AB110" s="26">
        <v>13808</v>
      </c>
      <c r="AC110" s="26">
        <v>1695</v>
      </c>
      <c r="AD110" s="26">
        <v>1882</v>
      </c>
      <c r="AE110" s="27">
        <v>75297.3153949314</v>
      </c>
      <c r="AF110" s="27">
        <v>9213.6108116717896</v>
      </c>
      <c r="AG110" s="27">
        <v>348772.37121043599</v>
      </c>
      <c r="AH110" s="27">
        <v>152012.28676155701</v>
      </c>
      <c r="AI110" s="27">
        <v>2020</v>
      </c>
      <c r="AJ110" s="17">
        <v>0</v>
      </c>
      <c r="AK110" s="17">
        <v>0</v>
      </c>
    </row>
    <row r="111" spans="1:37" ht="12.75" customHeight="1">
      <c r="A111" s="52" t="s">
        <v>168</v>
      </c>
      <c r="B111" s="19" t="s">
        <v>169</v>
      </c>
      <c r="C111" s="17">
        <v>15</v>
      </c>
      <c r="D111" s="20" t="s">
        <v>196</v>
      </c>
      <c r="E111" s="19">
        <v>0</v>
      </c>
      <c r="F111" s="33" t="s">
        <v>142</v>
      </c>
      <c r="G111" s="19" t="s">
        <v>153</v>
      </c>
      <c r="H111" s="19" t="s">
        <v>42</v>
      </c>
      <c r="I111" s="17" t="b">
        <v>0</v>
      </c>
      <c r="J111" s="17" t="s">
        <v>43</v>
      </c>
      <c r="K111" s="21" t="str">
        <f t="shared" si="3"/>
        <v>https://version2.ice-d.org/antarctica/sample/W2022-RI-38A/</v>
      </c>
      <c r="L111" s="53" t="s">
        <v>154</v>
      </c>
      <c r="M111" s="52"/>
      <c r="O111" s="17" t="s">
        <v>155</v>
      </c>
      <c r="P111" s="22">
        <v>-68.831630000000004</v>
      </c>
      <c r="Q111" s="22">
        <v>77.601020000000005</v>
      </c>
      <c r="R111" s="22"/>
      <c r="S111" s="22">
        <v>59</v>
      </c>
      <c r="T111" s="22">
        <v>0</v>
      </c>
      <c r="U111" s="23">
        <v>600</v>
      </c>
      <c r="V111" s="24" t="s">
        <v>2230</v>
      </c>
      <c r="W111" s="44" t="s">
        <v>2460</v>
      </c>
      <c r="X111" s="22">
        <f t="shared" si="4"/>
        <v>59</v>
      </c>
      <c r="Y111" s="22">
        <v>5</v>
      </c>
      <c r="Z111" s="22">
        <v>2.7</v>
      </c>
      <c r="AA111" s="17" t="s">
        <v>46</v>
      </c>
      <c r="AB111" s="26">
        <v>13433</v>
      </c>
      <c r="AC111" s="26">
        <v>739</v>
      </c>
      <c r="AD111" s="26">
        <v>1086</v>
      </c>
      <c r="AE111" s="27">
        <v>75300.8226410645</v>
      </c>
      <c r="AF111" s="27">
        <v>4129.81308195562</v>
      </c>
      <c r="AG111" s="27">
        <v>700285.91950188996</v>
      </c>
      <c r="AH111" s="27">
        <v>80349.476455522905</v>
      </c>
      <c r="AI111" s="27">
        <v>2020</v>
      </c>
      <c r="AJ111" s="17">
        <v>0</v>
      </c>
      <c r="AK111" s="17">
        <v>0</v>
      </c>
    </row>
    <row r="112" spans="1:37" ht="12.75" customHeight="1">
      <c r="A112" s="52" t="s">
        <v>168</v>
      </c>
      <c r="B112" s="19" t="s">
        <v>169</v>
      </c>
      <c r="C112" s="17">
        <v>15</v>
      </c>
      <c r="D112" s="20" t="s">
        <v>196</v>
      </c>
      <c r="E112" s="19">
        <v>0</v>
      </c>
      <c r="F112" s="33" t="s">
        <v>142</v>
      </c>
      <c r="G112" s="19" t="s">
        <v>153</v>
      </c>
      <c r="H112" s="19" t="s">
        <v>42</v>
      </c>
      <c r="I112" s="17" t="b">
        <v>0</v>
      </c>
      <c r="J112" s="17" t="s">
        <v>64</v>
      </c>
      <c r="K112" s="21" t="str">
        <f t="shared" si="3"/>
        <v>https://version2.ice-d.org/antarctica/sample/W2022-RI-38A/</v>
      </c>
      <c r="L112" s="53" t="s">
        <v>154</v>
      </c>
      <c r="M112" s="52"/>
      <c r="O112" s="17" t="s">
        <v>155</v>
      </c>
      <c r="P112" s="22">
        <v>-68.831630000000004</v>
      </c>
      <c r="Q112" s="22">
        <v>77.601020000000005</v>
      </c>
      <c r="R112" s="22"/>
      <c r="S112" s="22">
        <v>59</v>
      </c>
      <c r="T112" s="22">
        <v>0</v>
      </c>
      <c r="U112" s="23">
        <v>600</v>
      </c>
      <c r="V112" s="24" t="s">
        <v>2231</v>
      </c>
      <c r="W112" s="44" t="s">
        <v>2460</v>
      </c>
      <c r="X112" s="22">
        <f t="shared" si="4"/>
        <v>59</v>
      </c>
      <c r="Y112" s="22">
        <v>5</v>
      </c>
      <c r="Z112" s="22">
        <v>2.7</v>
      </c>
      <c r="AA112" s="17" t="s">
        <v>46</v>
      </c>
      <c r="AB112" s="26">
        <v>17612</v>
      </c>
      <c r="AC112" s="26">
        <v>2038</v>
      </c>
      <c r="AD112" s="26">
        <v>2547</v>
      </c>
      <c r="AE112" s="27">
        <v>75300.8226410645</v>
      </c>
      <c r="AF112" s="27">
        <v>4129.81308195562</v>
      </c>
      <c r="AG112" s="27">
        <v>700285.91950188996</v>
      </c>
      <c r="AH112" s="27">
        <v>80349.476455522905</v>
      </c>
      <c r="AI112" s="27">
        <v>2020</v>
      </c>
      <c r="AJ112" s="17">
        <v>0</v>
      </c>
      <c r="AK112" s="17">
        <v>0</v>
      </c>
    </row>
    <row r="113" spans="1:38" ht="12.75" customHeight="1">
      <c r="A113" s="52" t="s">
        <v>170</v>
      </c>
      <c r="B113" s="19" t="s">
        <v>169</v>
      </c>
      <c r="C113" s="17">
        <v>15</v>
      </c>
      <c r="D113" s="20" t="s">
        <v>196</v>
      </c>
      <c r="E113" s="19">
        <v>0</v>
      </c>
      <c r="F113" s="33" t="s">
        <v>142</v>
      </c>
      <c r="G113" s="19" t="s">
        <v>153</v>
      </c>
      <c r="H113" s="19" t="s">
        <v>42</v>
      </c>
      <c r="I113" s="17" t="b">
        <v>0</v>
      </c>
      <c r="J113" s="17" t="s">
        <v>43</v>
      </c>
      <c r="K113" s="21" t="str">
        <f t="shared" si="3"/>
        <v>https://version2.ice-d.org/antarctica/sample/W2022-RI-38B/</v>
      </c>
      <c r="L113" s="53" t="s">
        <v>154</v>
      </c>
      <c r="M113" s="52"/>
      <c r="O113" s="17" t="s">
        <v>155</v>
      </c>
      <c r="P113" s="22">
        <v>-68.831630000000004</v>
      </c>
      <c r="Q113" s="22">
        <v>77.601020000000005</v>
      </c>
      <c r="R113" s="22"/>
      <c r="S113" s="22">
        <v>59</v>
      </c>
      <c r="T113" s="22">
        <v>0</v>
      </c>
      <c r="U113" s="23">
        <v>600</v>
      </c>
      <c r="V113" s="24" t="s">
        <v>2232</v>
      </c>
      <c r="W113" s="44" t="s">
        <v>2460</v>
      </c>
      <c r="X113" s="22">
        <f t="shared" si="4"/>
        <v>59</v>
      </c>
      <c r="Y113" s="22">
        <v>5</v>
      </c>
      <c r="Z113" s="22">
        <v>2.7</v>
      </c>
      <c r="AA113" s="17" t="s">
        <v>46</v>
      </c>
      <c r="AB113" s="26">
        <v>14561</v>
      </c>
      <c r="AC113" s="26">
        <v>1727</v>
      </c>
      <c r="AD113" s="26">
        <v>1931</v>
      </c>
      <c r="AE113" s="27">
        <v>81574.986096025605</v>
      </c>
      <c r="AF113" s="27">
        <v>9641.2743450849903</v>
      </c>
      <c r="AG113" s="27">
        <v>608068.52590615896</v>
      </c>
      <c r="AH113" s="27">
        <v>134707.59106675501</v>
      </c>
      <c r="AI113" s="27">
        <v>2020</v>
      </c>
      <c r="AJ113" s="17">
        <v>0</v>
      </c>
      <c r="AK113" s="17">
        <v>0</v>
      </c>
    </row>
    <row r="114" spans="1:38" ht="12.75" customHeight="1">
      <c r="A114" s="52" t="s">
        <v>170</v>
      </c>
      <c r="B114" s="19" t="s">
        <v>169</v>
      </c>
      <c r="C114" s="17">
        <v>15</v>
      </c>
      <c r="D114" s="20" t="s">
        <v>196</v>
      </c>
      <c r="E114" s="19">
        <v>0</v>
      </c>
      <c r="F114" s="33" t="s">
        <v>142</v>
      </c>
      <c r="G114" s="19" t="s">
        <v>153</v>
      </c>
      <c r="H114" s="19" t="s">
        <v>42</v>
      </c>
      <c r="I114" s="17" t="b">
        <v>0</v>
      </c>
      <c r="J114" s="17" t="s">
        <v>64</v>
      </c>
      <c r="K114" s="21" t="str">
        <f t="shared" si="3"/>
        <v>https://version2.ice-d.org/antarctica/sample/W2022-RI-38B/</v>
      </c>
      <c r="L114" s="53" t="s">
        <v>154</v>
      </c>
      <c r="M114" s="52"/>
      <c r="O114" s="17" t="s">
        <v>155</v>
      </c>
      <c r="P114" s="22">
        <v>-68.831630000000004</v>
      </c>
      <c r="Q114" s="22">
        <v>77.601020000000005</v>
      </c>
      <c r="R114" s="22"/>
      <c r="S114" s="22">
        <v>59</v>
      </c>
      <c r="T114" s="22">
        <v>0</v>
      </c>
      <c r="U114" s="23">
        <v>600</v>
      </c>
      <c r="V114" s="24" t="s">
        <v>2233</v>
      </c>
      <c r="W114" s="44" t="s">
        <v>2460</v>
      </c>
      <c r="X114" s="22">
        <f t="shared" si="4"/>
        <v>59</v>
      </c>
      <c r="Y114" s="22">
        <v>5</v>
      </c>
      <c r="Z114" s="22">
        <v>2.7</v>
      </c>
      <c r="AA114" s="17" t="s">
        <v>46</v>
      </c>
      <c r="AB114" s="26">
        <v>15268</v>
      </c>
      <c r="AC114" s="26">
        <v>3408</v>
      </c>
      <c r="AD114" s="26">
        <v>3656</v>
      </c>
      <c r="AE114" s="27">
        <v>81574.986096025605</v>
      </c>
      <c r="AF114" s="27">
        <v>9641.2743450849903</v>
      </c>
      <c r="AG114" s="27">
        <v>608068.52590615896</v>
      </c>
      <c r="AH114" s="27">
        <v>134707.59106675501</v>
      </c>
      <c r="AI114" s="27">
        <v>2020</v>
      </c>
      <c r="AJ114" s="17">
        <v>0</v>
      </c>
      <c r="AK114" s="17">
        <v>0</v>
      </c>
    </row>
    <row r="115" spans="1:38" ht="12.75" customHeight="1">
      <c r="A115" s="54" t="s">
        <v>171</v>
      </c>
      <c r="B115" s="33" t="s">
        <v>172</v>
      </c>
      <c r="C115" s="27">
        <v>16</v>
      </c>
      <c r="D115" s="20" t="s">
        <v>196</v>
      </c>
      <c r="E115" s="19">
        <v>0</v>
      </c>
      <c r="F115" s="33" t="s">
        <v>142</v>
      </c>
      <c r="G115" s="33" t="s">
        <v>153</v>
      </c>
      <c r="H115" s="19" t="s">
        <v>42</v>
      </c>
      <c r="I115" s="17" t="b">
        <v>0</v>
      </c>
      <c r="J115" s="17" t="s">
        <v>64</v>
      </c>
      <c r="K115" s="21" t="str">
        <f t="shared" si="3"/>
        <v>https://version2.ice-d.org/antarctica/sample/W2022-VH-669b/</v>
      </c>
      <c r="L115" s="55" t="s">
        <v>39</v>
      </c>
      <c r="M115" s="168" t="s">
        <v>44</v>
      </c>
      <c r="O115" s="17" t="s">
        <v>155</v>
      </c>
      <c r="P115" s="22">
        <v>-68.651300000000006</v>
      </c>
      <c r="Q115" s="22">
        <v>78.284199999999998</v>
      </c>
      <c r="R115" s="22"/>
      <c r="S115" s="22">
        <v>54</v>
      </c>
      <c r="T115" s="22">
        <v>0</v>
      </c>
      <c r="U115" s="23">
        <v>600</v>
      </c>
      <c r="V115" s="24" t="s">
        <v>2234</v>
      </c>
      <c r="W115" s="44" t="s">
        <v>2460</v>
      </c>
      <c r="X115" s="22">
        <f t="shared" si="4"/>
        <v>54</v>
      </c>
      <c r="Y115" s="22">
        <v>10</v>
      </c>
      <c r="Z115" s="22">
        <v>2.7</v>
      </c>
      <c r="AA115" s="17" t="s">
        <v>46</v>
      </c>
      <c r="AB115" s="26">
        <v>294</v>
      </c>
      <c r="AC115" s="26">
        <v>115</v>
      </c>
      <c r="AD115" s="56">
        <v>117</v>
      </c>
      <c r="AE115" s="28"/>
      <c r="AF115" s="28"/>
      <c r="AG115" s="27">
        <v>11300</v>
      </c>
      <c r="AH115" s="27">
        <v>4400</v>
      </c>
      <c r="AI115" s="27">
        <v>2020</v>
      </c>
      <c r="AJ115" s="17">
        <v>0</v>
      </c>
      <c r="AK115" s="17">
        <v>0</v>
      </c>
    </row>
    <row r="116" spans="1:38" ht="12.75" customHeight="1">
      <c r="A116" s="54" t="s">
        <v>173</v>
      </c>
      <c r="B116" s="33" t="s">
        <v>172</v>
      </c>
      <c r="C116" s="27">
        <v>16</v>
      </c>
      <c r="D116" s="20" t="s">
        <v>196</v>
      </c>
      <c r="E116" s="19">
        <v>0</v>
      </c>
      <c r="F116" s="33" t="s">
        <v>142</v>
      </c>
      <c r="G116" s="33" t="s">
        <v>153</v>
      </c>
      <c r="H116" s="19" t="s">
        <v>42</v>
      </c>
      <c r="I116" s="17" t="b">
        <v>0</v>
      </c>
      <c r="J116" s="17" t="s">
        <v>43</v>
      </c>
      <c r="K116" s="21" t="str">
        <f t="shared" si="3"/>
        <v>https://version2.ice-d.org/antarctica/sample/W2022-VH-670b/</v>
      </c>
      <c r="L116" s="55" t="s">
        <v>39</v>
      </c>
      <c r="M116" s="155"/>
      <c r="O116" s="17" t="s">
        <v>155</v>
      </c>
      <c r="P116" s="22">
        <v>-68.649680000000004</v>
      </c>
      <c r="Q116" s="22">
        <v>78.284097000000003</v>
      </c>
      <c r="R116" s="22"/>
      <c r="S116" s="22">
        <v>57</v>
      </c>
      <c r="T116" s="22">
        <v>0</v>
      </c>
      <c r="U116" s="23">
        <v>600</v>
      </c>
      <c r="V116" s="24" t="s">
        <v>2235</v>
      </c>
      <c r="W116" s="44" t="s">
        <v>2460</v>
      </c>
      <c r="X116" s="22">
        <f t="shared" si="4"/>
        <v>57</v>
      </c>
      <c r="Y116" s="22">
        <v>5</v>
      </c>
      <c r="Z116" s="22">
        <v>2.7</v>
      </c>
      <c r="AA116" s="17" t="s">
        <v>46</v>
      </c>
      <c r="AB116" s="26">
        <v>7318</v>
      </c>
      <c r="AC116" s="26">
        <v>310</v>
      </c>
      <c r="AD116" s="26">
        <v>532</v>
      </c>
      <c r="AE116" s="27">
        <v>41086.399758498999</v>
      </c>
      <c r="AF116" s="27">
        <v>1736.7896005641601</v>
      </c>
      <c r="AG116" s="28"/>
      <c r="AH116" s="28"/>
      <c r="AI116" s="27">
        <v>2020</v>
      </c>
      <c r="AJ116" s="17">
        <v>0</v>
      </c>
      <c r="AK116" s="17">
        <v>0</v>
      </c>
    </row>
    <row r="117" spans="1:38" ht="15.75" customHeight="1">
      <c r="A117" s="57" t="s">
        <v>174</v>
      </c>
      <c r="B117" s="19" t="s">
        <v>175</v>
      </c>
      <c r="C117" s="17">
        <v>17</v>
      </c>
      <c r="D117" s="20" t="s">
        <v>196</v>
      </c>
      <c r="E117" s="19">
        <v>0</v>
      </c>
      <c r="F117" s="33" t="s">
        <v>176</v>
      </c>
      <c r="G117" s="33" t="s">
        <v>153</v>
      </c>
      <c r="H117" s="33" t="s">
        <v>42</v>
      </c>
      <c r="I117" s="17" t="b">
        <v>0</v>
      </c>
      <c r="J117" s="17" t="s">
        <v>43</v>
      </c>
      <c r="K117" s="21" t="str">
        <f t="shared" si="3"/>
        <v>https://version2.ice-d.org/antarctica/sample/L2008-VH22-1/</v>
      </c>
      <c r="L117" s="57" t="s">
        <v>39</v>
      </c>
      <c r="M117" s="203" t="s">
        <v>44</v>
      </c>
      <c r="O117" s="17" t="s">
        <v>155</v>
      </c>
      <c r="P117" s="22">
        <v>-68.534000000000006</v>
      </c>
      <c r="Q117" s="22">
        <v>78.474999999999994</v>
      </c>
      <c r="R117" s="22"/>
      <c r="S117" s="22">
        <v>59</v>
      </c>
      <c r="T117" s="22">
        <v>0</v>
      </c>
      <c r="U117" s="23">
        <v>600</v>
      </c>
      <c r="V117" s="24" t="s">
        <v>2236</v>
      </c>
      <c r="W117" s="44" t="s">
        <v>2447</v>
      </c>
      <c r="X117" s="22">
        <f t="shared" si="4"/>
        <v>59</v>
      </c>
      <c r="Y117" s="22">
        <v>5</v>
      </c>
      <c r="Z117" s="22">
        <v>2.65</v>
      </c>
      <c r="AA117" s="17" t="s">
        <v>84</v>
      </c>
      <c r="AB117" s="26">
        <v>9901</v>
      </c>
      <c r="AC117" s="26">
        <v>439</v>
      </c>
      <c r="AD117" s="26">
        <v>732</v>
      </c>
      <c r="AE117" s="27">
        <v>61100</v>
      </c>
      <c r="AF117" s="27">
        <v>2700</v>
      </c>
      <c r="AG117" s="28"/>
      <c r="AH117" s="28"/>
      <c r="AI117" s="17">
        <v>2020</v>
      </c>
      <c r="AJ117" s="17">
        <v>0</v>
      </c>
      <c r="AK117" s="17">
        <v>0</v>
      </c>
    </row>
    <row r="118" spans="1:38" ht="15.75" customHeight="1">
      <c r="A118" s="57" t="s">
        <v>177</v>
      </c>
      <c r="B118" s="19" t="s">
        <v>175</v>
      </c>
      <c r="C118" s="17">
        <v>17</v>
      </c>
      <c r="D118" s="20" t="s">
        <v>196</v>
      </c>
      <c r="E118" s="19">
        <v>0</v>
      </c>
      <c r="F118" s="33" t="s">
        <v>176</v>
      </c>
      <c r="G118" s="33" t="s">
        <v>153</v>
      </c>
      <c r="H118" s="33" t="s">
        <v>42</v>
      </c>
      <c r="I118" s="17" t="b">
        <v>0</v>
      </c>
      <c r="J118" s="17" t="s">
        <v>64</v>
      </c>
      <c r="K118" s="21" t="str">
        <f t="shared" si="3"/>
        <v>https://version2.ice-d.org/antarctica/sample/L2008-VH22-2/</v>
      </c>
      <c r="L118" s="57" t="s">
        <v>39</v>
      </c>
      <c r="M118" s="155"/>
      <c r="O118" s="21" t="s">
        <v>155</v>
      </c>
      <c r="P118" s="22">
        <v>-68.534000000000006</v>
      </c>
      <c r="Q118" s="22">
        <v>78.474999999999994</v>
      </c>
      <c r="R118" s="22"/>
      <c r="S118" s="22">
        <v>59</v>
      </c>
      <c r="T118" s="22">
        <v>0</v>
      </c>
      <c r="U118" s="23">
        <v>600</v>
      </c>
      <c r="V118" s="24" t="s">
        <v>2237</v>
      </c>
      <c r="W118" s="44" t="s">
        <v>2447</v>
      </c>
      <c r="X118" s="22">
        <f t="shared" si="4"/>
        <v>59</v>
      </c>
      <c r="Y118" s="22">
        <v>5</v>
      </c>
      <c r="Z118" s="22">
        <v>2.65</v>
      </c>
      <c r="AA118" s="17" t="s">
        <v>84</v>
      </c>
      <c r="AB118" s="26">
        <v>14039</v>
      </c>
      <c r="AC118" s="26">
        <v>3787</v>
      </c>
      <c r="AD118" s="26">
        <v>3977</v>
      </c>
      <c r="AE118" s="27"/>
      <c r="AF118" s="27"/>
      <c r="AG118" s="28"/>
      <c r="AH118" s="28"/>
      <c r="AK118" s="17">
        <v>0</v>
      </c>
    </row>
    <row r="119" spans="1:38" ht="15.75" customHeight="1">
      <c r="A119" s="57" t="s">
        <v>178</v>
      </c>
      <c r="B119" s="19" t="s">
        <v>175</v>
      </c>
      <c r="C119" s="17">
        <v>17</v>
      </c>
      <c r="D119" s="20" t="s">
        <v>196</v>
      </c>
      <c r="E119" s="19">
        <v>0</v>
      </c>
      <c r="F119" s="33" t="s">
        <v>176</v>
      </c>
      <c r="G119" s="33" t="s">
        <v>153</v>
      </c>
      <c r="H119" s="33" t="s">
        <v>42</v>
      </c>
      <c r="I119" s="17" t="b">
        <v>0</v>
      </c>
      <c r="J119" s="17" t="s">
        <v>43</v>
      </c>
      <c r="K119" s="21" t="str">
        <f t="shared" si="3"/>
        <v>https://version2.ice-d.org/antarctica/sample/L2008-VH27-3/</v>
      </c>
      <c r="L119" s="57" t="s">
        <v>39</v>
      </c>
      <c r="M119" s="155"/>
      <c r="O119" s="17" t="s">
        <v>155</v>
      </c>
      <c r="P119" s="22">
        <v>-68.533500000000004</v>
      </c>
      <c r="Q119" s="22">
        <v>78.502300000000005</v>
      </c>
      <c r="R119" s="22"/>
      <c r="S119" s="22">
        <v>84</v>
      </c>
      <c r="T119" s="22">
        <v>0</v>
      </c>
      <c r="U119" s="23">
        <v>600</v>
      </c>
      <c r="V119" s="24" t="s">
        <v>2238</v>
      </c>
      <c r="W119" s="44" t="s">
        <v>2447</v>
      </c>
      <c r="X119" s="22">
        <f t="shared" si="4"/>
        <v>84</v>
      </c>
      <c r="AA119" s="17" t="s">
        <v>84</v>
      </c>
      <c r="AB119" s="26">
        <v>8464</v>
      </c>
      <c r="AC119" s="26">
        <v>426</v>
      </c>
      <c r="AD119" s="26">
        <v>657</v>
      </c>
      <c r="AE119" s="27">
        <v>55800</v>
      </c>
      <c r="AF119" s="27">
        <v>2800</v>
      </c>
      <c r="AG119" s="28"/>
      <c r="AH119" s="28"/>
      <c r="AI119" s="17">
        <v>2020</v>
      </c>
      <c r="AJ119" s="17">
        <v>0</v>
      </c>
      <c r="AK119" s="17">
        <v>0</v>
      </c>
    </row>
    <row r="120" spans="1:38" ht="15.75" customHeight="1">
      <c r="A120" s="57" t="s">
        <v>179</v>
      </c>
      <c r="B120" s="19" t="s">
        <v>175</v>
      </c>
      <c r="C120" s="17">
        <v>17</v>
      </c>
      <c r="D120" s="20" t="s">
        <v>196</v>
      </c>
      <c r="E120" s="19">
        <v>0</v>
      </c>
      <c r="F120" s="33" t="s">
        <v>176</v>
      </c>
      <c r="G120" s="33" t="s">
        <v>153</v>
      </c>
      <c r="H120" s="33" t="s">
        <v>42</v>
      </c>
      <c r="I120" s="17" t="b">
        <v>0</v>
      </c>
      <c r="J120" s="17" t="s">
        <v>43</v>
      </c>
      <c r="K120" s="21" t="str">
        <f t="shared" si="3"/>
        <v>https://version2.ice-d.org/antarctica/sample/L2008-VH30/</v>
      </c>
      <c r="L120" s="57" t="s">
        <v>39</v>
      </c>
      <c r="M120" s="155"/>
      <c r="O120" s="17" t="s">
        <v>155</v>
      </c>
      <c r="P120" s="22">
        <v>-68.533000000000001</v>
      </c>
      <c r="Q120" s="22">
        <v>78.513300000000001</v>
      </c>
      <c r="R120" s="22"/>
      <c r="S120" s="22">
        <v>80</v>
      </c>
      <c r="T120" s="22">
        <v>0</v>
      </c>
      <c r="U120" s="23">
        <v>600</v>
      </c>
      <c r="V120" s="24" t="s">
        <v>2239</v>
      </c>
      <c r="W120" s="44" t="s">
        <v>2447</v>
      </c>
      <c r="X120" s="22">
        <f t="shared" si="4"/>
        <v>80</v>
      </c>
      <c r="Y120" s="22">
        <v>5</v>
      </c>
      <c r="Z120" s="22">
        <v>2.65</v>
      </c>
      <c r="AA120" s="17" t="s">
        <v>84</v>
      </c>
      <c r="AB120" s="26">
        <v>8346</v>
      </c>
      <c r="AC120" s="26">
        <v>444</v>
      </c>
      <c r="AD120" s="26">
        <v>663</v>
      </c>
      <c r="AE120" s="27">
        <v>52800</v>
      </c>
      <c r="AF120" s="27">
        <v>2800</v>
      </c>
      <c r="AG120" s="28"/>
      <c r="AH120" s="28"/>
      <c r="AI120" s="17">
        <v>2020</v>
      </c>
      <c r="AJ120" s="17">
        <v>0</v>
      </c>
      <c r="AK120" s="17">
        <v>0</v>
      </c>
    </row>
    <row r="121" spans="1:38" ht="15.75" customHeight="1">
      <c r="A121" s="57" t="s">
        <v>180</v>
      </c>
      <c r="B121" s="19" t="s">
        <v>175</v>
      </c>
      <c r="C121" s="17">
        <v>17</v>
      </c>
      <c r="D121" s="20" t="s">
        <v>196</v>
      </c>
      <c r="E121" s="19">
        <v>0</v>
      </c>
      <c r="F121" s="33" t="s">
        <v>176</v>
      </c>
      <c r="G121" s="33" t="s">
        <v>153</v>
      </c>
      <c r="H121" s="33" t="s">
        <v>42</v>
      </c>
      <c r="I121" s="17" t="b">
        <v>0</v>
      </c>
      <c r="J121" s="17" t="s">
        <v>43</v>
      </c>
      <c r="K121" s="21" t="str">
        <f t="shared" si="3"/>
        <v>https://version2.ice-d.org/antarctica/sample/L2008-VH32-1/</v>
      </c>
      <c r="L121" s="57" t="s">
        <v>39</v>
      </c>
      <c r="M121" s="155"/>
      <c r="O121" s="17" t="s">
        <v>155</v>
      </c>
      <c r="P121" s="22">
        <v>-68.532200000000003</v>
      </c>
      <c r="Q121" s="22">
        <v>78.522199999999998</v>
      </c>
      <c r="R121" s="22"/>
      <c r="S121" s="22">
        <v>78</v>
      </c>
      <c r="T121" s="22">
        <v>0</v>
      </c>
      <c r="U121" s="23">
        <v>600</v>
      </c>
      <c r="V121" s="24" t="s">
        <v>2240</v>
      </c>
      <c r="W121" s="44" t="s">
        <v>2447</v>
      </c>
      <c r="X121" s="22">
        <f t="shared" si="4"/>
        <v>78</v>
      </c>
      <c r="Y121" s="22">
        <v>5</v>
      </c>
      <c r="Z121" s="22">
        <v>2.65</v>
      </c>
      <c r="AA121" s="17" t="s">
        <v>84</v>
      </c>
      <c r="AB121" s="26">
        <v>7753</v>
      </c>
      <c r="AC121" s="26">
        <v>429</v>
      </c>
      <c r="AD121" s="26">
        <v>628</v>
      </c>
      <c r="AE121" s="27">
        <v>48900</v>
      </c>
      <c r="AF121" s="27">
        <v>2700</v>
      </c>
      <c r="AG121" s="28"/>
      <c r="AH121" s="28"/>
      <c r="AI121" s="17">
        <v>2020</v>
      </c>
      <c r="AJ121" s="17">
        <v>0</v>
      </c>
      <c r="AK121" s="17">
        <v>0</v>
      </c>
    </row>
    <row r="122" spans="1:38" ht="15.75" customHeight="1">
      <c r="A122" s="57" t="s">
        <v>180</v>
      </c>
      <c r="B122" s="19" t="s">
        <v>175</v>
      </c>
      <c r="C122" s="17">
        <v>17</v>
      </c>
      <c r="D122" s="20" t="s">
        <v>196</v>
      </c>
      <c r="E122" s="19">
        <v>0</v>
      </c>
      <c r="F122" s="33" t="s">
        <v>176</v>
      </c>
      <c r="G122" s="33" t="s">
        <v>153</v>
      </c>
      <c r="H122" s="33" t="s">
        <v>42</v>
      </c>
      <c r="I122" s="17" t="b">
        <v>0</v>
      </c>
      <c r="J122" s="17" t="s">
        <v>64</v>
      </c>
      <c r="K122" s="21" t="str">
        <f t="shared" si="3"/>
        <v>https://version2.ice-d.org/antarctica/sample/L2008-VH32-1/</v>
      </c>
      <c r="L122" s="57" t="s">
        <v>39</v>
      </c>
      <c r="M122" s="155"/>
      <c r="O122" s="17" t="s">
        <v>155</v>
      </c>
      <c r="P122" s="22">
        <v>-68.532200000000003</v>
      </c>
      <c r="Q122" s="22">
        <v>78.522199999999998</v>
      </c>
      <c r="R122" s="22"/>
      <c r="S122" s="22">
        <v>78</v>
      </c>
      <c r="T122" s="22">
        <v>0</v>
      </c>
      <c r="U122" s="23">
        <v>600</v>
      </c>
      <c r="V122" s="24" t="s">
        <v>2241</v>
      </c>
      <c r="W122" s="44" t="s">
        <v>2447</v>
      </c>
      <c r="X122" s="22">
        <f t="shared" si="4"/>
        <v>78</v>
      </c>
      <c r="Y122" s="22">
        <v>5</v>
      </c>
      <c r="Z122" s="22">
        <v>2.65</v>
      </c>
      <c r="AA122" s="17" t="s">
        <v>84</v>
      </c>
      <c r="AB122" s="26">
        <v>11781</v>
      </c>
      <c r="AC122" s="26">
        <v>2962</v>
      </c>
      <c r="AD122" s="26">
        <v>3133</v>
      </c>
      <c r="AE122" s="27">
        <v>48900</v>
      </c>
      <c r="AF122" s="27">
        <v>2700</v>
      </c>
      <c r="AG122" s="28"/>
      <c r="AH122" s="28"/>
      <c r="AI122" s="17">
        <v>2020</v>
      </c>
      <c r="AJ122" s="17">
        <v>0</v>
      </c>
      <c r="AK122" s="17">
        <v>0</v>
      </c>
    </row>
    <row r="123" spans="1:38" ht="15.75" customHeight="1">
      <c r="A123" s="57" t="s">
        <v>181</v>
      </c>
      <c r="B123" s="19" t="s">
        <v>175</v>
      </c>
      <c r="C123" s="17">
        <v>17</v>
      </c>
      <c r="D123" s="20" t="s">
        <v>196</v>
      </c>
      <c r="E123" s="19">
        <v>0</v>
      </c>
      <c r="F123" s="33" t="s">
        <v>176</v>
      </c>
      <c r="G123" s="33" t="s">
        <v>153</v>
      </c>
      <c r="H123" s="33" t="s">
        <v>42</v>
      </c>
      <c r="I123" s="17" t="b">
        <v>0</v>
      </c>
      <c r="J123" s="17" t="s">
        <v>43</v>
      </c>
      <c r="K123" s="21" t="str">
        <f t="shared" si="3"/>
        <v>https://version2.ice-d.org/antarctica/sample/L2008-VH32-3/</v>
      </c>
      <c r="L123" s="57" t="s">
        <v>39</v>
      </c>
      <c r="M123" s="155"/>
      <c r="O123" s="17" t="s">
        <v>155</v>
      </c>
      <c r="P123" s="22">
        <v>-68.532200000000003</v>
      </c>
      <c r="Q123" s="22">
        <v>78.522199999999998</v>
      </c>
      <c r="R123" s="22"/>
      <c r="S123" s="22">
        <v>78</v>
      </c>
      <c r="T123" s="22">
        <v>0</v>
      </c>
      <c r="U123" s="23">
        <v>600</v>
      </c>
      <c r="V123" s="24" t="s">
        <v>2242</v>
      </c>
      <c r="W123" s="44" t="s">
        <v>2447</v>
      </c>
      <c r="X123" s="22">
        <f t="shared" si="4"/>
        <v>78</v>
      </c>
      <c r="Y123" s="22">
        <v>5</v>
      </c>
      <c r="Z123" s="22">
        <v>2.65</v>
      </c>
      <c r="AA123" s="17" t="s">
        <v>84</v>
      </c>
      <c r="AB123" s="26">
        <v>7555</v>
      </c>
      <c r="AC123" s="26">
        <v>461</v>
      </c>
      <c r="AD123" s="26">
        <v>642</v>
      </c>
      <c r="AE123" s="27">
        <v>47600</v>
      </c>
      <c r="AF123" s="27">
        <v>2900</v>
      </c>
      <c r="AG123" s="28"/>
      <c r="AH123" s="28"/>
      <c r="AI123" s="17">
        <v>2020</v>
      </c>
      <c r="AJ123" s="17">
        <v>0</v>
      </c>
      <c r="AK123" s="17">
        <v>0</v>
      </c>
    </row>
    <row r="124" spans="1:38" ht="15.75" customHeight="1">
      <c r="A124" s="57" t="s">
        <v>181</v>
      </c>
      <c r="B124" s="19" t="s">
        <v>175</v>
      </c>
      <c r="C124" s="17">
        <v>17</v>
      </c>
      <c r="D124" s="20" t="s">
        <v>196</v>
      </c>
      <c r="E124" s="19">
        <v>0</v>
      </c>
      <c r="F124" s="33" t="s">
        <v>176</v>
      </c>
      <c r="G124" s="33" t="s">
        <v>153</v>
      </c>
      <c r="H124" s="33" t="s">
        <v>42</v>
      </c>
      <c r="I124" s="17" t="b">
        <v>0</v>
      </c>
      <c r="J124" s="17" t="s">
        <v>64</v>
      </c>
      <c r="K124" s="21" t="str">
        <f t="shared" si="3"/>
        <v>https://version2.ice-d.org/antarctica/sample/L2008-VH32-3/</v>
      </c>
      <c r="L124" s="57" t="s">
        <v>39</v>
      </c>
      <c r="M124" s="155"/>
      <c r="O124" s="17" t="s">
        <v>155</v>
      </c>
      <c r="P124" s="22">
        <v>-68.532200000000003</v>
      </c>
      <c r="Q124" s="22">
        <v>78.522199999999998</v>
      </c>
      <c r="R124" s="22"/>
      <c r="S124" s="22">
        <v>78</v>
      </c>
      <c r="T124" s="22">
        <v>0</v>
      </c>
      <c r="U124" s="23">
        <v>600</v>
      </c>
      <c r="V124" s="24" t="s">
        <v>2243</v>
      </c>
      <c r="W124" s="44" t="s">
        <v>2447</v>
      </c>
      <c r="X124" s="22">
        <f t="shared" si="4"/>
        <v>78</v>
      </c>
      <c r="Y124" s="22">
        <v>5</v>
      </c>
      <c r="Z124" s="22">
        <v>2.65</v>
      </c>
      <c r="AA124" s="17" t="s">
        <v>84</v>
      </c>
      <c r="AB124" s="26">
        <v>9039</v>
      </c>
      <c r="AC124" s="26">
        <v>3190</v>
      </c>
      <c r="AD124" s="26">
        <v>3284</v>
      </c>
      <c r="AE124" s="27">
        <v>47600</v>
      </c>
      <c r="AF124" s="27">
        <v>2900</v>
      </c>
      <c r="AG124" s="28"/>
      <c r="AH124" s="28"/>
      <c r="AI124" s="17">
        <v>2020</v>
      </c>
      <c r="AJ124" s="17">
        <v>0</v>
      </c>
      <c r="AK124" s="17">
        <v>0</v>
      </c>
    </row>
    <row r="125" spans="1:38" ht="15.75" customHeight="1">
      <c r="A125" s="57" t="s">
        <v>182</v>
      </c>
      <c r="B125" s="19" t="s">
        <v>175</v>
      </c>
      <c r="C125" s="17">
        <v>17</v>
      </c>
      <c r="D125" s="20" t="s">
        <v>196</v>
      </c>
      <c r="E125" s="19">
        <v>0</v>
      </c>
      <c r="F125" s="33" t="s">
        <v>176</v>
      </c>
      <c r="G125" s="33" t="s">
        <v>153</v>
      </c>
      <c r="H125" s="33" t="s">
        <v>42</v>
      </c>
      <c r="I125" s="17" t="b">
        <v>0</v>
      </c>
      <c r="J125" s="17" t="s">
        <v>43</v>
      </c>
      <c r="K125" s="21" t="str">
        <f t="shared" si="3"/>
        <v>https://version2.ice-d.org/antarctica/sample/L2008-VH33-1/</v>
      </c>
      <c r="L125" s="57" t="s">
        <v>39</v>
      </c>
      <c r="M125" s="155"/>
      <c r="O125" s="17" t="s">
        <v>155</v>
      </c>
      <c r="P125" s="22">
        <v>-68.531499999999994</v>
      </c>
      <c r="Q125" s="22">
        <v>78.526200000000003</v>
      </c>
      <c r="R125" s="22"/>
      <c r="S125" s="22">
        <v>48</v>
      </c>
      <c r="T125" s="22">
        <v>0</v>
      </c>
      <c r="U125" s="23">
        <v>600</v>
      </c>
      <c r="V125" s="24" t="s">
        <v>2244</v>
      </c>
      <c r="W125" s="44" t="s">
        <v>2447</v>
      </c>
      <c r="X125" s="22">
        <f t="shared" si="4"/>
        <v>48</v>
      </c>
      <c r="Y125" s="22">
        <v>5</v>
      </c>
      <c r="Z125" s="22">
        <v>2.65</v>
      </c>
      <c r="AA125" s="17" t="s">
        <v>84</v>
      </c>
      <c r="AB125" s="26">
        <v>4879</v>
      </c>
      <c r="AC125" s="26">
        <v>363</v>
      </c>
      <c r="AD125" s="26">
        <v>464</v>
      </c>
      <c r="AE125" s="27">
        <v>29600</v>
      </c>
      <c r="AF125" s="27">
        <v>2200</v>
      </c>
      <c r="AG125" s="28"/>
      <c r="AH125" s="28"/>
      <c r="AI125" s="17">
        <v>2020</v>
      </c>
      <c r="AJ125" s="17">
        <v>0</v>
      </c>
      <c r="AK125" s="17">
        <v>0</v>
      </c>
    </row>
    <row r="126" spans="1:38" ht="15.75" customHeight="1">
      <c r="A126" s="57" t="s">
        <v>182</v>
      </c>
      <c r="B126" s="19" t="s">
        <v>175</v>
      </c>
      <c r="C126" s="17">
        <v>17</v>
      </c>
      <c r="D126" s="20" t="s">
        <v>196</v>
      </c>
      <c r="E126" s="19">
        <v>0</v>
      </c>
      <c r="F126" s="33" t="s">
        <v>176</v>
      </c>
      <c r="G126" s="33" t="s">
        <v>153</v>
      </c>
      <c r="H126" s="33" t="s">
        <v>42</v>
      </c>
      <c r="I126" s="17" t="b">
        <v>0</v>
      </c>
      <c r="J126" s="17" t="s">
        <v>64</v>
      </c>
      <c r="K126" s="21" t="str">
        <f t="shared" si="3"/>
        <v>https://version2.ice-d.org/antarctica/sample/L2008-VH33-1/</v>
      </c>
      <c r="L126" s="57" t="s">
        <v>39</v>
      </c>
      <c r="M126" s="155"/>
      <c r="O126" s="17" t="s">
        <v>155</v>
      </c>
      <c r="P126" s="22">
        <v>-68.531499999999994</v>
      </c>
      <c r="Q126" s="22">
        <v>78.526200000000003</v>
      </c>
      <c r="R126" s="22"/>
      <c r="S126" s="22">
        <v>48</v>
      </c>
      <c r="T126" s="22">
        <v>0</v>
      </c>
      <c r="U126" s="23">
        <v>600</v>
      </c>
      <c r="V126" s="24" t="s">
        <v>2245</v>
      </c>
      <c r="W126" s="44" t="s">
        <v>2447</v>
      </c>
      <c r="X126" s="22">
        <f t="shared" si="4"/>
        <v>48</v>
      </c>
      <c r="Y126" s="22">
        <v>5</v>
      </c>
      <c r="Z126" s="22">
        <v>2.65</v>
      </c>
      <c r="AA126" s="17" t="s">
        <v>84</v>
      </c>
      <c r="AB126" s="26">
        <v>5324</v>
      </c>
      <c r="AC126" s="26">
        <v>1271</v>
      </c>
      <c r="AD126" s="26">
        <v>1351</v>
      </c>
      <c r="AE126" s="27">
        <v>29600</v>
      </c>
      <c r="AF126" s="27">
        <v>2200</v>
      </c>
      <c r="AG126" s="28"/>
      <c r="AH126" s="28"/>
      <c r="AI126" s="17">
        <v>2020</v>
      </c>
      <c r="AJ126" s="17">
        <v>0</v>
      </c>
      <c r="AK126" s="17">
        <v>0</v>
      </c>
    </row>
    <row r="127" spans="1:38" ht="12.75" customHeight="1">
      <c r="A127" s="58" t="s">
        <v>183</v>
      </c>
      <c r="B127" s="19" t="s">
        <v>175</v>
      </c>
      <c r="C127" s="22">
        <v>18</v>
      </c>
      <c r="D127" s="20" t="s">
        <v>196</v>
      </c>
      <c r="E127" s="19">
        <v>0</v>
      </c>
      <c r="F127" s="17" t="s">
        <v>176</v>
      </c>
      <c r="G127" s="17" t="s">
        <v>153</v>
      </c>
      <c r="H127" s="19" t="s">
        <v>42</v>
      </c>
      <c r="I127" s="59" t="b">
        <v>0</v>
      </c>
      <c r="J127" s="17" t="s">
        <v>64</v>
      </c>
      <c r="K127" s="21" t="str">
        <f t="shared" si="3"/>
        <v>https://version2.ice-d.org/antarctica/sample/W2022-C-26/</v>
      </c>
      <c r="L127" s="58" t="s">
        <v>148</v>
      </c>
      <c r="M127" s="187" t="s">
        <v>2403</v>
      </c>
      <c r="O127" s="17" t="s">
        <v>155</v>
      </c>
      <c r="P127" s="22">
        <v>-68.536000000000001</v>
      </c>
      <c r="Q127" s="22">
        <v>78.388999999999996</v>
      </c>
      <c r="S127" s="22">
        <v>70</v>
      </c>
      <c r="T127" s="22">
        <v>0</v>
      </c>
      <c r="U127" s="23">
        <v>600</v>
      </c>
      <c r="V127" s="24" t="s">
        <v>2246</v>
      </c>
      <c r="W127" s="44" t="s">
        <v>2447</v>
      </c>
      <c r="X127" s="22">
        <f t="shared" si="4"/>
        <v>70</v>
      </c>
      <c r="Y127" s="22">
        <v>4.5</v>
      </c>
      <c r="Z127" s="22">
        <v>2.7</v>
      </c>
      <c r="AA127" s="17" t="s">
        <v>46</v>
      </c>
      <c r="AB127" s="60">
        <v>10675</v>
      </c>
      <c r="AC127" s="60">
        <v>989</v>
      </c>
      <c r="AD127" s="36">
        <v>1353</v>
      </c>
      <c r="AG127" s="22">
        <v>434000</v>
      </c>
      <c r="AH127" s="22">
        <v>40000</v>
      </c>
      <c r="AI127" s="22">
        <v>1995</v>
      </c>
      <c r="AJ127" s="22">
        <v>0</v>
      </c>
      <c r="AK127" s="22">
        <v>0</v>
      </c>
    </row>
    <row r="128" spans="1:38" ht="15.75" customHeight="1">
      <c r="A128" s="58" t="s">
        <v>184</v>
      </c>
      <c r="B128" s="19" t="s">
        <v>185</v>
      </c>
      <c r="C128" s="22">
        <v>18</v>
      </c>
      <c r="D128" s="20" t="s">
        <v>196</v>
      </c>
      <c r="E128" s="19">
        <v>0</v>
      </c>
      <c r="F128" s="33" t="s">
        <v>176</v>
      </c>
      <c r="G128" s="33" t="s">
        <v>153</v>
      </c>
      <c r="H128" s="33" t="s">
        <v>42</v>
      </c>
      <c r="I128" s="17" t="b">
        <v>0</v>
      </c>
      <c r="J128" s="17" t="s">
        <v>64</v>
      </c>
      <c r="K128" s="21" t="str">
        <f t="shared" si="3"/>
        <v>https://version2.ice-d.org/antarctica/sample/W2022-C-15/</v>
      </c>
      <c r="L128" s="58" t="s">
        <v>148</v>
      </c>
      <c r="M128" s="155"/>
      <c r="O128" s="17" t="s">
        <v>155</v>
      </c>
      <c r="P128" s="22">
        <v>-68.480999999999995</v>
      </c>
      <c r="Q128" s="22">
        <v>78.438000000000002</v>
      </c>
      <c r="R128" s="22"/>
      <c r="S128" s="22">
        <v>50</v>
      </c>
      <c r="T128" s="22">
        <v>0</v>
      </c>
      <c r="U128" s="23">
        <v>600</v>
      </c>
      <c r="V128" s="24" t="s">
        <v>2247</v>
      </c>
      <c r="W128" s="44" t="s">
        <v>2447</v>
      </c>
      <c r="X128" s="22">
        <f t="shared" si="4"/>
        <v>50</v>
      </c>
      <c r="Y128" s="22">
        <v>6</v>
      </c>
      <c r="Z128" s="22">
        <v>2.7</v>
      </c>
      <c r="AA128" s="17" t="s">
        <v>46</v>
      </c>
      <c r="AB128" s="26">
        <v>11457</v>
      </c>
      <c r="AC128" s="26">
        <v>1024</v>
      </c>
      <c r="AD128" s="56"/>
      <c r="AE128" s="28"/>
      <c r="AF128" s="28"/>
      <c r="AG128" s="27">
        <v>450000</v>
      </c>
      <c r="AH128" s="27">
        <v>40000</v>
      </c>
      <c r="AI128" s="17">
        <v>1995</v>
      </c>
      <c r="AJ128" s="17">
        <v>0</v>
      </c>
      <c r="AK128" s="17">
        <v>1</v>
      </c>
      <c r="AL128" s="17" t="s">
        <v>186</v>
      </c>
    </row>
    <row r="129" spans="1:38" ht="12.75" customHeight="1">
      <c r="A129" s="58" t="s">
        <v>187</v>
      </c>
      <c r="B129" s="19" t="s">
        <v>175</v>
      </c>
      <c r="C129" s="22">
        <v>18</v>
      </c>
      <c r="D129" s="20" t="s">
        <v>196</v>
      </c>
      <c r="E129" s="19">
        <v>0</v>
      </c>
      <c r="F129" s="33" t="s">
        <v>176</v>
      </c>
      <c r="G129" s="33" t="s">
        <v>153</v>
      </c>
      <c r="H129" s="33" t="s">
        <v>42</v>
      </c>
      <c r="I129" s="17" t="b">
        <v>0</v>
      </c>
      <c r="J129" s="17" t="s">
        <v>64</v>
      </c>
      <c r="K129" s="21" t="str">
        <f t="shared" si="3"/>
        <v>https://version2.ice-d.org/antarctica/sample/W2022-C-22/</v>
      </c>
      <c r="L129" s="58" t="s">
        <v>148</v>
      </c>
      <c r="M129" s="155"/>
      <c r="O129" s="17" t="s">
        <v>155</v>
      </c>
      <c r="P129" s="22">
        <v>-68.510999999999996</v>
      </c>
      <c r="Q129" s="22">
        <v>78.548000000000002</v>
      </c>
      <c r="R129" s="22"/>
      <c r="S129" s="22">
        <v>105</v>
      </c>
      <c r="T129" s="22">
        <v>0</v>
      </c>
      <c r="U129" s="23">
        <v>600</v>
      </c>
      <c r="V129" s="24" t="s">
        <v>2248</v>
      </c>
      <c r="W129" s="44" t="s">
        <v>2447</v>
      </c>
      <c r="X129" s="22">
        <f t="shared" si="4"/>
        <v>105</v>
      </c>
      <c r="Y129" s="22">
        <v>7</v>
      </c>
      <c r="Z129" s="22">
        <v>2.7</v>
      </c>
      <c r="AA129" s="17" t="s">
        <v>46</v>
      </c>
      <c r="AB129" s="26">
        <v>149</v>
      </c>
      <c r="AC129" s="26">
        <v>57</v>
      </c>
      <c r="AD129" s="56"/>
      <c r="AE129" s="28"/>
      <c r="AF129" s="28"/>
      <c r="AG129" s="27">
        <v>5800</v>
      </c>
      <c r="AH129" s="27">
        <v>2200</v>
      </c>
      <c r="AI129" s="17">
        <v>1995</v>
      </c>
      <c r="AJ129" s="17">
        <v>0</v>
      </c>
      <c r="AK129" s="17">
        <v>1</v>
      </c>
      <c r="AL129" s="17" t="s">
        <v>186</v>
      </c>
    </row>
    <row r="130" spans="1:38" ht="15.75" customHeight="1">
      <c r="A130" s="48" t="s">
        <v>188</v>
      </c>
      <c r="B130" s="33" t="s">
        <v>172</v>
      </c>
      <c r="C130" s="27">
        <v>19</v>
      </c>
      <c r="D130" s="20" t="s">
        <v>196</v>
      </c>
      <c r="E130" s="33">
        <v>0</v>
      </c>
      <c r="F130" s="33" t="s">
        <v>142</v>
      </c>
      <c r="G130" s="19" t="s">
        <v>153</v>
      </c>
      <c r="H130" s="33" t="s">
        <v>42</v>
      </c>
      <c r="I130" s="17" t="b">
        <v>0</v>
      </c>
      <c r="J130" s="17" t="s">
        <v>64</v>
      </c>
      <c r="K130" s="21" t="str">
        <f t="shared" si="3"/>
        <v>https://version2.ice-d.org/antarctica/sample/95-VHANT-C-19/</v>
      </c>
      <c r="L130" s="48" t="s">
        <v>39</v>
      </c>
      <c r="M130" s="205" t="s">
        <v>44</v>
      </c>
      <c r="O130" s="17" t="s">
        <v>155</v>
      </c>
      <c r="P130" s="22">
        <v>-68.425555555599999</v>
      </c>
      <c r="Q130" s="22">
        <v>78.509166666699997</v>
      </c>
      <c r="R130" s="22"/>
      <c r="S130" s="22">
        <v>90</v>
      </c>
      <c r="T130" s="22">
        <v>0</v>
      </c>
      <c r="U130" s="23">
        <v>600</v>
      </c>
      <c r="V130" s="24" t="s">
        <v>2249</v>
      </c>
      <c r="W130" s="44" t="s">
        <v>2447</v>
      </c>
      <c r="X130" s="22">
        <f t="shared" si="4"/>
        <v>90</v>
      </c>
      <c r="Y130" s="22">
        <v>9</v>
      </c>
      <c r="Z130" s="22">
        <v>2.7</v>
      </c>
      <c r="AA130" s="17" t="s">
        <v>46</v>
      </c>
      <c r="AB130" s="26">
        <v>1739</v>
      </c>
      <c r="AC130" s="26">
        <v>314</v>
      </c>
      <c r="AD130" s="26">
        <v>348</v>
      </c>
      <c r="AE130" s="27">
        <v>11000</v>
      </c>
      <c r="AF130" s="27">
        <v>3000</v>
      </c>
      <c r="AG130" s="27">
        <v>72000</v>
      </c>
      <c r="AH130" s="27">
        <v>13000</v>
      </c>
      <c r="AI130" s="27">
        <v>2014</v>
      </c>
      <c r="AJ130" s="17">
        <v>0</v>
      </c>
      <c r="AK130" s="17">
        <v>0</v>
      </c>
    </row>
    <row r="131" spans="1:38" ht="15.75" customHeight="1">
      <c r="A131" s="48" t="s">
        <v>188</v>
      </c>
      <c r="B131" s="33" t="s">
        <v>172</v>
      </c>
      <c r="C131" s="27">
        <v>19</v>
      </c>
      <c r="D131" s="20" t="s">
        <v>196</v>
      </c>
      <c r="E131" s="33">
        <v>0</v>
      </c>
      <c r="F131" s="33" t="s">
        <v>142</v>
      </c>
      <c r="G131" s="33" t="s">
        <v>153</v>
      </c>
      <c r="H131" s="33" t="s">
        <v>42</v>
      </c>
      <c r="I131" s="17" t="b">
        <v>0</v>
      </c>
      <c r="J131" s="17" t="s">
        <v>43</v>
      </c>
      <c r="K131" s="17" t="str">
        <f t="shared" si="3"/>
        <v>https://version2.ice-d.org/antarctica/sample/95-VHANT-C-19/</v>
      </c>
      <c r="L131" s="48" t="s">
        <v>39</v>
      </c>
      <c r="M131" s="155"/>
      <c r="O131" s="17" t="s">
        <v>155</v>
      </c>
      <c r="P131" s="22">
        <v>-68.425555555599999</v>
      </c>
      <c r="Q131" s="22">
        <v>78.509166666699997</v>
      </c>
      <c r="R131" s="22"/>
      <c r="S131" s="22">
        <v>90</v>
      </c>
      <c r="T131" s="22">
        <v>0</v>
      </c>
      <c r="U131" s="23">
        <v>600</v>
      </c>
      <c r="V131" s="24" t="s">
        <v>2250</v>
      </c>
      <c r="W131" s="44" t="s">
        <v>2447</v>
      </c>
      <c r="X131" s="22">
        <f t="shared" si="4"/>
        <v>90</v>
      </c>
      <c r="Y131" s="22">
        <v>9</v>
      </c>
      <c r="Z131" s="22">
        <v>2.7</v>
      </c>
      <c r="AA131" s="17" t="s">
        <v>46</v>
      </c>
      <c r="AB131" s="26">
        <v>1766</v>
      </c>
      <c r="AC131" s="26">
        <v>482</v>
      </c>
      <c r="AD131" s="26">
        <v>493</v>
      </c>
      <c r="AE131" s="27">
        <v>11000</v>
      </c>
      <c r="AF131" s="27">
        <v>3000</v>
      </c>
      <c r="AG131" s="27">
        <v>72000</v>
      </c>
      <c r="AH131" s="27">
        <v>13000</v>
      </c>
      <c r="AI131" s="27">
        <v>2014</v>
      </c>
      <c r="AJ131" s="17">
        <v>0</v>
      </c>
      <c r="AK131" s="17">
        <v>0</v>
      </c>
    </row>
    <row r="132" spans="1:38" ht="15.75" customHeight="1">
      <c r="A132" s="48" t="s">
        <v>189</v>
      </c>
      <c r="B132" s="33" t="s">
        <v>172</v>
      </c>
      <c r="C132" s="27">
        <v>19</v>
      </c>
      <c r="D132" s="20" t="s">
        <v>196</v>
      </c>
      <c r="E132" s="33">
        <v>0</v>
      </c>
      <c r="F132" s="33" t="s">
        <v>142</v>
      </c>
      <c r="G132" s="33" t="s">
        <v>153</v>
      </c>
      <c r="H132" s="33" t="s">
        <v>42</v>
      </c>
      <c r="I132" s="17" t="b">
        <v>0</v>
      </c>
      <c r="J132" s="17" t="s">
        <v>64</v>
      </c>
      <c r="K132" s="21" t="str">
        <f t="shared" si="3"/>
        <v>https://version2.ice-d.org/antarctica/sample/95-VHANT-C-20/</v>
      </c>
      <c r="L132" s="48" t="s">
        <v>39</v>
      </c>
      <c r="M132" s="155"/>
      <c r="O132" s="17" t="s">
        <v>155</v>
      </c>
      <c r="P132" s="22">
        <v>-68.449444444400001</v>
      </c>
      <c r="Q132" s="22">
        <v>78.515833333299994</v>
      </c>
      <c r="R132" s="22"/>
      <c r="S132" s="22">
        <v>90</v>
      </c>
      <c r="T132" s="22">
        <v>0</v>
      </c>
      <c r="U132" s="23">
        <v>600</v>
      </c>
      <c r="V132" s="24" t="s">
        <v>2251</v>
      </c>
      <c r="W132" s="44" t="s">
        <v>2447</v>
      </c>
      <c r="X132" s="22">
        <f t="shared" si="4"/>
        <v>90</v>
      </c>
      <c r="Y132" s="22">
        <v>4.5</v>
      </c>
      <c r="Z132" s="22">
        <v>2.7</v>
      </c>
      <c r="AA132" s="17" t="s">
        <v>46</v>
      </c>
      <c r="AB132" s="26">
        <v>1723</v>
      </c>
      <c r="AC132" s="26">
        <v>303</v>
      </c>
      <c r="AD132" s="26">
        <v>337</v>
      </c>
      <c r="AE132" s="27">
        <v>14000</v>
      </c>
      <c r="AF132" s="27">
        <v>9000</v>
      </c>
      <c r="AG132" s="27">
        <v>74000</v>
      </c>
      <c r="AH132" s="27">
        <v>13000</v>
      </c>
      <c r="AI132" s="27">
        <v>2014</v>
      </c>
      <c r="AJ132" s="17">
        <v>0</v>
      </c>
      <c r="AK132" s="17">
        <v>0</v>
      </c>
    </row>
    <row r="133" spans="1:38" ht="15.75" customHeight="1">
      <c r="A133" s="48" t="s">
        <v>189</v>
      </c>
      <c r="B133" s="33" t="s">
        <v>172</v>
      </c>
      <c r="C133" s="27">
        <v>19</v>
      </c>
      <c r="D133" s="20" t="s">
        <v>196</v>
      </c>
      <c r="E133" s="33">
        <v>0</v>
      </c>
      <c r="F133" s="33" t="s">
        <v>142</v>
      </c>
      <c r="G133" s="33" t="s">
        <v>153</v>
      </c>
      <c r="H133" s="33" t="s">
        <v>42</v>
      </c>
      <c r="I133" s="17" t="b">
        <v>0</v>
      </c>
      <c r="J133" s="17" t="s">
        <v>43</v>
      </c>
      <c r="K133" s="21" t="str">
        <f t="shared" si="3"/>
        <v>https://version2.ice-d.org/antarctica/sample/95-VHANT-C-20/</v>
      </c>
      <c r="L133" s="48" t="s">
        <v>39</v>
      </c>
      <c r="M133" s="155"/>
      <c r="O133" s="17" t="s">
        <v>155</v>
      </c>
      <c r="P133" s="22">
        <v>-68.449444444400001</v>
      </c>
      <c r="Q133" s="22">
        <v>78.515833333299994</v>
      </c>
      <c r="R133" s="22"/>
      <c r="S133" s="22">
        <v>90</v>
      </c>
      <c r="T133" s="22">
        <v>0</v>
      </c>
      <c r="U133" s="23">
        <v>600</v>
      </c>
      <c r="V133" s="24" t="s">
        <v>2252</v>
      </c>
      <c r="W133" s="44" t="s">
        <v>2447</v>
      </c>
      <c r="X133" s="22">
        <f t="shared" si="4"/>
        <v>90</v>
      </c>
      <c r="Y133" s="22">
        <v>4.5</v>
      </c>
      <c r="Z133" s="22">
        <v>2.7</v>
      </c>
      <c r="AA133" s="17" t="s">
        <v>46</v>
      </c>
      <c r="AB133" s="26">
        <v>2184</v>
      </c>
      <c r="AC133" s="26">
        <v>1405</v>
      </c>
      <c r="AD133" s="26">
        <v>1411</v>
      </c>
      <c r="AE133" s="27">
        <v>14000</v>
      </c>
      <c r="AF133" s="27">
        <v>9000</v>
      </c>
      <c r="AG133" s="27">
        <v>74000</v>
      </c>
      <c r="AH133" s="27">
        <v>13000</v>
      </c>
      <c r="AI133" s="27">
        <v>2014</v>
      </c>
      <c r="AJ133" s="17">
        <v>0</v>
      </c>
      <c r="AK133" s="17">
        <v>0</v>
      </c>
    </row>
    <row r="134" spans="1:38" ht="15.75" customHeight="1">
      <c r="A134" s="48" t="s">
        <v>190</v>
      </c>
      <c r="B134" s="33" t="s">
        <v>172</v>
      </c>
      <c r="C134" s="27">
        <v>19</v>
      </c>
      <c r="D134" s="20" t="s">
        <v>196</v>
      </c>
      <c r="E134" s="33">
        <v>0</v>
      </c>
      <c r="F134" s="33" t="s">
        <v>142</v>
      </c>
      <c r="G134" s="33" t="s">
        <v>153</v>
      </c>
      <c r="H134" s="33" t="s">
        <v>42</v>
      </c>
      <c r="I134" s="17" t="b">
        <v>0</v>
      </c>
      <c r="J134" s="17" t="s">
        <v>43</v>
      </c>
      <c r="K134" s="21" t="str">
        <f t="shared" si="3"/>
        <v>https://version2.ice-d.org/antarctica/sample/95-VHANT-C-29/</v>
      </c>
      <c r="L134" s="48" t="s">
        <v>39</v>
      </c>
      <c r="M134" s="155"/>
      <c r="O134" s="17" t="s">
        <v>155</v>
      </c>
      <c r="P134" s="22">
        <v>-68.547499999999999</v>
      </c>
      <c r="Q134" s="22">
        <v>78.546388888899997</v>
      </c>
      <c r="R134" s="22"/>
      <c r="S134" s="22">
        <v>110</v>
      </c>
      <c r="T134" s="22">
        <v>0</v>
      </c>
      <c r="U134" s="23">
        <v>600</v>
      </c>
      <c r="V134" s="24" t="s">
        <v>2253</v>
      </c>
      <c r="W134" s="44" t="s">
        <v>2447</v>
      </c>
      <c r="X134" s="22">
        <f t="shared" si="4"/>
        <v>110</v>
      </c>
      <c r="Y134" s="22">
        <v>4</v>
      </c>
      <c r="Z134" s="22">
        <v>2.7</v>
      </c>
      <c r="AA134" s="17" t="s">
        <v>46</v>
      </c>
      <c r="AB134" s="26">
        <v>1970</v>
      </c>
      <c r="AC134" s="26">
        <v>455</v>
      </c>
      <c r="AD134" s="26">
        <v>469</v>
      </c>
      <c r="AE134" s="27">
        <v>13000</v>
      </c>
      <c r="AF134" s="27">
        <v>3000</v>
      </c>
      <c r="AG134" s="27">
        <v>90000</v>
      </c>
      <c r="AH134" s="27">
        <v>11000</v>
      </c>
      <c r="AI134" s="27">
        <v>2014</v>
      </c>
      <c r="AJ134" s="17">
        <v>0</v>
      </c>
      <c r="AK134" s="17">
        <v>0</v>
      </c>
    </row>
    <row r="135" spans="1:38" ht="15.75" customHeight="1">
      <c r="A135" s="48" t="s">
        <v>190</v>
      </c>
      <c r="B135" s="33" t="s">
        <v>172</v>
      </c>
      <c r="C135" s="27">
        <v>19</v>
      </c>
      <c r="D135" s="20" t="s">
        <v>196</v>
      </c>
      <c r="E135" s="33">
        <v>0</v>
      </c>
      <c r="F135" s="33" t="s">
        <v>142</v>
      </c>
      <c r="G135" s="33" t="s">
        <v>153</v>
      </c>
      <c r="H135" s="33" t="s">
        <v>42</v>
      </c>
      <c r="I135" s="17" t="b">
        <v>0</v>
      </c>
      <c r="J135" s="17" t="s">
        <v>64</v>
      </c>
      <c r="K135" s="21" t="str">
        <f t="shared" si="3"/>
        <v>https://version2.ice-d.org/antarctica/sample/95-VHANT-C-29/</v>
      </c>
      <c r="L135" s="48" t="s">
        <v>39</v>
      </c>
      <c r="M135" s="155"/>
      <c r="O135" s="17" t="s">
        <v>155</v>
      </c>
      <c r="P135" s="22">
        <v>-68.547499999999999</v>
      </c>
      <c r="Q135" s="22">
        <v>78.546388888899997</v>
      </c>
      <c r="R135" s="22"/>
      <c r="S135" s="22">
        <v>110</v>
      </c>
      <c r="T135" s="22">
        <v>0</v>
      </c>
      <c r="U135" s="23">
        <v>600</v>
      </c>
      <c r="V135" s="24" t="s">
        <v>2254</v>
      </c>
      <c r="W135" s="44" t="s">
        <v>2447</v>
      </c>
      <c r="X135" s="22">
        <f t="shared" si="4"/>
        <v>110</v>
      </c>
      <c r="Y135" s="22">
        <v>4</v>
      </c>
      <c r="Z135" s="22">
        <v>2.7</v>
      </c>
      <c r="AA135" s="17" t="s">
        <v>46</v>
      </c>
      <c r="AB135" s="26">
        <v>2059</v>
      </c>
      <c r="AC135" s="26">
        <v>252</v>
      </c>
      <c r="AD135" s="26">
        <v>308</v>
      </c>
      <c r="AE135" s="27">
        <v>13000</v>
      </c>
      <c r="AF135" s="27">
        <v>3000</v>
      </c>
      <c r="AG135" s="27">
        <v>90000</v>
      </c>
      <c r="AH135" s="27">
        <v>11000</v>
      </c>
      <c r="AI135" s="27">
        <v>2014</v>
      </c>
      <c r="AJ135" s="17">
        <v>0</v>
      </c>
      <c r="AK135" s="17">
        <v>0</v>
      </c>
    </row>
    <row r="136" spans="1:38" ht="15.75" customHeight="1">
      <c r="A136" s="48" t="s">
        <v>191</v>
      </c>
      <c r="B136" s="33" t="s">
        <v>172</v>
      </c>
      <c r="C136" s="27">
        <v>20</v>
      </c>
      <c r="D136" s="20" t="s">
        <v>196</v>
      </c>
      <c r="E136" s="33">
        <v>0</v>
      </c>
      <c r="F136" s="33" t="s">
        <v>142</v>
      </c>
      <c r="G136" s="33" t="s">
        <v>153</v>
      </c>
      <c r="H136" s="33" t="s">
        <v>42</v>
      </c>
      <c r="I136" s="17" t="b">
        <v>0</v>
      </c>
      <c r="J136" s="17" t="s">
        <v>64</v>
      </c>
      <c r="K136" s="21" t="str">
        <f t="shared" si="3"/>
        <v>https://version2.ice-d.org/antarctica/sample/95-VHANT-C-24/</v>
      </c>
      <c r="L136" s="48" t="s">
        <v>39</v>
      </c>
      <c r="M136" s="155"/>
      <c r="O136" s="17" t="s">
        <v>155</v>
      </c>
      <c r="P136" s="22">
        <v>-68.533888888899995</v>
      </c>
      <c r="Q136" s="22">
        <v>78.4969444444</v>
      </c>
      <c r="R136" s="22"/>
      <c r="S136" s="22">
        <v>80</v>
      </c>
      <c r="T136" s="22">
        <v>0</v>
      </c>
      <c r="U136" s="23">
        <v>600</v>
      </c>
      <c r="V136" s="24" t="s">
        <v>2255</v>
      </c>
      <c r="W136" s="44" t="s">
        <v>2447</v>
      </c>
      <c r="X136" s="22">
        <f t="shared" si="4"/>
        <v>80</v>
      </c>
      <c r="Y136" s="22">
        <v>6.5</v>
      </c>
      <c r="Z136" s="22">
        <v>2.7</v>
      </c>
      <c r="AA136" s="17" t="s">
        <v>46</v>
      </c>
      <c r="AB136" s="26">
        <v>9456</v>
      </c>
      <c r="AC136" s="26">
        <v>744</v>
      </c>
      <c r="AD136" s="26">
        <v>1105</v>
      </c>
      <c r="AE136" s="27">
        <v>58000</v>
      </c>
      <c r="AF136" s="27">
        <v>5000</v>
      </c>
      <c r="AG136" s="27">
        <v>383000</v>
      </c>
      <c r="AH136" s="27">
        <v>30000</v>
      </c>
      <c r="AI136" s="27">
        <v>2014</v>
      </c>
      <c r="AJ136" s="17">
        <v>0</v>
      </c>
      <c r="AK136" s="17">
        <v>0</v>
      </c>
    </row>
    <row r="137" spans="1:38" ht="15.75" customHeight="1">
      <c r="A137" s="48" t="s">
        <v>191</v>
      </c>
      <c r="B137" s="33" t="s">
        <v>172</v>
      </c>
      <c r="C137" s="27">
        <v>20</v>
      </c>
      <c r="D137" s="20" t="s">
        <v>196</v>
      </c>
      <c r="E137" s="33">
        <v>0</v>
      </c>
      <c r="F137" s="33" t="s">
        <v>142</v>
      </c>
      <c r="G137" s="33" t="s">
        <v>153</v>
      </c>
      <c r="H137" s="33" t="s">
        <v>42</v>
      </c>
      <c r="I137" s="17" t="b">
        <v>0</v>
      </c>
      <c r="J137" s="17" t="s">
        <v>64</v>
      </c>
      <c r="K137" s="21" t="str">
        <f t="shared" si="3"/>
        <v>https://version2.ice-d.org/antarctica/sample/95-VHANT-C-24/</v>
      </c>
      <c r="L137" s="48" t="s">
        <v>39</v>
      </c>
      <c r="M137" s="155"/>
      <c r="O137" s="17" t="s">
        <v>155</v>
      </c>
      <c r="P137" s="22">
        <v>-68.533888888899995</v>
      </c>
      <c r="Q137" s="22">
        <v>78.4969444444</v>
      </c>
      <c r="R137" s="22"/>
      <c r="S137" s="22">
        <v>80</v>
      </c>
      <c r="T137" s="22">
        <v>0</v>
      </c>
      <c r="U137" s="23">
        <v>600</v>
      </c>
      <c r="V137" s="24" t="s">
        <v>2256</v>
      </c>
      <c r="W137" s="44" t="s">
        <v>2447</v>
      </c>
      <c r="X137" s="22">
        <f t="shared" si="4"/>
        <v>80</v>
      </c>
      <c r="Y137" s="22">
        <v>6.5</v>
      </c>
      <c r="Z137" s="22">
        <v>2.7</v>
      </c>
      <c r="AA137" s="17" t="s">
        <v>46</v>
      </c>
      <c r="AB137" s="26">
        <v>9494</v>
      </c>
      <c r="AC137" s="26">
        <v>820</v>
      </c>
      <c r="AD137" s="26">
        <v>994</v>
      </c>
      <c r="AE137" s="27">
        <v>58000</v>
      </c>
      <c r="AF137" s="27">
        <v>5000</v>
      </c>
      <c r="AG137" s="27">
        <v>383000</v>
      </c>
      <c r="AH137" s="27">
        <v>30000</v>
      </c>
      <c r="AI137" s="27">
        <v>2014</v>
      </c>
      <c r="AJ137" s="17">
        <v>0</v>
      </c>
      <c r="AK137" s="17">
        <v>0</v>
      </c>
    </row>
    <row r="138" spans="1:38" ht="15.75" customHeight="1">
      <c r="A138" s="48" t="s">
        <v>192</v>
      </c>
      <c r="B138" s="33" t="s">
        <v>172</v>
      </c>
      <c r="C138" s="27">
        <v>20</v>
      </c>
      <c r="D138" s="20" t="s">
        <v>196</v>
      </c>
      <c r="E138" s="33">
        <v>0</v>
      </c>
      <c r="F138" s="33" t="s">
        <v>142</v>
      </c>
      <c r="G138" s="33" t="s">
        <v>153</v>
      </c>
      <c r="H138" s="33" t="s">
        <v>42</v>
      </c>
      <c r="I138" s="17" t="b">
        <v>0</v>
      </c>
      <c r="J138" s="17" t="s">
        <v>64</v>
      </c>
      <c r="K138" s="21" t="str">
        <f t="shared" si="3"/>
        <v>https://version2.ice-d.org/antarctica/sample/95-VHANT-C-35/</v>
      </c>
      <c r="L138" s="48" t="s">
        <v>39</v>
      </c>
      <c r="M138" s="155"/>
      <c r="O138" s="17" t="s">
        <v>155</v>
      </c>
      <c r="P138" s="22">
        <v>-68.517222222200004</v>
      </c>
      <c r="Q138" s="22">
        <v>78.267499999999998</v>
      </c>
      <c r="R138" s="22"/>
      <c r="S138" s="22">
        <v>120</v>
      </c>
      <c r="T138" s="22">
        <v>0</v>
      </c>
      <c r="U138" s="23">
        <v>600</v>
      </c>
      <c r="V138" s="24" t="s">
        <v>2257</v>
      </c>
      <c r="W138" s="44" t="s">
        <v>2447</v>
      </c>
      <c r="X138" s="22">
        <f t="shared" si="4"/>
        <v>120</v>
      </c>
      <c r="Y138" s="22">
        <v>3</v>
      </c>
      <c r="Z138" s="22">
        <v>2.7</v>
      </c>
      <c r="AA138" s="17" t="s">
        <v>46</v>
      </c>
      <c r="AB138" s="26">
        <v>10827</v>
      </c>
      <c r="AC138" s="26">
        <v>395</v>
      </c>
      <c r="AD138" s="26">
        <v>1016</v>
      </c>
      <c r="AE138" s="27">
        <v>78000</v>
      </c>
      <c r="AF138" s="27">
        <v>4000</v>
      </c>
      <c r="AG138" s="27">
        <v>468000</v>
      </c>
      <c r="AH138" s="27">
        <v>17000</v>
      </c>
      <c r="AI138" s="27">
        <v>2014</v>
      </c>
      <c r="AJ138" s="17">
        <v>0</v>
      </c>
      <c r="AK138" s="17">
        <v>0</v>
      </c>
    </row>
    <row r="139" spans="1:38" ht="18" customHeight="1">
      <c r="A139" s="48" t="s">
        <v>192</v>
      </c>
      <c r="B139" s="33" t="s">
        <v>172</v>
      </c>
      <c r="C139" s="27">
        <v>20</v>
      </c>
      <c r="D139" s="20" t="s">
        <v>196</v>
      </c>
      <c r="E139" s="33">
        <v>0</v>
      </c>
      <c r="F139" s="33" t="s">
        <v>142</v>
      </c>
      <c r="G139" s="33" t="s">
        <v>153</v>
      </c>
      <c r="H139" s="33" t="s">
        <v>42</v>
      </c>
      <c r="I139" s="17" t="b">
        <v>0</v>
      </c>
      <c r="J139" s="17" t="s">
        <v>43</v>
      </c>
      <c r="K139" s="21" t="str">
        <f t="shared" si="3"/>
        <v>https://version2.ice-d.org/antarctica/sample/95-VHANT-C-35/</v>
      </c>
      <c r="L139" s="48" t="s">
        <v>39</v>
      </c>
      <c r="M139" s="155"/>
      <c r="O139" s="17" t="s">
        <v>155</v>
      </c>
      <c r="P139" s="22">
        <v>-68.517222222200004</v>
      </c>
      <c r="Q139" s="22">
        <v>78.267499999999998</v>
      </c>
      <c r="R139" s="22"/>
      <c r="S139" s="22">
        <v>120</v>
      </c>
      <c r="T139" s="22">
        <v>0</v>
      </c>
      <c r="U139" s="23">
        <v>600</v>
      </c>
      <c r="V139" s="24" t="s">
        <v>2258</v>
      </c>
      <c r="W139" s="44" t="s">
        <v>2447</v>
      </c>
      <c r="X139" s="22">
        <f t="shared" si="4"/>
        <v>120</v>
      </c>
      <c r="Y139" s="22">
        <v>3</v>
      </c>
      <c r="Z139" s="22">
        <v>2.7</v>
      </c>
      <c r="AA139" s="17" t="s">
        <v>46</v>
      </c>
      <c r="AB139" s="26">
        <v>11975</v>
      </c>
      <c r="AC139" s="26">
        <v>616</v>
      </c>
      <c r="AD139" s="26">
        <v>939</v>
      </c>
      <c r="AE139" s="27">
        <v>78000</v>
      </c>
      <c r="AF139" s="27">
        <v>4000</v>
      </c>
      <c r="AG139" s="27">
        <v>468000</v>
      </c>
      <c r="AH139" s="27">
        <v>17000</v>
      </c>
      <c r="AI139" s="27">
        <v>2014</v>
      </c>
      <c r="AJ139" s="17">
        <v>0</v>
      </c>
      <c r="AK139" s="17">
        <v>0</v>
      </c>
    </row>
    <row r="140" spans="1:38" ht="18" customHeight="1">
      <c r="A140" s="48" t="s">
        <v>193</v>
      </c>
      <c r="B140" s="33" t="s">
        <v>172</v>
      </c>
      <c r="C140" s="27">
        <v>20</v>
      </c>
      <c r="D140" s="20" t="s">
        <v>196</v>
      </c>
      <c r="E140" s="33">
        <v>0</v>
      </c>
      <c r="F140" s="33" t="s">
        <v>142</v>
      </c>
      <c r="G140" s="33" t="s">
        <v>153</v>
      </c>
      <c r="H140" s="33" t="s">
        <v>42</v>
      </c>
      <c r="I140" s="17" t="b">
        <v>0</v>
      </c>
      <c r="J140" s="17" t="s">
        <v>64</v>
      </c>
      <c r="K140" s="21" t="str">
        <f t="shared" si="3"/>
        <v>https://version2.ice-d.org/antarctica/sample/95-VHANT-C-36/</v>
      </c>
      <c r="L140" s="48" t="s">
        <v>39</v>
      </c>
      <c r="M140" s="155"/>
      <c r="O140" s="17" t="s">
        <v>155</v>
      </c>
      <c r="P140" s="22">
        <v>-68.554722222199999</v>
      </c>
      <c r="Q140" s="22">
        <v>78.2091666667</v>
      </c>
      <c r="R140" s="22"/>
      <c r="S140" s="22">
        <v>30</v>
      </c>
      <c r="T140" s="22">
        <v>0</v>
      </c>
      <c r="U140" s="23">
        <v>600</v>
      </c>
      <c r="V140" s="24" t="s">
        <v>2259</v>
      </c>
      <c r="W140" s="44" t="s">
        <v>2447</v>
      </c>
      <c r="X140" s="22">
        <f t="shared" si="4"/>
        <v>30</v>
      </c>
      <c r="Y140" s="22">
        <v>3</v>
      </c>
      <c r="Z140" s="22">
        <v>2.7</v>
      </c>
      <c r="AA140" s="17" t="s">
        <v>46</v>
      </c>
      <c r="AB140" s="26">
        <v>9664</v>
      </c>
      <c r="AC140" s="26">
        <v>482</v>
      </c>
      <c r="AD140" s="26">
        <v>964</v>
      </c>
      <c r="AE140" s="27">
        <v>71000</v>
      </c>
      <c r="AF140" s="27">
        <v>4000</v>
      </c>
      <c r="AG140" s="27">
        <v>383000</v>
      </c>
      <c r="AH140" s="27">
        <v>19000</v>
      </c>
      <c r="AI140" s="27">
        <v>2014</v>
      </c>
      <c r="AJ140" s="17">
        <v>0</v>
      </c>
      <c r="AK140" s="17">
        <v>0</v>
      </c>
    </row>
    <row r="141" spans="1:38" ht="15.75" customHeight="1">
      <c r="A141" s="48" t="s">
        <v>193</v>
      </c>
      <c r="B141" s="33" t="s">
        <v>172</v>
      </c>
      <c r="C141" s="27">
        <v>20</v>
      </c>
      <c r="D141" s="20" t="s">
        <v>196</v>
      </c>
      <c r="E141" s="33">
        <v>0</v>
      </c>
      <c r="F141" s="33" t="s">
        <v>142</v>
      </c>
      <c r="G141" s="33" t="s">
        <v>153</v>
      </c>
      <c r="H141" s="33" t="s">
        <v>42</v>
      </c>
      <c r="I141" s="17" t="b">
        <v>0</v>
      </c>
      <c r="J141" s="17" t="s">
        <v>43</v>
      </c>
      <c r="K141" s="21" t="str">
        <f t="shared" si="3"/>
        <v>https://version2.ice-d.org/antarctica/sample/95-VHANT-C-36/</v>
      </c>
      <c r="L141" s="48" t="s">
        <v>39</v>
      </c>
      <c r="M141" s="155"/>
      <c r="O141" s="17" t="s">
        <v>155</v>
      </c>
      <c r="P141" s="22">
        <v>-68.554722222199999</v>
      </c>
      <c r="Q141" s="22">
        <v>78.2091666667</v>
      </c>
      <c r="R141" s="22"/>
      <c r="S141" s="22">
        <v>30</v>
      </c>
      <c r="T141" s="22">
        <v>0</v>
      </c>
      <c r="U141" s="23">
        <v>600</v>
      </c>
      <c r="V141" s="24" t="s">
        <v>2260</v>
      </c>
      <c r="W141" s="44" t="s">
        <v>2447</v>
      </c>
      <c r="X141" s="22">
        <f t="shared" si="4"/>
        <v>30</v>
      </c>
      <c r="Y141" s="22">
        <v>3</v>
      </c>
      <c r="Z141" s="22">
        <v>2.7</v>
      </c>
      <c r="AA141" s="17" t="s">
        <v>46</v>
      </c>
      <c r="AB141" s="26">
        <v>11937</v>
      </c>
      <c r="AC141" s="26">
        <v>674</v>
      </c>
      <c r="AD141" s="26">
        <v>977</v>
      </c>
      <c r="AE141" s="27">
        <v>71000</v>
      </c>
      <c r="AF141" s="27">
        <v>4000</v>
      </c>
      <c r="AG141" s="27">
        <v>383000</v>
      </c>
      <c r="AH141" s="27">
        <v>19000</v>
      </c>
      <c r="AI141" s="27">
        <v>2014</v>
      </c>
      <c r="AJ141" s="17">
        <v>0</v>
      </c>
      <c r="AK141" s="17">
        <v>0</v>
      </c>
    </row>
    <row r="142" spans="1:38" ht="15.75" customHeight="1">
      <c r="A142" s="42" t="s">
        <v>194</v>
      </c>
      <c r="B142" s="19" t="s">
        <v>195</v>
      </c>
      <c r="C142" s="17">
        <v>21</v>
      </c>
      <c r="D142" s="20" t="s">
        <v>196</v>
      </c>
      <c r="E142" s="19">
        <v>0</v>
      </c>
      <c r="F142" s="19" t="s">
        <v>197</v>
      </c>
      <c r="G142" s="19" t="s">
        <v>198</v>
      </c>
      <c r="H142" s="19" t="s">
        <v>42</v>
      </c>
      <c r="I142" s="17" t="b">
        <v>0</v>
      </c>
      <c r="J142" s="17" t="s">
        <v>43</v>
      </c>
      <c r="K142" s="21" t="str">
        <f t="shared" si="3"/>
        <v>https://version2.ice-d.org/antarctica/sample/G06/</v>
      </c>
      <c r="L142" s="42" t="s">
        <v>112</v>
      </c>
      <c r="M142" s="204" t="s">
        <v>199</v>
      </c>
      <c r="N142" s="17" t="s">
        <v>39</v>
      </c>
      <c r="O142" s="17" t="s">
        <v>200</v>
      </c>
      <c r="P142" s="22">
        <v>-72.0482166667</v>
      </c>
      <c r="Q142" s="22">
        <v>2.5159833332999999</v>
      </c>
      <c r="R142" s="22"/>
      <c r="S142" s="22">
        <v>1610.4699561</v>
      </c>
      <c r="T142" s="22">
        <v>1380</v>
      </c>
      <c r="U142" s="23">
        <v>250</v>
      </c>
      <c r="V142" s="24" t="s">
        <v>2141</v>
      </c>
      <c r="W142" s="44" t="s">
        <v>2448</v>
      </c>
      <c r="X142" s="22">
        <f t="shared" si="4"/>
        <v>230.46995609999999</v>
      </c>
      <c r="Y142" s="22">
        <v>4</v>
      </c>
      <c r="Z142" s="22">
        <v>2.7</v>
      </c>
      <c r="AA142" s="17" t="s">
        <v>201</v>
      </c>
      <c r="AB142" s="26">
        <v>8392</v>
      </c>
      <c r="AC142" s="26">
        <v>289</v>
      </c>
      <c r="AD142" s="26">
        <v>574</v>
      </c>
      <c r="AE142" s="27">
        <v>197143</v>
      </c>
      <c r="AF142" s="27">
        <v>6767</v>
      </c>
      <c r="AG142" s="27">
        <v>1399841</v>
      </c>
      <c r="AH142" s="27">
        <v>57862</v>
      </c>
      <c r="AI142" s="17">
        <v>2016</v>
      </c>
      <c r="AJ142" s="17">
        <v>1</v>
      </c>
      <c r="AK142" s="17">
        <v>0</v>
      </c>
      <c r="AL142" s="17" t="s">
        <v>202</v>
      </c>
    </row>
    <row r="143" spans="1:38" ht="15.75" customHeight="1">
      <c r="A143" s="42" t="s">
        <v>194</v>
      </c>
      <c r="B143" s="19" t="s">
        <v>195</v>
      </c>
      <c r="C143" s="17">
        <v>21</v>
      </c>
      <c r="D143" s="20" t="s">
        <v>196</v>
      </c>
      <c r="E143" s="19">
        <v>0</v>
      </c>
      <c r="F143" s="19" t="s">
        <v>197</v>
      </c>
      <c r="G143" s="19" t="s">
        <v>198</v>
      </c>
      <c r="H143" s="19" t="s">
        <v>42</v>
      </c>
      <c r="I143" s="17" t="b">
        <v>0</v>
      </c>
      <c r="J143" s="17" t="s">
        <v>64</v>
      </c>
      <c r="K143" s="21" t="str">
        <f t="shared" si="3"/>
        <v>https://version2.ice-d.org/antarctica/sample/G06/</v>
      </c>
      <c r="L143" s="42" t="s">
        <v>112</v>
      </c>
      <c r="M143" s="155"/>
      <c r="N143" s="17" t="s">
        <v>39</v>
      </c>
      <c r="O143" s="17" t="s">
        <v>200</v>
      </c>
      <c r="P143" s="22">
        <v>-72.0482166667</v>
      </c>
      <c r="Q143" s="22">
        <v>2.5159833332999999</v>
      </c>
      <c r="R143" s="22"/>
      <c r="S143" s="22">
        <v>1610.4699561</v>
      </c>
      <c r="T143" s="22">
        <v>1380</v>
      </c>
      <c r="U143" s="23">
        <v>250</v>
      </c>
      <c r="V143" s="24" t="s">
        <v>2143</v>
      </c>
      <c r="W143" s="44" t="s">
        <v>2448</v>
      </c>
      <c r="X143" s="22">
        <f t="shared" si="4"/>
        <v>230.46995609999999</v>
      </c>
      <c r="Y143" s="22">
        <v>4</v>
      </c>
      <c r="Z143" s="22">
        <v>2.7</v>
      </c>
      <c r="AA143" s="17" t="s">
        <v>201</v>
      </c>
      <c r="AB143" s="26">
        <v>8508</v>
      </c>
      <c r="AC143" s="26">
        <v>353</v>
      </c>
      <c r="AD143" s="26">
        <v>815</v>
      </c>
      <c r="AE143" s="27">
        <v>197143</v>
      </c>
      <c r="AF143" s="27">
        <v>6767</v>
      </c>
      <c r="AG143" s="27">
        <v>1399841</v>
      </c>
      <c r="AH143" s="27">
        <v>57862</v>
      </c>
      <c r="AI143" s="17">
        <v>2016</v>
      </c>
      <c r="AJ143" s="17">
        <v>1</v>
      </c>
      <c r="AK143" s="17">
        <v>0</v>
      </c>
      <c r="AL143" s="17" t="s">
        <v>202</v>
      </c>
    </row>
    <row r="144" spans="1:38" ht="15.75" customHeight="1">
      <c r="A144" s="42" t="s">
        <v>203</v>
      </c>
      <c r="B144" s="19" t="s">
        <v>195</v>
      </c>
      <c r="C144" s="17">
        <v>21</v>
      </c>
      <c r="D144" s="20" t="s">
        <v>196</v>
      </c>
      <c r="E144" s="19">
        <v>0</v>
      </c>
      <c r="F144" s="19" t="s">
        <v>197</v>
      </c>
      <c r="G144" s="19" t="s">
        <v>198</v>
      </c>
      <c r="H144" s="19" t="s">
        <v>42</v>
      </c>
      <c r="I144" s="17" t="b">
        <v>0</v>
      </c>
      <c r="J144" s="17" t="s">
        <v>64</v>
      </c>
      <c r="K144" s="21" t="str">
        <f t="shared" si="3"/>
        <v>https://version2.ice-d.org/antarctica/sample/G10/</v>
      </c>
      <c r="L144" s="42" t="s">
        <v>112</v>
      </c>
      <c r="M144" s="155"/>
      <c r="N144" s="17" t="s">
        <v>39</v>
      </c>
      <c r="O144" s="17" t="s">
        <v>200</v>
      </c>
      <c r="P144" s="22">
        <v>-72.044416666700002</v>
      </c>
      <c r="Q144" s="22">
        <v>2.5081500000000001</v>
      </c>
      <c r="R144" s="22"/>
      <c r="S144" s="22">
        <v>1502.2155488000001</v>
      </c>
      <c r="T144" s="22">
        <v>1380</v>
      </c>
      <c r="U144" s="23">
        <v>250</v>
      </c>
      <c r="V144" s="24" t="s">
        <v>2144</v>
      </c>
      <c r="W144" s="44" t="s">
        <v>2448</v>
      </c>
      <c r="X144" s="22">
        <f t="shared" si="4"/>
        <v>122.21554880000008</v>
      </c>
      <c r="Y144" s="22">
        <v>4</v>
      </c>
      <c r="Z144" s="22">
        <v>2.7</v>
      </c>
      <c r="AA144" s="17" t="s">
        <v>201</v>
      </c>
      <c r="AB144" s="26">
        <v>12445</v>
      </c>
      <c r="AC144" s="26">
        <v>539</v>
      </c>
      <c r="AD144" s="26">
        <v>1204</v>
      </c>
      <c r="AE144" s="27">
        <v>312319</v>
      </c>
      <c r="AF144" s="27">
        <v>8318</v>
      </c>
      <c r="AG144" s="27">
        <v>1861070</v>
      </c>
      <c r="AH144" s="27">
        <v>80111</v>
      </c>
      <c r="AI144" s="17">
        <v>2016</v>
      </c>
      <c r="AJ144" s="17">
        <v>1</v>
      </c>
      <c r="AK144" s="17">
        <v>0</v>
      </c>
      <c r="AL144" s="17" t="s">
        <v>202</v>
      </c>
    </row>
    <row r="145" spans="1:38" ht="15.75" customHeight="1">
      <c r="A145" s="42" t="s">
        <v>203</v>
      </c>
      <c r="B145" s="19" t="s">
        <v>195</v>
      </c>
      <c r="C145" s="17">
        <v>21</v>
      </c>
      <c r="D145" s="20" t="s">
        <v>196</v>
      </c>
      <c r="E145" s="19">
        <v>0</v>
      </c>
      <c r="F145" s="19" t="s">
        <v>197</v>
      </c>
      <c r="G145" s="19" t="s">
        <v>198</v>
      </c>
      <c r="H145" s="19" t="s">
        <v>42</v>
      </c>
      <c r="I145" s="17" t="b">
        <v>0</v>
      </c>
      <c r="J145" s="17" t="s">
        <v>43</v>
      </c>
      <c r="K145" s="21" t="str">
        <f t="shared" si="3"/>
        <v>https://version2.ice-d.org/antarctica/sample/G10/</v>
      </c>
      <c r="L145" s="42" t="s">
        <v>112</v>
      </c>
      <c r="M145" s="155"/>
      <c r="N145" s="17" t="s">
        <v>39</v>
      </c>
      <c r="O145" s="17" t="s">
        <v>200</v>
      </c>
      <c r="P145" s="22">
        <v>-72.044416666700002</v>
      </c>
      <c r="Q145" s="22">
        <v>2.5081500000000001</v>
      </c>
      <c r="R145" s="22"/>
      <c r="S145" s="22">
        <v>1502.2155488000001</v>
      </c>
      <c r="T145" s="22">
        <v>1380</v>
      </c>
      <c r="U145" s="23">
        <v>250</v>
      </c>
      <c r="V145" s="24" t="s">
        <v>2145</v>
      </c>
      <c r="W145" s="44" t="s">
        <v>2448</v>
      </c>
      <c r="X145" s="22">
        <f t="shared" si="4"/>
        <v>122.21554880000008</v>
      </c>
      <c r="Y145" s="22">
        <v>4</v>
      </c>
      <c r="Z145" s="22">
        <v>2.7</v>
      </c>
      <c r="AA145" s="17" t="s">
        <v>201</v>
      </c>
      <c r="AB145" s="26">
        <v>14658</v>
      </c>
      <c r="AC145" s="26">
        <v>392</v>
      </c>
      <c r="AD145" s="26">
        <v>952</v>
      </c>
      <c r="AE145" s="27">
        <v>312319</v>
      </c>
      <c r="AF145" s="27">
        <v>8318</v>
      </c>
      <c r="AG145" s="27">
        <v>1861070</v>
      </c>
      <c r="AH145" s="27">
        <v>80111</v>
      </c>
      <c r="AI145" s="17">
        <v>2016</v>
      </c>
      <c r="AJ145" s="17">
        <v>1</v>
      </c>
      <c r="AK145" s="17">
        <v>0</v>
      </c>
      <c r="AL145" s="17" t="s">
        <v>202</v>
      </c>
    </row>
    <row r="146" spans="1:38" ht="15.75" customHeight="1">
      <c r="A146" s="42" t="s">
        <v>204</v>
      </c>
      <c r="B146" s="19" t="s">
        <v>195</v>
      </c>
      <c r="C146" s="17">
        <v>21</v>
      </c>
      <c r="D146" s="20" t="s">
        <v>196</v>
      </c>
      <c r="E146" s="19">
        <v>0</v>
      </c>
      <c r="F146" s="19" t="s">
        <v>197</v>
      </c>
      <c r="G146" s="19" t="s">
        <v>198</v>
      </c>
      <c r="H146" s="19" t="s">
        <v>42</v>
      </c>
      <c r="I146" s="17" t="b">
        <v>0</v>
      </c>
      <c r="J146" s="17" t="s">
        <v>43</v>
      </c>
      <c r="K146" s="21" t="str">
        <f t="shared" si="3"/>
        <v>https://version2.ice-d.org/antarctica/sample/G14/</v>
      </c>
      <c r="L146" s="42" t="s">
        <v>112</v>
      </c>
      <c r="M146" s="155"/>
      <c r="N146" s="17" t="s">
        <v>39</v>
      </c>
      <c r="O146" s="17" t="s">
        <v>200</v>
      </c>
      <c r="P146" s="22">
        <v>-72.043850000000006</v>
      </c>
      <c r="Q146" s="22">
        <v>2.5030000000000001</v>
      </c>
      <c r="R146" s="22"/>
      <c r="S146" s="22">
        <v>1468.8557536999999</v>
      </c>
      <c r="T146" s="22">
        <v>1380</v>
      </c>
      <c r="U146" s="23">
        <v>250</v>
      </c>
      <c r="V146" s="24" t="s">
        <v>2146</v>
      </c>
      <c r="W146" s="44" t="s">
        <v>2448</v>
      </c>
      <c r="X146" s="22">
        <f t="shared" si="4"/>
        <v>88.855753699999923</v>
      </c>
      <c r="Y146" s="22">
        <v>3.5</v>
      </c>
      <c r="Z146" s="22">
        <v>2.7</v>
      </c>
      <c r="AA146" s="17" t="s">
        <v>201</v>
      </c>
      <c r="AB146" s="26">
        <v>7556</v>
      </c>
      <c r="AC146" s="26">
        <v>402</v>
      </c>
      <c r="AD146" s="26">
        <v>601</v>
      </c>
      <c r="AE146" s="27">
        <v>158557</v>
      </c>
      <c r="AF146" s="27">
        <v>8411</v>
      </c>
      <c r="AG146" s="27">
        <v>1156130</v>
      </c>
      <c r="AH146" s="27">
        <v>67759</v>
      </c>
      <c r="AI146" s="17">
        <v>2016</v>
      </c>
      <c r="AJ146" s="17">
        <v>1</v>
      </c>
      <c r="AK146" s="17">
        <v>0</v>
      </c>
      <c r="AL146" s="17" t="s">
        <v>202</v>
      </c>
    </row>
    <row r="147" spans="1:38" ht="15.75" customHeight="1">
      <c r="A147" s="42" t="s">
        <v>204</v>
      </c>
      <c r="B147" s="19" t="s">
        <v>195</v>
      </c>
      <c r="C147" s="17">
        <v>21</v>
      </c>
      <c r="D147" s="20" t="s">
        <v>196</v>
      </c>
      <c r="E147" s="19">
        <v>0</v>
      </c>
      <c r="F147" s="19" t="s">
        <v>197</v>
      </c>
      <c r="G147" s="19" t="s">
        <v>198</v>
      </c>
      <c r="H147" s="19" t="s">
        <v>42</v>
      </c>
      <c r="I147" s="17" t="b">
        <v>0</v>
      </c>
      <c r="J147" s="17" t="s">
        <v>64</v>
      </c>
      <c r="K147" s="21" t="str">
        <f t="shared" si="3"/>
        <v>https://version2.ice-d.org/antarctica/sample/G14/</v>
      </c>
      <c r="L147" s="42" t="s">
        <v>112</v>
      </c>
      <c r="M147" s="155"/>
      <c r="N147" s="17" t="s">
        <v>39</v>
      </c>
      <c r="O147" s="17" t="s">
        <v>200</v>
      </c>
      <c r="P147" s="22">
        <v>-72.043850000000006</v>
      </c>
      <c r="Q147" s="22">
        <v>2.5030000000000001</v>
      </c>
      <c r="R147" s="22"/>
      <c r="S147" s="22">
        <v>1468.8557536999999</v>
      </c>
      <c r="T147" s="22">
        <v>1380</v>
      </c>
      <c r="U147" s="23">
        <v>250</v>
      </c>
      <c r="V147" s="24" t="s">
        <v>2147</v>
      </c>
      <c r="W147" s="44" t="s">
        <v>2448</v>
      </c>
      <c r="X147" s="22">
        <f t="shared" si="4"/>
        <v>88.855753699999923</v>
      </c>
      <c r="Y147" s="22">
        <v>3.5</v>
      </c>
      <c r="Z147" s="22">
        <v>2.7</v>
      </c>
      <c r="AA147" s="17" t="s">
        <v>201</v>
      </c>
      <c r="AB147" s="26">
        <v>7839</v>
      </c>
      <c r="AC147" s="26">
        <v>461</v>
      </c>
      <c r="AD147" s="26">
        <v>819</v>
      </c>
      <c r="AE147" s="27">
        <v>158557</v>
      </c>
      <c r="AF147" s="27">
        <v>8411</v>
      </c>
      <c r="AG147" s="27">
        <v>1156130</v>
      </c>
      <c r="AH147" s="27">
        <v>67759</v>
      </c>
      <c r="AI147" s="17">
        <v>2016</v>
      </c>
      <c r="AJ147" s="17">
        <v>1</v>
      </c>
      <c r="AK147" s="17">
        <v>0</v>
      </c>
      <c r="AL147" s="17" t="s">
        <v>202</v>
      </c>
    </row>
    <row r="148" spans="1:38" ht="15.75" customHeight="1">
      <c r="A148" s="42" t="s">
        <v>205</v>
      </c>
      <c r="B148" s="19" t="s">
        <v>195</v>
      </c>
      <c r="C148" s="17">
        <v>21</v>
      </c>
      <c r="D148" s="20" t="s">
        <v>196</v>
      </c>
      <c r="E148" s="19">
        <v>0</v>
      </c>
      <c r="F148" s="19" t="s">
        <v>197</v>
      </c>
      <c r="G148" s="19" t="s">
        <v>198</v>
      </c>
      <c r="H148" s="19" t="s">
        <v>42</v>
      </c>
      <c r="I148" s="17" t="b">
        <v>0</v>
      </c>
      <c r="J148" s="17" t="s">
        <v>43</v>
      </c>
      <c r="K148" s="21" t="str">
        <f t="shared" si="3"/>
        <v>https://version2.ice-d.org/antarctica/sample/G15/</v>
      </c>
      <c r="L148" s="42" t="s">
        <v>112</v>
      </c>
      <c r="M148" s="155"/>
      <c r="N148" s="17" t="s">
        <v>39</v>
      </c>
      <c r="O148" s="17" t="s">
        <v>200</v>
      </c>
      <c r="P148" s="22">
        <v>-72.042883333299997</v>
      </c>
      <c r="Q148" s="22">
        <v>2.5019333332999998</v>
      </c>
      <c r="R148" s="22"/>
      <c r="S148" s="22">
        <v>1456.5608049</v>
      </c>
      <c r="T148" s="22">
        <v>1380</v>
      </c>
      <c r="U148" s="23">
        <v>250</v>
      </c>
      <c r="V148" s="24" t="s">
        <v>2148</v>
      </c>
      <c r="W148" s="44" t="s">
        <v>2448</v>
      </c>
      <c r="X148" s="22">
        <f t="shared" si="4"/>
        <v>76.560804899999994</v>
      </c>
      <c r="Y148" s="22">
        <v>4</v>
      </c>
      <c r="Z148" s="22">
        <v>2.7</v>
      </c>
      <c r="AA148" s="17" t="s">
        <v>201</v>
      </c>
      <c r="AB148" s="26">
        <v>6547</v>
      </c>
      <c r="AC148" s="26">
        <v>364</v>
      </c>
      <c r="AD148" s="26">
        <v>532</v>
      </c>
      <c r="AE148" s="27">
        <v>134459</v>
      </c>
      <c r="AF148" s="27">
        <v>7472</v>
      </c>
      <c r="AG148" s="27">
        <v>1102976</v>
      </c>
      <c r="AH148" s="27">
        <v>64267</v>
      </c>
      <c r="AI148" s="17">
        <v>2016</v>
      </c>
      <c r="AJ148" s="17">
        <v>1</v>
      </c>
      <c r="AK148" s="17">
        <v>0</v>
      </c>
      <c r="AL148" s="17" t="s">
        <v>202</v>
      </c>
    </row>
    <row r="149" spans="1:38" ht="15.75" customHeight="1">
      <c r="A149" s="42" t="s">
        <v>205</v>
      </c>
      <c r="B149" s="19" t="s">
        <v>195</v>
      </c>
      <c r="C149" s="17">
        <v>21</v>
      </c>
      <c r="D149" s="20" t="s">
        <v>196</v>
      </c>
      <c r="E149" s="19">
        <v>0</v>
      </c>
      <c r="F149" s="19" t="s">
        <v>197</v>
      </c>
      <c r="G149" s="19" t="s">
        <v>198</v>
      </c>
      <c r="H149" s="19" t="s">
        <v>42</v>
      </c>
      <c r="I149" s="17" t="b">
        <v>0</v>
      </c>
      <c r="J149" s="17" t="s">
        <v>64</v>
      </c>
      <c r="K149" s="21" t="str">
        <f t="shared" si="3"/>
        <v>https://version2.ice-d.org/antarctica/sample/G15/</v>
      </c>
      <c r="L149" s="42" t="s">
        <v>112</v>
      </c>
      <c r="M149" s="155"/>
      <c r="N149" s="17" t="s">
        <v>39</v>
      </c>
      <c r="O149" s="17" t="s">
        <v>200</v>
      </c>
      <c r="P149" s="22">
        <v>-72.042883333299997</v>
      </c>
      <c r="Q149" s="22">
        <v>2.5019333332999998</v>
      </c>
      <c r="R149" s="22"/>
      <c r="S149" s="22">
        <v>1456.5608049</v>
      </c>
      <c r="T149" s="22">
        <v>1380</v>
      </c>
      <c r="U149" s="23">
        <v>250</v>
      </c>
      <c r="V149" s="24" t="s">
        <v>2149</v>
      </c>
      <c r="W149" s="44" t="s">
        <v>2448</v>
      </c>
      <c r="X149" s="22">
        <f t="shared" si="4"/>
        <v>76.560804899999994</v>
      </c>
      <c r="Y149" s="22">
        <v>4</v>
      </c>
      <c r="Z149" s="22">
        <v>2.7</v>
      </c>
      <c r="AA149" s="17" t="s">
        <v>201</v>
      </c>
      <c r="AB149" s="26">
        <v>7597</v>
      </c>
      <c r="AC149" s="26">
        <v>444</v>
      </c>
      <c r="AD149" s="26">
        <v>792</v>
      </c>
      <c r="AE149" s="27">
        <v>134459</v>
      </c>
      <c r="AF149" s="27">
        <v>7472</v>
      </c>
      <c r="AG149" s="27">
        <v>1102976</v>
      </c>
      <c r="AH149" s="27">
        <v>64267</v>
      </c>
      <c r="AI149" s="17">
        <v>2016</v>
      </c>
      <c r="AJ149" s="17">
        <v>1</v>
      </c>
      <c r="AK149" s="17">
        <v>0</v>
      </c>
      <c r="AL149" s="17" t="s">
        <v>202</v>
      </c>
    </row>
    <row r="150" spans="1:38" ht="15.75" customHeight="1">
      <c r="A150" s="42" t="s">
        <v>206</v>
      </c>
      <c r="B150" s="19" t="s">
        <v>195</v>
      </c>
      <c r="C150" s="17">
        <v>21</v>
      </c>
      <c r="D150" s="20" t="s">
        <v>196</v>
      </c>
      <c r="E150" s="19">
        <v>0</v>
      </c>
      <c r="F150" s="19" t="s">
        <v>197</v>
      </c>
      <c r="G150" s="19" t="s">
        <v>198</v>
      </c>
      <c r="H150" s="19" t="s">
        <v>42</v>
      </c>
      <c r="I150" s="17" t="b">
        <v>0</v>
      </c>
      <c r="J150" s="17" t="s">
        <v>64</v>
      </c>
      <c r="K150" s="21" t="str">
        <f t="shared" si="3"/>
        <v>https://version2.ice-d.org/antarctica/sample/G16/</v>
      </c>
      <c r="L150" s="42" t="s">
        <v>112</v>
      </c>
      <c r="M150" s="155"/>
      <c r="N150" s="17" t="s">
        <v>39</v>
      </c>
      <c r="O150" s="17" t="s">
        <v>200</v>
      </c>
      <c r="P150" s="22">
        <v>-72.041833333300005</v>
      </c>
      <c r="Q150" s="22">
        <v>2.4981499999999999</v>
      </c>
      <c r="R150" s="22"/>
      <c r="S150" s="22">
        <v>1441.8105951</v>
      </c>
      <c r="T150" s="22">
        <v>1380</v>
      </c>
      <c r="U150" s="23">
        <v>250</v>
      </c>
      <c r="V150" s="24" t="s">
        <v>2150</v>
      </c>
      <c r="W150" s="44" t="s">
        <v>2448</v>
      </c>
      <c r="X150" s="22">
        <f t="shared" si="4"/>
        <v>61.8105951</v>
      </c>
      <c r="Y150" s="22">
        <v>3</v>
      </c>
      <c r="Z150" s="22">
        <v>2.7</v>
      </c>
      <c r="AA150" s="17" t="s">
        <v>201</v>
      </c>
      <c r="AB150" s="26">
        <v>6992</v>
      </c>
      <c r="AC150" s="26">
        <v>387</v>
      </c>
      <c r="AD150" s="26">
        <v>717</v>
      </c>
      <c r="AE150" s="27">
        <v>147232</v>
      </c>
      <c r="AF150" s="27">
        <v>8148</v>
      </c>
      <c r="AG150" s="27">
        <v>1005566</v>
      </c>
      <c r="AH150" s="27">
        <v>55460</v>
      </c>
      <c r="AI150" s="17">
        <v>2016</v>
      </c>
      <c r="AJ150" s="17">
        <v>1</v>
      </c>
      <c r="AK150" s="17">
        <v>0</v>
      </c>
      <c r="AL150" s="17" t="s">
        <v>202</v>
      </c>
    </row>
    <row r="151" spans="1:38" ht="15.75" customHeight="1">
      <c r="A151" s="42" t="s">
        <v>206</v>
      </c>
      <c r="B151" s="19" t="s">
        <v>195</v>
      </c>
      <c r="C151" s="17">
        <v>21</v>
      </c>
      <c r="D151" s="20" t="s">
        <v>196</v>
      </c>
      <c r="E151" s="19">
        <v>0</v>
      </c>
      <c r="F151" s="19" t="s">
        <v>197</v>
      </c>
      <c r="G151" s="19" t="s">
        <v>198</v>
      </c>
      <c r="H151" s="19" t="s">
        <v>42</v>
      </c>
      <c r="I151" s="17" t="b">
        <v>0</v>
      </c>
      <c r="J151" s="17" t="s">
        <v>43</v>
      </c>
      <c r="K151" s="21" t="str">
        <f t="shared" si="3"/>
        <v>https://version2.ice-d.org/antarctica/sample/G16/</v>
      </c>
      <c r="L151" s="42" t="s">
        <v>112</v>
      </c>
      <c r="M151" s="155"/>
      <c r="N151" s="17" t="s">
        <v>39</v>
      </c>
      <c r="O151" s="17" t="s">
        <v>200</v>
      </c>
      <c r="P151" s="22">
        <v>-72.041833333300005</v>
      </c>
      <c r="Q151" s="22">
        <v>2.4981499999999999</v>
      </c>
      <c r="R151" s="22"/>
      <c r="S151" s="22">
        <v>1441.8105951</v>
      </c>
      <c r="T151" s="22">
        <v>1380</v>
      </c>
      <c r="U151" s="23">
        <v>250</v>
      </c>
      <c r="V151" s="24" t="s">
        <v>2151</v>
      </c>
      <c r="W151" s="44" t="s">
        <v>2448</v>
      </c>
      <c r="X151" s="22">
        <f t="shared" si="4"/>
        <v>61.8105951</v>
      </c>
      <c r="Y151" s="22">
        <v>3</v>
      </c>
      <c r="Z151" s="22">
        <v>2.7</v>
      </c>
      <c r="AA151" s="17" t="s">
        <v>201</v>
      </c>
      <c r="AB151" s="26">
        <v>7179</v>
      </c>
      <c r="AC151" s="26">
        <v>398</v>
      </c>
      <c r="AD151" s="26">
        <v>582</v>
      </c>
      <c r="AE151" s="27">
        <v>147232</v>
      </c>
      <c r="AF151" s="27">
        <v>8148</v>
      </c>
      <c r="AG151" s="27">
        <v>1005566</v>
      </c>
      <c r="AH151" s="27">
        <v>55460</v>
      </c>
      <c r="AI151" s="17">
        <v>2016</v>
      </c>
      <c r="AJ151" s="17">
        <v>1</v>
      </c>
      <c r="AK151" s="17">
        <v>0</v>
      </c>
      <c r="AL151" s="17" t="s">
        <v>202</v>
      </c>
    </row>
    <row r="152" spans="1:38" ht="15.75" customHeight="1">
      <c r="A152" s="42" t="s">
        <v>207</v>
      </c>
      <c r="B152" s="19" t="s">
        <v>195</v>
      </c>
      <c r="C152" s="17">
        <v>21</v>
      </c>
      <c r="D152" s="20" t="s">
        <v>196</v>
      </c>
      <c r="E152" s="19">
        <v>0</v>
      </c>
      <c r="F152" s="19" t="s">
        <v>197</v>
      </c>
      <c r="G152" s="19" t="s">
        <v>198</v>
      </c>
      <c r="H152" s="19" t="s">
        <v>42</v>
      </c>
      <c r="I152" s="17" t="b">
        <v>0</v>
      </c>
      <c r="J152" s="17" t="s">
        <v>43</v>
      </c>
      <c r="K152" s="21" t="str">
        <f t="shared" si="3"/>
        <v>https://version2.ice-d.org/antarctica/sample/G17/</v>
      </c>
      <c r="L152" s="42" t="s">
        <v>112</v>
      </c>
      <c r="M152" s="155"/>
      <c r="N152" s="17" t="s">
        <v>39</v>
      </c>
      <c r="O152" s="17" t="s">
        <v>200</v>
      </c>
      <c r="P152" s="22">
        <v>-72.041399999999996</v>
      </c>
      <c r="Q152" s="22">
        <v>2.4968666666999999</v>
      </c>
      <c r="R152" s="22"/>
      <c r="S152" s="22">
        <v>1427.0440756</v>
      </c>
      <c r="T152" s="22">
        <v>1380</v>
      </c>
      <c r="U152" s="23">
        <v>250</v>
      </c>
      <c r="V152" s="24" t="s">
        <v>2152</v>
      </c>
      <c r="W152" s="44" t="s">
        <v>2448</v>
      </c>
      <c r="X152" s="22">
        <f t="shared" si="4"/>
        <v>47.044075600000042</v>
      </c>
      <c r="Y152" s="22">
        <v>4</v>
      </c>
      <c r="Z152" s="22">
        <v>2.7</v>
      </c>
      <c r="AA152" s="17" t="s">
        <v>201</v>
      </c>
      <c r="AB152" s="26">
        <v>7305</v>
      </c>
      <c r="AC152" s="26">
        <v>517</v>
      </c>
      <c r="AD152" s="26">
        <v>674</v>
      </c>
      <c r="AE152" s="27">
        <v>147039</v>
      </c>
      <c r="AF152" s="27">
        <v>10394</v>
      </c>
      <c r="AG152" s="27">
        <v>1103450</v>
      </c>
      <c r="AH152" s="27">
        <v>61842</v>
      </c>
      <c r="AI152" s="17">
        <v>2016</v>
      </c>
      <c r="AJ152" s="17">
        <v>1</v>
      </c>
      <c r="AK152" s="17">
        <v>0</v>
      </c>
      <c r="AL152" s="17" t="s">
        <v>202</v>
      </c>
    </row>
    <row r="153" spans="1:38" ht="15.75" customHeight="1">
      <c r="A153" s="42" t="s">
        <v>207</v>
      </c>
      <c r="B153" s="19" t="s">
        <v>195</v>
      </c>
      <c r="C153" s="17">
        <v>21</v>
      </c>
      <c r="D153" s="20" t="s">
        <v>196</v>
      </c>
      <c r="E153" s="19">
        <v>0</v>
      </c>
      <c r="F153" s="19" t="s">
        <v>197</v>
      </c>
      <c r="G153" s="19" t="s">
        <v>198</v>
      </c>
      <c r="H153" s="19" t="s">
        <v>42</v>
      </c>
      <c r="I153" s="17" t="b">
        <v>0</v>
      </c>
      <c r="J153" s="17" t="s">
        <v>64</v>
      </c>
      <c r="K153" s="21" t="str">
        <f t="shared" si="3"/>
        <v>https://version2.ice-d.org/antarctica/sample/G17/</v>
      </c>
      <c r="L153" s="42" t="s">
        <v>112</v>
      </c>
      <c r="M153" s="155"/>
      <c r="N153" s="17" t="s">
        <v>39</v>
      </c>
      <c r="O153" s="17" t="s">
        <v>200</v>
      </c>
      <c r="P153" s="22">
        <v>-72.041399999999996</v>
      </c>
      <c r="Q153" s="22">
        <v>2.4968666666999999</v>
      </c>
      <c r="R153" s="22"/>
      <c r="S153" s="22">
        <v>1427.0440756</v>
      </c>
      <c r="T153" s="22">
        <v>1380</v>
      </c>
      <c r="U153" s="23">
        <v>250</v>
      </c>
      <c r="V153" s="24" t="s">
        <v>2153</v>
      </c>
      <c r="W153" s="44" t="s">
        <v>2448</v>
      </c>
      <c r="X153" s="22">
        <f t="shared" si="4"/>
        <v>47.044075600000042</v>
      </c>
      <c r="Y153" s="22">
        <v>4</v>
      </c>
      <c r="Z153" s="22">
        <v>2.7</v>
      </c>
      <c r="AA153" s="17" t="s">
        <v>201</v>
      </c>
      <c r="AB153" s="26">
        <v>7776</v>
      </c>
      <c r="AC153" s="26">
        <v>437</v>
      </c>
      <c r="AD153" s="26">
        <v>801</v>
      </c>
      <c r="AE153" s="27">
        <v>147039</v>
      </c>
      <c r="AF153" s="27">
        <v>10394</v>
      </c>
      <c r="AG153" s="27">
        <v>1103450</v>
      </c>
      <c r="AH153" s="27">
        <v>61842</v>
      </c>
      <c r="AI153" s="17">
        <v>2016</v>
      </c>
      <c r="AJ153" s="17">
        <v>1</v>
      </c>
      <c r="AK153" s="17">
        <v>0</v>
      </c>
      <c r="AL153" s="17" t="s">
        <v>202</v>
      </c>
    </row>
    <row r="154" spans="1:38" ht="12.75" customHeight="1">
      <c r="A154" s="42" t="s">
        <v>208</v>
      </c>
      <c r="B154" s="19" t="s">
        <v>195</v>
      </c>
      <c r="C154" s="17">
        <v>21</v>
      </c>
      <c r="D154" s="20" t="s">
        <v>196</v>
      </c>
      <c r="E154" s="19">
        <v>0</v>
      </c>
      <c r="F154" s="19" t="s">
        <v>197</v>
      </c>
      <c r="G154" s="19" t="s">
        <v>198</v>
      </c>
      <c r="H154" s="19" t="s">
        <v>42</v>
      </c>
      <c r="I154" s="17" t="b">
        <v>0</v>
      </c>
      <c r="J154" s="17" t="s">
        <v>43</v>
      </c>
      <c r="K154" s="21" t="str">
        <f t="shared" si="3"/>
        <v>https://version2.ice-d.org/antarctica/sample/G18/</v>
      </c>
      <c r="L154" s="42" t="s">
        <v>112</v>
      </c>
      <c r="M154" s="155"/>
      <c r="N154" s="17" t="s">
        <v>39</v>
      </c>
      <c r="O154" s="17" t="s">
        <v>200</v>
      </c>
      <c r="P154" s="22">
        <v>-72.040899999999993</v>
      </c>
      <c r="Q154" s="22">
        <v>2.4949666666999999</v>
      </c>
      <c r="R154" s="22"/>
      <c r="S154" s="22">
        <v>1401.4888391</v>
      </c>
      <c r="T154" s="22">
        <v>1380</v>
      </c>
      <c r="U154" s="23">
        <v>250</v>
      </c>
      <c r="V154" s="24" t="s">
        <v>2154</v>
      </c>
      <c r="W154" s="44" t="s">
        <v>2448</v>
      </c>
      <c r="X154" s="22">
        <f t="shared" si="4"/>
        <v>21.48883909999995</v>
      </c>
      <c r="Y154" s="22">
        <v>4</v>
      </c>
      <c r="Z154" s="22">
        <v>2.7</v>
      </c>
      <c r="AA154" s="17" t="s">
        <v>201</v>
      </c>
      <c r="AB154" s="26">
        <v>6752</v>
      </c>
      <c r="AC154" s="26">
        <v>289</v>
      </c>
      <c r="AD154" s="26">
        <v>493</v>
      </c>
      <c r="AE154" s="27">
        <v>132032</v>
      </c>
      <c r="AF154" s="27">
        <v>5648</v>
      </c>
      <c r="AG154" s="27">
        <v>1086469</v>
      </c>
      <c r="AH154" s="27">
        <v>78989</v>
      </c>
      <c r="AI154" s="17">
        <v>2016</v>
      </c>
      <c r="AJ154" s="17">
        <v>1</v>
      </c>
      <c r="AK154" s="17">
        <v>0</v>
      </c>
      <c r="AL154" s="17" t="s">
        <v>202</v>
      </c>
    </row>
    <row r="155" spans="1:38" ht="15.75" customHeight="1">
      <c r="A155" s="42" t="s">
        <v>208</v>
      </c>
      <c r="B155" s="19" t="s">
        <v>195</v>
      </c>
      <c r="C155" s="17">
        <v>21</v>
      </c>
      <c r="D155" s="20" t="s">
        <v>196</v>
      </c>
      <c r="E155" s="19">
        <v>0</v>
      </c>
      <c r="F155" s="19" t="s">
        <v>197</v>
      </c>
      <c r="G155" s="19" t="s">
        <v>198</v>
      </c>
      <c r="H155" s="19" t="s">
        <v>42</v>
      </c>
      <c r="I155" s="17" t="b">
        <v>0</v>
      </c>
      <c r="J155" s="17" t="s">
        <v>64</v>
      </c>
      <c r="K155" s="21" t="str">
        <f t="shared" si="3"/>
        <v>https://version2.ice-d.org/antarctica/sample/G18/</v>
      </c>
      <c r="L155" s="42" t="s">
        <v>112</v>
      </c>
      <c r="M155" s="155"/>
      <c r="N155" s="17" t="s">
        <v>39</v>
      </c>
      <c r="O155" s="17" t="s">
        <v>200</v>
      </c>
      <c r="P155" s="22">
        <v>-72.040899999999993</v>
      </c>
      <c r="Q155" s="22">
        <v>2.4949666666999999</v>
      </c>
      <c r="R155" s="22"/>
      <c r="S155" s="22">
        <v>1401.4888391</v>
      </c>
      <c r="T155" s="22">
        <v>1380</v>
      </c>
      <c r="U155" s="23">
        <v>250</v>
      </c>
      <c r="V155" s="24" t="s">
        <v>2155</v>
      </c>
      <c r="W155" s="44" t="s">
        <v>2448</v>
      </c>
      <c r="X155" s="22">
        <f t="shared" si="4"/>
        <v>21.48883909999995</v>
      </c>
      <c r="Y155" s="22">
        <v>4</v>
      </c>
      <c r="Z155" s="22">
        <v>2.7</v>
      </c>
      <c r="AA155" s="17" t="s">
        <v>201</v>
      </c>
      <c r="AB155" s="26">
        <v>7850</v>
      </c>
      <c r="AC155" s="26">
        <v>573</v>
      </c>
      <c r="AD155" s="26">
        <v>887</v>
      </c>
      <c r="AE155" s="27">
        <v>132032</v>
      </c>
      <c r="AF155" s="27">
        <v>5648</v>
      </c>
      <c r="AG155" s="27">
        <v>1086469</v>
      </c>
      <c r="AH155" s="27">
        <v>78989</v>
      </c>
      <c r="AI155" s="17">
        <v>2016</v>
      </c>
      <c r="AJ155" s="17">
        <v>1</v>
      </c>
      <c r="AK155" s="17">
        <v>0</v>
      </c>
      <c r="AL155" s="17" t="s">
        <v>202</v>
      </c>
    </row>
    <row r="156" spans="1:38" ht="15.75" customHeight="1">
      <c r="A156" s="42" t="s">
        <v>209</v>
      </c>
      <c r="B156" s="19" t="s">
        <v>195</v>
      </c>
      <c r="C156" s="17">
        <v>21</v>
      </c>
      <c r="D156" s="20" t="s">
        <v>196</v>
      </c>
      <c r="E156" s="19">
        <v>0</v>
      </c>
      <c r="F156" s="19" t="s">
        <v>197</v>
      </c>
      <c r="G156" s="19" t="s">
        <v>198</v>
      </c>
      <c r="H156" s="19" t="s">
        <v>42</v>
      </c>
      <c r="I156" s="17" t="b">
        <v>0</v>
      </c>
      <c r="J156" s="17" t="s">
        <v>43</v>
      </c>
      <c r="K156" s="21" t="str">
        <f t="shared" si="3"/>
        <v>https://version2.ice-d.org/antarctica/sample/G19/</v>
      </c>
      <c r="L156" s="42" t="s">
        <v>112</v>
      </c>
      <c r="M156" s="155"/>
      <c r="N156" s="17" t="s">
        <v>39</v>
      </c>
      <c r="O156" s="17" t="s">
        <v>200</v>
      </c>
      <c r="P156" s="22">
        <v>-72.040666666700005</v>
      </c>
      <c r="Q156" s="22">
        <v>2.4936500000000001</v>
      </c>
      <c r="R156" s="22"/>
      <c r="S156" s="22">
        <v>1390.5615854</v>
      </c>
      <c r="T156" s="22">
        <v>1380</v>
      </c>
      <c r="U156" s="23">
        <v>250</v>
      </c>
      <c r="V156" s="24" t="s">
        <v>2156</v>
      </c>
      <c r="W156" s="44" t="s">
        <v>2448</v>
      </c>
      <c r="X156" s="22">
        <f t="shared" si="4"/>
        <v>10.561585400000013</v>
      </c>
      <c r="Y156" s="22">
        <v>5</v>
      </c>
      <c r="Z156" s="22">
        <v>2.7</v>
      </c>
      <c r="AA156" s="17" t="s">
        <v>201</v>
      </c>
      <c r="AB156" s="26">
        <v>6467</v>
      </c>
      <c r="AC156" s="26">
        <v>227</v>
      </c>
      <c r="AD156" s="26">
        <v>444</v>
      </c>
      <c r="AE156" s="27">
        <v>124273</v>
      </c>
      <c r="AF156" s="27">
        <v>4350</v>
      </c>
      <c r="AG156" s="27">
        <v>945173</v>
      </c>
      <c r="AH156" s="27">
        <v>60441</v>
      </c>
      <c r="AI156" s="17">
        <v>2016</v>
      </c>
      <c r="AJ156" s="17">
        <v>1</v>
      </c>
      <c r="AK156" s="17">
        <v>0</v>
      </c>
      <c r="AL156" s="17" t="s">
        <v>202</v>
      </c>
    </row>
    <row r="157" spans="1:38" ht="15.75" customHeight="1">
      <c r="A157" s="42" t="s">
        <v>209</v>
      </c>
      <c r="B157" s="19" t="s">
        <v>195</v>
      </c>
      <c r="C157" s="17">
        <v>21</v>
      </c>
      <c r="D157" s="20" t="s">
        <v>196</v>
      </c>
      <c r="E157" s="19">
        <v>0</v>
      </c>
      <c r="F157" s="19" t="s">
        <v>197</v>
      </c>
      <c r="G157" s="19" t="s">
        <v>198</v>
      </c>
      <c r="H157" s="19" t="s">
        <v>42</v>
      </c>
      <c r="I157" s="17" t="b">
        <v>0</v>
      </c>
      <c r="J157" s="17" t="s">
        <v>64</v>
      </c>
      <c r="K157" s="21" t="str">
        <f t="shared" si="3"/>
        <v>https://version2.ice-d.org/antarctica/sample/G19/</v>
      </c>
      <c r="L157" s="42" t="s">
        <v>112</v>
      </c>
      <c r="M157" s="155"/>
      <c r="N157" s="17" t="s">
        <v>39</v>
      </c>
      <c r="O157" s="17" t="s">
        <v>200</v>
      </c>
      <c r="P157" s="22">
        <v>-72.040666666700005</v>
      </c>
      <c r="Q157" s="22">
        <v>2.4936500000000001</v>
      </c>
      <c r="R157" s="22"/>
      <c r="S157" s="22">
        <v>1390.5615854</v>
      </c>
      <c r="T157" s="22">
        <v>1380</v>
      </c>
      <c r="U157" s="23">
        <v>250</v>
      </c>
      <c r="V157" s="24" t="s">
        <v>2157</v>
      </c>
      <c r="W157" s="44" t="s">
        <v>2448</v>
      </c>
      <c r="X157" s="22">
        <f t="shared" si="4"/>
        <v>10.561585400000013</v>
      </c>
      <c r="Y157" s="22">
        <v>5</v>
      </c>
      <c r="Z157" s="22">
        <v>2.7</v>
      </c>
      <c r="AA157" s="17" t="s">
        <v>201</v>
      </c>
      <c r="AB157" s="26">
        <v>6993</v>
      </c>
      <c r="AC157" s="26">
        <v>449</v>
      </c>
      <c r="AD157" s="26">
        <v>752</v>
      </c>
      <c r="AE157" s="27">
        <v>124273</v>
      </c>
      <c r="AF157" s="27">
        <v>4350</v>
      </c>
      <c r="AG157" s="27">
        <v>945173</v>
      </c>
      <c r="AH157" s="27">
        <v>60441</v>
      </c>
      <c r="AI157" s="17">
        <v>2016</v>
      </c>
      <c r="AJ157" s="17">
        <v>1</v>
      </c>
      <c r="AK157" s="17">
        <v>0</v>
      </c>
      <c r="AL157" s="17" t="s">
        <v>202</v>
      </c>
    </row>
    <row r="158" spans="1:38" ht="15.75" customHeight="1">
      <c r="A158" s="42" t="s">
        <v>210</v>
      </c>
      <c r="B158" s="19" t="s">
        <v>195</v>
      </c>
      <c r="C158" s="17">
        <v>21</v>
      </c>
      <c r="D158" s="20" t="s">
        <v>196</v>
      </c>
      <c r="E158" s="19">
        <v>0</v>
      </c>
      <c r="F158" s="19" t="s">
        <v>197</v>
      </c>
      <c r="G158" s="19" t="s">
        <v>198</v>
      </c>
      <c r="H158" s="19" t="s">
        <v>42</v>
      </c>
      <c r="I158" s="17" t="b">
        <v>0</v>
      </c>
      <c r="J158" s="17" t="s">
        <v>64</v>
      </c>
      <c r="K158" s="21" t="str">
        <f t="shared" si="3"/>
        <v>https://version2.ice-d.org/antarctica/sample/G20/</v>
      </c>
      <c r="L158" s="42" t="s">
        <v>112</v>
      </c>
      <c r="M158" s="155"/>
      <c r="N158" s="17" t="s">
        <v>39</v>
      </c>
      <c r="O158" s="17" t="s">
        <v>200</v>
      </c>
      <c r="P158" s="22">
        <v>-72.041550000000001</v>
      </c>
      <c r="Q158" s="22">
        <v>2.4958333332999998</v>
      </c>
      <c r="R158" s="22"/>
      <c r="S158" s="22">
        <v>1421.6952000000001</v>
      </c>
      <c r="T158" s="22">
        <v>1380</v>
      </c>
      <c r="U158" s="23">
        <v>250</v>
      </c>
      <c r="V158" s="24" t="s">
        <v>2158</v>
      </c>
      <c r="W158" s="44" t="s">
        <v>2448</v>
      </c>
      <c r="X158" s="22">
        <f t="shared" si="4"/>
        <v>41.695200000000114</v>
      </c>
      <c r="Y158" s="22">
        <v>5</v>
      </c>
      <c r="Z158" s="22">
        <v>2.7</v>
      </c>
      <c r="AA158" s="17" t="s">
        <v>201</v>
      </c>
      <c r="AB158" s="26">
        <v>6421</v>
      </c>
      <c r="AC158" s="26">
        <v>415</v>
      </c>
      <c r="AD158" s="26">
        <v>692</v>
      </c>
      <c r="AE158" s="27">
        <v>131583</v>
      </c>
      <c r="AF158" s="27">
        <v>3169</v>
      </c>
      <c r="AG158" s="27">
        <v>892285</v>
      </c>
      <c r="AH158" s="27">
        <v>57528</v>
      </c>
      <c r="AI158" s="17">
        <v>2016</v>
      </c>
      <c r="AJ158" s="17">
        <v>1</v>
      </c>
      <c r="AK158" s="17">
        <v>0</v>
      </c>
      <c r="AL158" s="17" t="s">
        <v>202</v>
      </c>
    </row>
    <row r="159" spans="1:38" ht="15.75" customHeight="1">
      <c r="A159" s="42" t="s">
        <v>210</v>
      </c>
      <c r="B159" s="19" t="s">
        <v>195</v>
      </c>
      <c r="C159" s="17">
        <v>21</v>
      </c>
      <c r="D159" s="20" t="s">
        <v>196</v>
      </c>
      <c r="E159" s="19">
        <v>0</v>
      </c>
      <c r="F159" s="19" t="s">
        <v>197</v>
      </c>
      <c r="G159" s="19" t="s">
        <v>198</v>
      </c>
      <c r="H159" s="19" t="s">
        <v>42</v>
      </c>
      <c r="I159" s="17" t="b">
        <v>0</v>
      </c>
      <c r="J159" s="17" t="s">
        <v>43</v>
      </c>
      <c r="K159" s="21" t="str">
        <f t="shared" si="3"/>
        <v>https://version2.ice-d.org/antarctica/sample/G20/</v>
      </c>
      <c r="L159" s="42" t="s">
        <v>112</v>
      </c>
      <c r="M159" s="155"/>
      <c r="N159" s="17" t="s">
        <v>39</v>
      </c>
      <c r="O159" s="17" t="s">
        <v>200</v>
      </c>
      <c r="P159" s="22">
        <v>-72.041550000000001</v>
      </c>
      <c r="Q159" s="22">
        <v>2.4958333332999998</v>
      </c>
      <c r="R159" s="22"/>
      <c r="S159" s="22">
        <v>1421.6952000000001</v>
      </c>
      <c r="T159" s="22">
        <v>1380</v>
      </c>
      <c r="U159" s="23">
        <v>250</v>
      </c>
      <c r="V159" s="24" t="s">
        <v>2159</v>
      </c>
      <c r="W159" s="44" t="s">
        <v>2448</v>
      </c>
      <c r="X159" s="22">
        <f t="shared" si="4"/>
        <v>41.695200000000114</v>
      </c>
      <c r="Y159" s="22">
        <v>5</v>
      </c>
      <c r="Z159" s="22">
        <v>2.7</v>
      </c>
      <c r="AA159" s="17" t="s">
        <v>201</v>
      </c>
      <c r="AB159" s="26">
        <v>6650</v>
      </c>
      <c r="AC159" s="26">
        <v>160</v>
      </c>
      <c r="AD159" s="26">
        <v>424</v>
      </c>
      <c r="AE159" s="27">
        <v>131583</v>
      </c>
      <c r="AF159" s="27">
        <v>3169</v>
      </c>
      <c r="AG159" s="27">
        <v>892285</v>
      </c>
      <c r="AH159" s="27">
        <v>57528</v>
      </c>
      <c r="AI159" s="17">
        <v>2016</v>
      </c>
      <c r="AJ159" s="17">
        <v>1</v>
      </c>
      <c r="AK159" s="17">
        <v>0</v>
      </c>
      <c r="AL159" s="17" t="s">
        <v>202</v>
      </c>
    </row>
    <row r="160" spans="1:38" ht="15.75" customHeight="1">
      <c r="A160" s="42" t="s">
        <v>211</v>
      </c>
      <c r="B160" s="19" t="s">
        <v>195</v>
      </c>
      <c r="C160" s="17">
        <v>21</v>
      </c>
      <c r="D160" s="20" t="s">
        <v>196</v>
      </c>
      <c r="E160" s="19">
        <v>0</v>
      </c>
      <c r="F160" s="19" t="s">
        <v>197</v>
      </c>
      <c r="G160" s="19" t="s">
        <v>198</v>
      </c>
      <c r="H160" s="19" t="s">
        <v>42</v>
      </c>
      <c r="I160" s="17" t="b">
        <v>0</v>
      </c>
      <c r="J160" s="17" t="s">
        <v>43</v>
      </c>
      <c r="K160" s="21" t="str">
        <f t="shared" si="3"/>
        <v>https://version2.ice-d.org/antarctica/sample/G22/</v>
      </c>
      <c r="L160" s="42" t="s">
        <v>112</v>
      </c>
      <c r="M160" s="155"/>
      <c r="N160" s="17" t="s">
        <v>39</v>
      </c>
      <c r="O160" s="17" t="s">
        <v>200</v>
      </c>
      <c r="P160" s="22">
        <v>-72.041583333299997</v>
      </c>
      <c r="Q160" s="22">
        <v>2.4973999999999998</v>
      </c>
      <c r="R160" s="22"/>
      <c r="S160" s="22">
        <v>1432.5625951</v>
      </c>
      <c r="T160" s="22">
        <v>1380</v>
      </c>
      <c r="U160" s="23">
        <v>250</v>
      </c>
      <c r="V160" s="24" t="s">
        <v>2160</v>
      </c>
      <c r="W160" s="44" t="s">
        <v>2448</v>
      </c>
      <c r="X160" s="22">
        <f t="shared" si="4"/>
        <v>52.562595099999953</v>
      </c>
      <c r="Y160" s="22">
        <v>4</v>
      </c>
      <c r="Z160" s="22">
        <v>2.7</v>
      </c>
      <c r="AA160" s="17" t="s">
        <v>201</v>
      </c>
      <c r="AB160" s="26">
        <v>7004</v>
      </c>
      <c r="AC160" s="26">
        <v>186</v>
      </c>
      <c r="AD160" s="26">
        <v>454</v>
      </c>
      <c r="AE160" s="27">
        <v>141036</v>
      </c>
      <c r="AF160" s="27">
        <v>3742</v>
      </c>
      <c r="AG160" s="27">
        <v>1051919</v>
      </c>
      <c r="AH160" s="27">
        <v>50752</v>
      </c>
      <c r="AI160" s="17">
        <v>2016</v>
      </c>
      <c r="AJ160" s="17">
        <v>1</v>
      </c>
      <c r="AK160" s="17">
        <v>0</v>
      </c>
      <c r="AL160" s="17" t="s">
        <v>202</v>
      </c>
    </row>
    <row r="161" spans="1:38" ht="15.75" customHeight="1">
      <c r="A161" s="42" t="s">
        <v>211</v>
      </c>
      <c r="B161" s="19" t="s">
        <v>195</v>
      </c>
      <c r="C161" s="17">
        <v>21</v>
      </c>
      <c r="D161" s="20" t="s">
        <v>196</v>
      </c>
      <c r="E161" s="19">
        <v>0</v>
      </c>
      <c r="F161" s="19" t="s">
        <v>197</v>
      </c>
      <c r="G161" s="19" t="s">
        <v>198</v>
      </c>
      <c r="H161" s="19" t="s">
        <v>42</v>
      </c>
      <c r="I161" s="17" t="b">
        <v>0</v>
      </c>
      <c r="J161" s="17" t="s">
        <v>64</v>
      </c>
      <c r="K161" s="21" t="str">
        <f t="shared" si="3"/>
        <v>https://version2.ice-d.org/antarctica/sample/G22/</v>
      </c>
      <c r="L161" s="42" t="s">
        <v>112</v>
      </c>
      <c r="M161" s="155"/>
      <c r="N161" s="17" t="s">
        <v>39</v>
      </c>
      <c r="O161" s="17" t="s">
        <v>200</v>
      </c>
      <c r="P161" s="22">
        <v>-72.041583333299997</v>
      </c>
      <c r="Q161" s="22">
        <v>2.4973999999999998</v>
      </c>
      <c r="R161" s="22"/>
      <c r="S161" s="22">
        <v>1432.5625951</v>
      </c>
      <c r="T161" s="22">
        <v>1380</v>
      </c>
      <c r="U161" s="23">
        <v>250</v>
      </c>
      <c r="V161" s="24" t="s">
        <v>2161</v>
      </c>
      <c r="W161" s="44" t="s">
        <v>2448</v>
      </c>
      <c r="X161" s="22">
        <f t="shared" si="4"/>
        <v>52.562595099999953</v>
      </c>
      <c r="Y161" s="22">
        <v>4</v>
      </c>
      <c r="Z161" s="22">
        <v>2.7</v>
      </c>
      <c r="AA161" s="17" t="s">
        <v>201</v>
      </c>
      <c r="AB161" s="26">
        <v>7410</v>
      </c>
      <c r="AC161" s="26">
        <v>359</v>
      </c>
      <c r="AD161" s="26">
        <v>733</v>
      </c>
      <c r="AE161" s="27">
        <v>141036</v>
      </c>
      <c r="AF161" s="27">
        <v>3742</v>
      </c>
      <c r="AG161" s="27">
        <v>1051919</v>
      </c>
      <c r="AH161" s="27">
        <v>50752</v>
      </c>
      <c r="AI161" s="17">
        <v>2016</v>
      </c>
      <c r="AJ161" s="17">
        <v>1</v>
      </c>
      <c r="AK161" s="17">
        <v>0</v>
      </c>
      <c r="AL161" s="17" t="s">
        <v>202</v>
      </c>
    </row>
    <row r="162" spans="1:38" ht="15.75" customHeight="1">
      <c r="A162" s="42" t="s">
        <v>212</v>
      </c>
      <c r="B162" s="19" t="s">
        <v>195</v>
      </c>
      <c r="C162" s="17">
        <v>21</v>
      </c>
      <c r="D162" s="20" t="s">
        <v>196</v>
      </c>
      <c r="E162" s="19">
        <v>0</v>
      </c>
      <c r="F162" s="19" t="s">
        <v>197</v>
      </c>
      <c r="G162" s="19" t="s">
        <v>198</v>
      </c>
      <c r="H162" s="19" t="s">
        <v>42</v>
      </c>
      <c r="I162" s="17" t="b">
        <v>0</v>
      </c>
      <c r="J162" s="17" t="s">
        <v>43</v>
      </c>
      <c r="K162" s="21" t="str">
        <f t="shared" si="3"/>
        <v>https://version2.ice-d.org/antarctica/sample/G23/</v>
      </c>
      <c r="L162" s="42" t="s">
        <v>112</v>
      </c>
      <c r="M162" s="155"/>
      <c r="N162" s="17" t="s">
        <v>39</v>
      </c>
      <c r="O162" s="17" t="s">
        <v>200</v>
      </c>
      <c r="P162" s="22">
        <v>-72.041449999999998</v>
      </c>
      <c r="Q162" s="22">
        <v>2.4942833332999998</v>
      </c>
      <c r="R162" s="22"/>
      <c r="S162" s="22">
        <v>1401.8178951</v>
      </c>
      <c r="T162" s="22">
        <v>1380</v>
      </c>
      <c r="U162" s="23">
        <v>250</v>
      </c>
      <c r="V162" s="24" t="s">
        <v>2162</v>
      </c>
      <c r="W162" s="44" t="s">
        <v>2448</v>
      </c>
      <c r="X162" s="22">
        <f t="shared" si="4"/>
        <v>21.817895099999987</v>
      </c>
      <c r="Y162" s="22">
        <v>4</v>
      </c>
      <c r="Z162" s="22">
        <v>2.7</v>
      </c>
      <c r="AA162" s="17" t="s">
        <v>201</v>
      </c>
      <c r="AB162" s="26">
        <v>5707</v>
      </c>
      <c r="AC162" s="26">
        <v>142</v>
      </c>
      <c r="AD162" s="26">
        <v>366</v>
      </c>
      <c r="AE162" s="27">
        <v>111296</v>
      </c>
      <c r="AF162" s="27">
        <v>2761</v>
      </c>
      <c r="AG162" s="27">
        <v>837266</v>
      </c>
      <c r="AH162" s="27">
        <v>42735</v>
      </c>
      <c r="AI162" s="17">
        <v>2016</v>
      </c>
      <c r="AJ162" s="17">
        <v>1</v>
      </c>
      <c r="AK162" s="17">
        <v>0</v>
      </c>
      <c r="AL162" s="17" t="s">
        <v>202</v>
      </c>
    </row>
    <row r="163" spans="1:38" ht="15.75" customHeight="1">
      <c r="A163" s="42" t="s">
        <v>212</v>
      </c>
      <c r="B163" s="19" t="s">
        <v>195</v>
      </c>
      <c r="C163" s="17">
        <v>21</v>
      </c>
      <c r="D163" s="20" t="s">
        <v>196</v>
      </c>
      <c r="E163" s="19">
        <v>0</v>
      </c>
      <c r="F163" s="19" t="s">
        <v>197</v>
      </c>
      <c r="G163" s="19" t="s">
        <v>198</v>
      </c>
      <c r="H163" s="19" t="s">
        <v>42</v>
      </c>
      <c r="I163" s="17" t="b">
        <v>0</v>
      </c>
      <c r="J163" s="17" t="s">
        <v>64</v>
      </c>
      <c r="K163" s="21" t="str">
        <f t="shared" si="3"/>
        <v>https://version2.ice-d.org/antarctica/sample/G23/</v>
      </c>
      <c r="L163" s="42" t="s">
        <v>112</v>
      </c>
      <c r="M163" s="155"/>
      <c r="N163" s="17" t="s">
        <v>39</v>
      </c>
      <c r="O163" s="17" t="s">
        <v>200</v>
      </c>
      <c r="P163" s="22">
        <v>-72.041449999999998</v>
      </c>
      <c r="Q163" s="22">
        <v>2.4942833332999998</v>
      </c>
      <c r="R163" s="22"/>
      <c r="S163" s="22">
        <v>1401.8178951</v>
      </c>
      <c r="T163" s="22">
        <v>1380</v>
      </c>
      <c r="U163" s="23">
        <v>250</v>
      </c>
      <c r="V163" s="24" t="s">
        <v>2163</v>
      </c>
      <c r="W163" s="44" t="s">
        <v>2448</v>
      </c>
      <c r="X163" s="22">
        <f t="shared" si="4"/>
        <v>21.817895099999987</v>
      </c>
      <c r="Y163" s="22">
        <v>4</v>
      </c>
      <c r="Z163" s="22">
        <v>2.7</v>
      </c>
      <c r="AA163" s="17" t="s">
        <v>201</v>
      </c>
      <c r="AB163" s="26">
        <v>6107</v>
      </c>
      <c r="AC163" s="26">
        <v>313</v>
      </c>
      <c r="AD163" s="26">
        <v>613</v>
      </c>
      <c r="AE163" s="27">
        <v>111296</v>
      </c>
      <c r="AF163" s="27">
        <v>2761</v>
      </c>
      <c r="AG163" s="27">
        <v>837266</v>
      </c>
      <c r="AH163" s="27">
        <v>42735</v>
      </c>
      <c r="AI163" s="17">
        <v>2016</v>
      </c>
      <c r="AJ163" s="17">
        <v>1</v>
      </c>
      <c r="AK163" s="17">
        <v>0</v>
      </c>
      <c r="AL163" s="17" t="s">
        <v>202</v>
      </c>
    </row>
    <row r="164" spans="1:38" ht="15.75" customHeight="1">
      <c r="A164" s="42" t="s">
        <v>213</v>
      </c>
      <c r="B164" s="19" t="s">
        <v>195</v>
      </c>
      <c r="C164" s="17">
        <v>21</v>
      </c>
      <c r="D164" s="20" t="s">
        <v>196</v>
      </c>
      <c r="E164" s="19">
        <v>0</v>
      </c>
      <c r="F164" s="19" t="s">
        <v>197</v>
      </c>
      <c r="G164" s="19" t="s">
        <v>198</v>
      </c>
      <c r="H164" s="19" t="s">
        <v>42</v>
      </c>
      <c r="I164" s="17" t="b">
        <v>0</v>
      </c>
      <c r="J164" s="17" t="s">
        <v>43</v>
      </c>
      <c r="K164" s="21" t="str">
        <f t="shared" si="3"/>
        <v>https://version2.ice-d.org/antarctica/sample/G24/</v>
      </c>
      <c r="L164" s="42" t="s">
        <v>112</v>
      </c>
      <c r="M164" s="155"/>
      <c r="N164" s="17" t="s">
        <v>39</v>
      </c>
      <c r="O164" s="17" t="s">
        <v>200</v>
      </c>
      <c r="P164" s="22">
        <v>-72.042850000000001</v>
      </c>
      <c r="Q164" s="22">
        <v>2.4885999999999999</v>
      </c>
      <c r="R164" s="22"/>
      <c r="S164" s="22">
        <v>1375.7723463</v>
      </c>
      <c r="T164" s="22">
        <v>1380</v>
      </c>
      <c r="U164" s="23">
        <v>250</v>
      </c>
      <c r="V164" s="24" t="s">
        <v>2164</v>
      </c>
      <c r="W164" s="44" t="s">
        <v>2448</v>
      </c>
      <c r="X164" s="22">
        <f t="shared" si="4"/>
        <v>-4.2276537000000189</v>
      </c>
      <c r="Y164" s="22">
        <v>3.5</v>
      </c>
      <c r="Z164" s="22">
        <v>2.7</v>
      </c>
      <c r="AA164" s="17" t="s">
        <v>201</v>
      </c>
      <c r="AB164" s="26">
        <v>1210</v>
      </c>
      <c r="AC164" s="26">
        <v>114</v>
      </c>
      <c r="AD164" s="26">
        <v>134</v>
      </c>
      <c r="AE164" s="27">
        <v>24508</v>
      </c>
      <c r="AF164" s="27">
        <v>2301</v>
      </c>
      <c r="AG164" s="27">
        <v>173351</v>
      </c>
      <c r="AH164" s="27">
        <v>23463</v>
      </c>
      <c r="AI164" s="17">
        <v>2016</v>
      </c>
      <c r="AJ164" s="17">
        <v>1</v>
      </c>
      <c r="AK164" s="17">
        <v>0</v>
      </c>
      <c r="AL164" s="17" t="s">
        <v>202</v>
      </c>
    </row>
    <row r="165" spans="1:38" ht="15.75" customHeight="1">
      <c r="A165" s="42" t="s">
        <v>213</v>
      </c>
      <c r="B165" s="19" t="s">
        <v>195</v>
      </c>
      <c r="C165" s="17">
        <v>21</v>
      </c>
      <c r="D165" s="20" t="s">
        <v>196</v>
      </c>
      <c r="E165" s="19">
        <v>0</v>
      </c>
      <c r="F165" s="19" t="s">
        <v>197</v>
      </c>
      <c r="G165" s="19" t="s">
        <v>198</v>
      </c>
      <c r="H165" s="19" t="s">
        <v>42</v>
      </c>
      <c r="I165" s="17" t="b">
        <v>0</v>
      </c>
      <c r="J165" s="17" t="s">
        <v>64</v>
      </c>
      <c r="K165" s="21" t="str">
        <f t="shared" si="3"/>
        <v>https://version2.ice-d.org/antarctica/sample/G24/</v>
      </c>
      <c r="L165" s="42" t="s">
        <v>112</v>
      </c>
      <c r="M165" s="155"/>
      <c r="N165" s="17" t="s">
        <v>39</v>
      </c>
      <c r="O165" s="17" t="s">
        <v>200</v>
      </c>
      <c r="P165" s="22">
        <v>-72.042850000000001</v>
      </c>
      <c r="Q165" s="22">
        <v>2.4885999999999999</v>
      </c>
      <c r="R165" s="22"/>
      <c r="S165" s="22">
        <v>1375.7723463</v>
      </c>
      <c r="T165" s="22">
        <v>1380</v>
      </c>
      <c r="U165" s="23">
        <v>250</v>
      </c>
      <c r="V165" s="24" t="s">
        <v>2165</v>
      </c>
      <c r="W165" s="44" t="s">
        <v>2448</v>
      </c>
      <c r="X165" s="22">
        <f t="shared" si="4"/>
        <v>-4.2276537000000189</v>
      </c>
      <c r="Y165" s="22">
        <v>3.5</v>
      </c>
      <c r="Z165" s="22">
        <v>2.7</v>
      </c>
      <c r="AA165" s="17" t="s">
        <v>201</v>
      </c>
      <c r="AB165" s="26">
        <v>1217</v>
      </c>
      <c r="AC165" s="26">
        <v>165</v>
      </c>
      <c r="AD165" s="26">
        <v>195</v>
      </c>
      <c r="AE165" s="27">
        <v>24508</v>
      </c>
      <c r="AF165" s="27">
        <v>2301</v>
      </c>
      <c r="AG165" s="27">
        <v>173351</v>
      </c>
      <c r="AH165" s="27">
        <v>23463</v>
      </c>
      <c r="AI165" s="17">
        <v>2016</v>
      </c>
      <c r="AJ165" s="17">
        <v>1</v>
      </c>
      <c r="AK165" s="17">
        <v>0</v>
      </c>
      <c r="AL165" s="17" t="s">
        <v>202</v>
      </c>
    </row>
    <row r="166" spans="1:38" ht="15.75" customHeight="1">
      <c r="A166" s="42" t="s">
        <v>214</v>
      </c>
      <c r="B166" s="19" t="s">
        <v>195</v>
      </c>
      <c r="C166" s="17">
        <v>21</v>
      </c>
      <c r="D166" s="20" t="s">
        <v>196</v>
      </c>
      <c r="E166" s="19">
        <v>0</v>
      </c>
      <c r="F166" s="19" t="s">
        <v>197</v>
      </c>
      <c r="G166" s="19" t="s">
        <v>198</v>
      </c>
      <c r="H166" s="19" t="s">
        <v>42</v>
      </c>
      <c r="I166" s="17" t="b">
        <v>0</v>
      </c>
      <c r="J166" s="17" t="s">
        <v>43</v>
      </c>
      <c r="K166" s="21" t="str">
        <f t="shared" si="3"/>
        <v>https://version2.ice-d.org/antarctica/sample/G25/</v>
      </c>
      <c r="L166" s="42" t="s">
        <v>112</v>
      </c>
      <c r="M166" s="155"/>
      <c r="N166" s="17" t="s">
        <v>39</v>
      </c>
      <c r="O166" s="17" t="s">
        <v>200</v>
      </c>
      <c r="P166" s="22">
        <v>-72.041783333300003</v>
      </c>
      <c r="Q166" s="22">
        <v>2.4878166667000001</v>
      </c>
      <c r="R166" s="22"/>
      <c r="S166" s="22">
        <v>1371.4874293</v>
      </c>
      <c r="T166" s="22">
        <v>1380</v>
      </c>
      <c r="U166" s="23">
        <v>250</v>
      </c>
      <c r="V166" s="24" t="s">
        <v>2166</v>
      </c>
      <c r="W166" s="44" t="s">
        <v>2448</v>
      </c>
      <c r="X166" s="22">
        <f t="shared" si="4"/>
        <v>-8.5125706999999693</v>
      </c>
      <c r="Y166" s="22">
        <v>3.5</v>
      </c>
      <c r="Z166" s="22">
        <v>2.7</v>
      </c>
      <c r="AA166" s="17" t="s">
        <v>201</v>
      </c>
      <c r="AB166" s="26">
        <v>1132</v>
      </c>
      <c r="AC166" s="26">
        <v>105</v>
      </c>
      <c r="AD166" s="26">
        <v>125</v>
      </c>
      <c r="AE166" s="27">
        <v>22880</v>
      </c>
      <c r="AF166" s="27">
        <v>2126</v>
      </c>
      <c r="AG166" s="27">
        <v>194196</v>
      </c>
      <c r="AH166" s="27">
        <v>18566</v>
      </c>
      <c r="AI166" s="17">
        <v>2016</v>
      </c>
      <c r="AJ166" s="17">
        <v>1</v>
      </c>
      <c r="AK166" s="17">
        <v>0</v>
      </c>
      <c r="AL166" s="17" t="s">
        <v>202</v>
      </c>
    </row>
    <row r="167" spans="1:38" ht="15.75" customHeight="1">
      <c r="A167" s="42" t="s">
        <v>214</v>
      </c>
      <c r="B167" s="19" t="s">
        <v>195</v>
      </c>
      <c r="C167" s="17">
        <v>21</v>
      </c>
      <c r="D167" s="20" t="s">
        <v>196</v>
      </c>
      <c r="E167" s="19">
        <v>0</v>
      </c>
      <c r="F167" s="19" t="s">
        <v>197</v>
      </c>
      <c r="G167" s="19" t="s">
        <v>198</v>
      </c>
      <c r="H167" s="19" t="s">
        <v>42</v>
      </c>
      <c r="I167" s="17" t="b">
        <v>0</v>
      </c>
      <c r="J167" s="17" t="s">
        <v>64</v>
      </c>
      <c r="K167" s="21" t="str">
        <f t="shared" si="3"/>
        <v>https://version2.ice-d.org/antarctica/sample/G25/</v>
      </c>
      <c r="L167" s="42" t="s">
        <v>112</v>
      </c>
      <c r="M167" s="155"/>
      <c r="N167" s="17" t="s">
        <v>39</v>
      </c>
      <c r="O167" s="17" t="s">
        <v>200</v>
      </c>
      <c r="P167" s="22">
        <v>-72.041783333300003</v>
      </c>
      <c r="Q167" s="22">
        <v>2.4878166667000001</v>
      </c>
      <c r="R167" s="22"/>
      <c r="S167" s="22">
        <v>1371.4874293</v>
      </c>
      <c r="T167" s="22">
        <v>1380</v>
      </c>
      <c r="U167" s="23">
        <v>250</v>
      </c>
      <c r="V167" s="24" t="s">
        <v>2167</v>
      </c>
      <c r="W167" s="44" t="s">
        <v>2448</v>
      </c>
      <c r="X167" s="22">
        <f t="shared" si="4"/>
        <v>-8.5125706999999693</v>
      </c>
      <c r="Y167" s="22">
        <v>3.5</v>
      </c>
      <c r="Z167" s="22">
        <v>2.7</v>
      </c>
      <c r="AA167" s="17" t="s">
        <v>201</v>
      </c>
      <c r="AB167" s="26">
        <v>1366</v>
      </c>
      <c r="AC167" s="26">
        <v>131</v>
      </c>
      <c r="AD167" s="26">
        <v>176</v>
      </c>
      <c r="AE167" s="27">
        <v>22880</v>
      </c>
      <c r="AF167" s="27">
        <v>2126</v>
      </c>
      <c r="AG167" s="27">
        <v>194196</v>
      </c>
      <c r="AH167" s="27">
        <v>18566</v>
      </c>
      <c r="AI167" s="17">
        <v>2016</v>
      </c>
      <c r="AJ167" s="17">
        <v>1</v>
      </c>
      <c r="AK167" s="17">
        <v>0</v>
      </c>
      <c r="AL167" s="17" t="s">
        <v>202</v>
      </c>
    </row>
    <row r="168" spans="1:38" ht="15.75" customHeight="1">
      <c r="A168" s="42" t="s">
        <v>216</v>
      </c>
      <c r="B168" s="19" t="s">
        <v>195</v>
      </c>
      <c r="C168" s="17">
        <v>21</v>
      </c>
      <c r="D168" s="20" t="s">
        <v>196</v>
      </c>
      <c r="E168" s="19">
        <v>0</v>
      </c>
      <c r="F168" s="19" t="s">
        <v>197</v>
      </c>
      <c r="G168" s="19" t="s">
        <v>198</v>
      </c>
      <c r="H168" s="19" t="s">
        <v>42</v>
      </c>
      <c r="I168" s="17" t="b">
        <v>0</v>
      </c>
      <c r="J168" s="17" t="s">
        <v>43</v>
      </c>
      <c r="K168" s="21" t="str">
        <f t="shared" si="3"/>
        <v>https://version2.ice-d.org/antarctica/sample/G26/</v>
      </c>
      <c r="L168" s="42" t="s">
        <v>112</v>
      </c>
      <c r="M168" s="155"/>
      <c r="N168" s="17" t="s">
        <v>39</v>
      </c>
      <c r="O168" s="17" t="s">
        <v>200</v>
      </c>
      <c r="P168" s="22">
        <v>-72.040700000000001</v>
      </c>
      <c r="Q168" s="22">
        <v>2.4863166667000001</v>
      </c>
      <c r="R168" s="22"/>
      <c r="S168" s="22">
        <v>1373.3335950999999</v>
      </c>
      <c r="T168" s="22">
        <v>1380</v>
      </c>
      <c r="U168" s="23">
        <v>250</v>
      </c>
      <c r="V168" s="24" t="s">
        <v>2168</v>
      </c>
      <c r="W168" s="44" t="s">
        <v>2448</v>
      </c>
      <c r="X168" s="22">
        <f t="shared" si="4"/>
        <v>-6.6664049000000887</v>
      </c>
      <c r="Y168" s="22">
        <v>3</v>
      </c>
      <c r="Z168" s="22">
        <v>2.7</v>
      </c>
      <c r="AA168" s="17" t="s">
        <v>201</v>
      </c>
      <c r="AB168" s="26">
        <v>1741</v>
      </c>
      <c r="AC168" s="26">
        <v>161</v>
      </c>
      <c r="AD168" s="26">
        <v>191</v>
      </c>
      <c r="AE168" s="27">
        <v>35079</v>
      </c>
      <c r="AF168" s="27">
        <v>3246</v>
      </c>
      <c r="AG168" s="27">
        <v>264254</v>
      </c>
      <c r="AH168" s="27">
        <v>25283</v>
      </c>
      <c r="AI168" s="17">
        <v>2016</v>
      </c>
      <c r="AJ168" s="17">
        <v>1</v>
      </c>
      <c r="AK168" s="17">
        <v>0</v>
      </c>
      <c r="AL168" s="17" t="s">
        <v>202</v>
      </c>
    </row>
    <row r="169" spans="1:38" ht="15.75" customHeight="1">
      <c r="A169" s="42" t="s">
        <v>216</v>
      </c>
      <c r="B169" s="19" t="s">
        <v>195</v>
      </c>
      <c r="C169" s="17">
        <v>21</v>
      </c>
      <c r="D169" s="20" t="s">
        <v>196</v>
      </c>
      <c r="E169" s="19">
        <v>0</v>
      </c>
      <c r="F169" s="19" t="s">
        <v>197</v>
      </c>
      <c r="G169" s="19" t="s">
        <v>198</v>
      </c>
      <c r="H169" s="19" t="s">
        <v>42</v>
      </c>
      <c r="I169" s="17" t="b">
        <v>0</v>
      </c>
      <c r="J169" s="17" t="s">
        <v>64</v>
      </c>
      <c r="K169" s="21" t="str">
        <f t="shared" si="3"/>
        <v>https://version2.ice-d.org/antarctica/sample/G26/</v>
      </c>
      <c r="L169" s="42" t="s">
        <v>112</v>
      </c>
      <c r="M169" s="155"/>
      <c r="N169" s="17" t="s">
        <v>39</v>
      </c>
      <c r="O169" s="17" t="s">
        <v>200</v>
      </c>
      <c r="P169" s="22">
        <v>-72.040700000000001</v>
      </c>
      <c r="Q169" s="22">
        <v>2.4863166667000001</v>
      </c>
      <c r="R169" s="22"/>
      <c r="S169" s="22">
        <v>1373.3335950999999</v>
      </c>
      <c r="T169" s="22">
        <v>1380</v>
      </c>
      <c r="U169" s="23">
        <v>250</v>
      </c>
      <c r="V169" s="24" t="s">
        <v>2169</v>
      </c>
      <c r="W169" s="44" t="s">
        <v>2448</v>
      </c>
      <c r="X169" s="22">
        <f t="shared" si="4"/>
        <v>-6.6664049000000887</v>
      </c>
      <c r="Y169" s="22">
        <v>3</v>
      </c>
      <c r="Z169" s="22">
        <v>2.7</v>
      </c>
      <c r="AA169" s="17" t="s">
        <v>201</v>
      </c>
      <c r="AB169" s="26">
        <v>1870</v>
      </c>
      <c r="AC169" s="26">
        <v>179</v>
      </c>
      <c r="AD169" s="26">
        <v>241</v>
      </c>
      <c r="AE169" s="27">
        <v>35079</v>
      </c>
      <c r="AF169" s="27">
        <v>3246</v>
      </c>
      <c r="AG169" s="27">
        <v>264254</v>
      </c>
      <c r="AH169" s="27">
        <v>25283</v>
      </c>
      <c r="AI169" s="17">
        <v>2016</v>
      </c>
      <c r="AJ169" s="17">
        <v>1</v>
      </c>
      <c r="AK169" s="17">
        <v>0</v>
      </c>
      <c r="AL169" s="17" t="s">
        <v>202</v>
      </c>
    </row>
    <row r="170" spans="1:38" ht="15.75" customHeight="1">
      <c r="A170" s="61" t="s">
        <v>217</v>
      </c>
      <c r="B170" s="19" t="s">
        <v>218</v>
      </c>
      <c r="C170" s="17">
        <v>22</v>
      </c>
      <c r="D170" s="20" t="s">
        <v>196</v>
      </c>
      <c r="E170" s="19">
        <v>0</v>
      </c>
      <c r="F170" s="19" t="s">
        <v>197</v>
      </c>
      <c r="G170" s="19" t="s">
        <v>198</v>
      </c>
      <c r="H170" s="19" t="s">
        <v>42</v>
      </c>
      <c r="I170" s="17" t="b">
        <v>0</v>
      </c>
      <c r="K170" s="21" t="str">
        <f t="shared" si="3"/>
        <v>https://version2.ice-d.org/antarctica/sample/J07/</v>
      </c>
      <c r="L170" s="61" t="s">
        <v>219</v>
      </c>
      <c r="M170" s="207" t="s">
        <v>220</v>
      </c>
      <c r="N170" s="17" t="s">
        <v>39</v>
      </c>
      <c r="O170" s="17" t="s">
        <v>200</v>
      </c>
      <c r="P170" s="22">
        <v>-72.246700000000004</v>
      </c>
      <c r="Q170" s="22">
        <v>-0.4429833333</v>
      </c>
      <c r="R170" s="22"/>
      <c r="S170" s="22">
        <v>1059</v>
      </c>
      <c r="T170" s="22"/>
      <c r="U170" s="23">
        <v>250</v>
      </c>
      <c r="V170" s="24" t="s">
        <v>2170</v>
      </c>
      <c r="W170" s="44" t="s">
        <v>2448</v>
      </c>
      <c r="X170" s="22"/>
      <c r="Y170" s="22">
        <v>3.5</v>
      </c>
      <c r="Z170" s="22">
        <v>2.7</v>
      </c>
      <c r="AA170" s="17" t="s">
        <v>201</v>
      </c>
      <c r="AB170" s="26">
        <v>4295</v>
      </c>
      <c r="AC170" s="26">
        <v>270</v>
      </c>
      <c r="AD170" s="26">
        <v>458</v>
      </c>
      <c r="AE170" s="27">
        <v>63437</v>
      </c>
      <c r="AF170" s="27">
        <v>3217</v>
      </c>
      <c r="AG170" s="27">
        <v>419297</v>
      </c>
      <c r="AH170" s="27">
        <v>26351</v>
      </c>
      <c r="AI170" s="17">
        <v>2016</v>
      </c>
      <c r="AJ170" s="17">
        <v>1</v>
      </c>
      <c r="AK170" s="17">
        <v>1</v>
      </c>
      <c r="AL170" s="17" t="s">
        <v>221</v>
      </c>
    </row>
    <row r="171" spans="1:38" ht="15.75" customHeight="1">
      <c r="A171" s="61" t="s">
        <v>217</v>
      </c>
      <c r="B171" s="19" t="s">
        <v>218</v>
      </c>
      <c r="C171" s="17">
        <v>22</v>
      </c>
      <c r="D171" s="20" t="s">
        <v>196</v>
      </c>
      <c r="E171" s="19">
        <v>0</v>
      </c>
      <c r="F171" s="19" t="s">
        <v>197</v>
      </c>
      <c r="G171" s="19" t="s">
        <v>198</v>
      </c>
      <c r="H171" s="19" t="s">
        <v>42</v>
      </c>
      <c r="I171" s="17" t="b">
        <v>0</v>
      </c>
      <c r="K171" s="21" t="str">
        <f t="shared" si="3"/>
        <v>https://version2.ice-d.org/antarctica/sample/J07/</v>
      </c>
      <c r="L171" s="61" t="s">
        <v>219</v>
      </c>
      <c r="M171" s="155"/>
      <c r="N171" s="17" t="s">
        <v>39</v>
      </c>
      <c r="O171" s="17" t="s">
        <v>200</v>
      </c>
      <c r="P171" s="22">
        <v>-72.246700000000004</v>
      </c>
      <c r="Q171" s="22">
        <v>-0.4429833333</v>
      </c>
      <c r="R171" s="22"/>
      <c r="S171" s="22">
        <v>1059</v>
      </c>
      <c r="T171" s="22"/>
      <c r="U171" s="23">
        <v>250</v>
      </c>
      <c r="V171" s="24" t="s">
        <v>2171</v>
      </c>
      <c r="W171" s="44" t="s">
        <v>2448</v>
      </c>
      <c r="X171" s="22"/>
      <c r="Y171" s="22">
        <v>3.5</v>
      </c>
      <c r="Z171" s="22">
        <v>2.7</v>
      </c>
      <c r="AA171" s="17" t="s">
        <v>201</v>
      </c>
      <c r="AB171" s="26">
        <v>4595</v>
      </c>
      <c r="AC171" s="26">
        <v>233</v>
      </c>
      <c r="AD171" s="26">
        <v>358</v>
      </c>
      <c r="AE171" s="27">
        <v>63437</v>
      </c>
      <c r="AF171" s="27">
        <v>3217</v>
      </c>
      <c r="AG171" s="27">
        <v>419297</v>
      </c>
      <c r="AH171" s="27">
        <v>26351</v>
      </c>
      <c r="AI171" s="17">
        <v>2016</v>
      </c>
      <c r="AJ171" s="17">
        <v>1</v>
      </c>
      <c r="AK171" s="17">
        <v>1</v>
      </c>
      <c r="AL171" s="17" t="s">
        <v>221</v>
      </c>
    </row>
    <row r="172" spans="1:38" ht="15.75" customHeight="1">
      <c r="A172" s="63" t="s">
        <v>222</v>
      </c>
      <c r="B172" s="19" t="s">
        <v>218</v>
      </c>
      <c r="C172" s="17">
        <v>22</v>
      </c>
      <c r="D172" s="20" t="s">
        <v>196</v>
      </c>
      <c r="E172" s="19">
        <v>0</v>
      </c>
      <c r="F172" s="19" t="s">
        <v>197</v>
      </c>
      <c r="G172" s="19" t="s">
        <v>198</v>
      </c>
      <c r="H172" s="19" t="s">
        <v>42</v>
      </c>
      <c r="I172" s="17" t="b">
        <v>0</v>
      </c>
      <c r="K172" s="21" t="str">
        <f t="shared" si="3"/>
        <v>https://version2.ice-d.org/antarctica/sample/R06/</v>
      </c>
      <c r="L172" s="63" t="s">
        <v>39</v>
      </c>
      <c r="M172" s="63" t="s">
        <v>44</v>
      </c>
      <c r="O172" s="17" t="s">
        <v>200</v>
      </c>
      <c r="P172" s="22">
        <v>-71.8563333333</v>
      </c>
      <c r="Q172" s="22">
        <v>2.8229666667000002</v>
      </c>
      <c r="R172" s="22"/>
      <c r="S172" s="22">
        <v>1378.1844243999999</v>
      </c>
      <c r="T172" s="22">
        <v>1325</v>
      </c>
      <c r="U172" s="23">
        <v>250</v>
      </c>
      <c r="V172" s="24" t="s">
        <v>2172</v>
      </c>
      <c r="W172" s="44" t="s">
        <v>2448</v>
      </c>
      <c r="X172" s="22">
        <f t="shared" ref="X172:X173" si="5">S172-T172</f>
        <v>53.184424399999898</v>
      </c>
      <c r="Y172" s="22">
        <v>3</v>
      </c>
      <c r="Z172" s="22">
        <v>2.7</v>
      </c>
      <c r="AA172" s="17" t="s">
        <v>201</v>
      </c>
      <c r="AB172" s="26">
        <v>21237</v>
      </c>
      <c r="AC172" s="26">
        <v>849</v>
      </c>
      <c r="AD172" s="26">
        <v>1519</v>
      </c>
      <c r="AE172" s="27">
        <v>410566</v>
      </c>
      <c r="AF172" s="27">
        <v>16331</v>
      </c>
      <c r="AG172" s="27">
        <v>1943026</v>
      </c>
      <c r="AH172" s="27">
        <v>91861</v>
      </c>
      <c r="AI172" s="17">
        <v>2016</v>
      </c>
      <c r="AJ172" s="17">
        <v>1</v>
      </c>
      <c r="AK172" s="17">
        <v>1</v>
      </c>
      <c r="AL172" s="17" t="s">
        <v>223</v>
      </c>
    </row>
    <row r="173" spans="1:38" ht="15.75" customHeight="1">
      <c r="A173" s="63" t="s">
        <v>222</v>
      </c>
      <c r="B173" s="19" t="s">
        <v>218</v>
      </c>
      <c r="C173" s="17">
        <v>22</v>
      </c>
      <c r="D173" s="20" t="s">
        <v>196</v>
      </c>
      <c r="E173" s="19">
        <v>0</v>
      </c>
      <c r="F173" s="19" t="s">
        <v>197</v>
      </c>
      <c r="G173" s="19" t="s">
        <v>198</v>
      </c>
      <c r="H173" s="19" t="s">
        <v>42</v>
      </c>
      <c r="I173" s="17" t="b">
        <v>0</v>
      </c>
      <c r="K173" s="21" t="str">
        <f t="shared" si="3"/>
        <v>https://version2.ice-d.org/antarctica/sample/R06/</v>
      </c>
      <c r="L173" s="63" t="s">
        <v>39</v>
      </c>
      <c r="M173" s="196" t="s">
        <v>44</v>
      </c>
      <c r="O173" s="17" t="s">
        <v>200</v>
      </c>
      <c r="P173" s="22">
        <v>-71.8563333333</v>
      </c>
      <c r="Q173" s="22">
        <v>2.8229666667000002</v>
      </c>
      <c r="R173" s="22"/>
      <c r="S173" s="22">
        <v>1378.1844243999999</v>
      </c>
      <c r="T173" s="22">
        <v>1325</v>
      </c>
      <c r="U173" s="23">
        <v>250</v>
      </c>
      <c r="V173" s="24" t="s">
        <v>2173</v>
      </c>
      <c r="W173" s="44" t="s">
        <v>2448</v>
      </c>
      <c r="X173" s="22">
        <f t="shared" si="5"/>
        <v>53.184424399999898</v>
      </c>
      <c r="Y173" s="22">
        <v>3</v>
      </c>
      <c r="Z173" s="22">
        <v>2.7</v>
      </c>
      <c r="AA173" s="17" t="s">
        <v>201</v>
      </c>
      <c r="AB173" s="26">
        <v>14281</v>
      </c>
      <c r="AC173" s="26">
        <v>680</v>
      </c>
      <c r="AD173" s="26">
        <v>1411</v>
      </c>
      <c r="AE173" s="27">
        <v>410566</v>
      </c>
      <c r="AF173" s="27">
        <v>16331</v>
      </c>
      <c r="AG173" s="27">
        <v>1943026</v>
      </c>
      <c r="AH173" s="27">
        <v>91861</v>
      </c>
      <c r="AI173" s="17">
        <v>2016</v>
      </c>
      <c r="AJ173" s="17">
        <v>1</v>
      </c>
      <c r="AK173" s="17">
        <v>1</v>
      </c>
      <c r="AL173" s="17" t="s">
        <v>223</v>
      </c>
    </row>
    <row r="174" spans="1:38" ht="15.75" customHeight="1">
      <c r="A174" s="63" t="s">
        <v>224</v>
      </c>
      <c r="B174" s="19" t="s">
        <v>218</v>
      </c>
      <c r="C174" s="17">
        <v>22</v>
      </c>
      <c r="D174" s="20" t="s">
        <v>196</v>
      </c>
      <c r="E174" s="19">
        <v>0</v>
      </c>
      <c r="F174" s="19" t="s">
        <v>197</v>
      </c>
      <c r="G174" s="19" t="s">
        <v>198</v>
      </c>
      <c r="H174" s="19" t="s">
        <v>42</v>
      </c>
      <c r="I174" s="17" t="b">
        <v>0</v>
      </c>
      <c r="K174" s="21" t="str">
        <f t="shared" si="3"/>
        <v>https://version2.ice-d.org/antarctica/sample/R09/</v>
      </c>
      <c r="L174" s="63" t="s">
        <v>39</v>
      </c>
      <c r="M174" s="155"/>
      <c r="O174" s="17" t="s">
        <v>200</v>
      </c>
      <c r="P174" s="22">
        <v>-71.857150000000004</v>
      </c>
      <c r="Q174" s="22">
        <v>2.8123</v>
      </c>
      <c r="R174" s="22"/>
      <c r="S174" s="22">
        <v>1249.4705537</v>
      </c>
      <c r="T174" s="17" t="e">
        <f t="shared" ref="T174:T175" si="6">S174-V174</f>
        <v>#VALUE!</v>
      </c>
      <c r="U174" s="23">
        <v>250</v>
      </c>
      <c r="V174" s="24" t="s">
        <v>2174</v>
      </c>
      <c r="W174" s="44" t="s">
        <v>2448</v>
      </c>
      <c r="X174" s="22">
        <v>70</v>
      </c>
      <c r="Y174" s="22">
        <v>3.5</v>
      </c>
      <c r="Z174" s="22">
        <v>2.7</v>
      </c>
      <c r="AA174" s="17" t="s">
        <v>201</v>
      </c>
      <c r="AB174" s="26">
        <v>9337</v>
      </c>
      <c r="AC174" s="26">
        <v>522</v>
      </c>
      <c r="AD174" s="26">
        <v>961</v>
      </c>
      <c r="AE174" s="27">
        <v>191473</v>
      </c>
      <c r="AF174" s="27">
        <v>6476</v>
      </c>
      <c r="AG174" s="27">
        <v>1132501</v>
      </c>
      <c r="AH174" s="27">
        <v>63052</v>
      </c>
      <c r="AI174" s="17">
        <v>2016</v>
      </c>
      <c r="AJ174" s="17">
        <v>1</v>
      </c>
      <c r="AK174" s="17">
        <v>1</v>
      </c>
      <c r="AL174" s="17" t="s">
        <v>225</v>
      </c>
    </row>
    <row r="175" spans="1:38" ht="15.75" customHeight="1">
      <c r="A175" s="63" t="s">
        <v>224</v>
      </c>
      <c r="B175" s="19" t="s">
        <v>218</v>
      </c>
      <c r="C175" s="17">
        <v>22</v>
      </c>
      <c r="D175" s="20" t="s">
        <v>196</v>
      </c>
      <c r="E175" s="19">
        <v>0</v>
      </c>
      <c r="F175" s="19" t="s">
        <v>197</v>
      </c>
      <c r="G175" s="19" t="s">
        <v>198</v>
      </c>
      <c r="H175" s="19" t="s">
        <v>42</v>
      </c>
      <c r="I175" s="17" t="b">
        <v>0</v>
      </c>
      <c r="K175" s="21" t="str">
        <f t="shared" si="3"/>
        <v>https://version2.ice-d.org/antarctica/sample/R09/</v>
      </c>
      <c r="L175" s="63" t="s">
        <v>39</v>
      </c>
      <c r="M175" s="155"/>
      <c r="O175" s="17" t="s">
        <v>200</v>
      </c>
      <c r="P175" s="22">
        <v>-71.857150000000004</v>
      </c>
      <c r="Q175" s="22">
        <v>2.8123</v>
      </c>
      <c r="R175" s="22"/>
      <c r="S175" s="22">
        <v>1249.4705537</v>
      </c>
      <c r="T175" s="17" t="e">
        <f t="shared" si="6"/>
        <v>#VALUE!</v>
      </c>
      <c r="U175" s="23">
        <v>250</v>
      </c>
      <c r="V175" s="24" t="s">
        <v>2175</v>
      </c>
      <c r="W175" s="44" t="s">
        <v>2448</v>
      </c>
      <c r="X175" s="22">
        <v>70</v>
      </c>
      <c r="Y175" s="22">
        <v>3.5</v>
      </c>
      <c r="Z175" s="22">
        <v>2.7</v>
      </c>
      <c r="AA175" s="17" t="s">
        <v>201</v>
      </c>
      <c r="AB175" s="26">
        <v>11135</v>
      </c>
      <c r="AC175" s="26">
        <v>378</v>
      </c>
      <c r="AD175" s="26">
        <v>759</v>
      </c>
      <c r="AE175" s="27">
        <v>191473</v>
      </c>
      <c r="AF175" s="27">
        <v>6476</v>
      </c>
      <c r="AG175" s="27">
        <v>1132501</v>
      </c>
      <c r="AH175" s="27">
        <v>63052</v>
      </c>
      <c r="AI175" s="17">
        <v>2016</v>
      </c>
      <c r="AJ175" s="17">
        <v>1</v>
      </c>
      <c r="AK175" s="17">
        <v>1</v>
      </c>
      <c r="AL175" s="17" t="s">
        <v>225</v>
      </c>
    </row>
    <row r="176" spans="1:38" ht="15.75" customHeight="1">
      <c r="A176" s="63" t="s">
        <v>226</v>
      </c>
      <c r="B176" s="19" t="s">
        <v>218</v>
      </c>
      <c r="C176" s="17">
        <v>22</v>
      </c>
      <c r="D176" s="20" t="s">
        <v>196</v>
      </c>
      <c r="E176" s="19">
        <v>0</v>
      </c>
      <c r="F176" s="19" t="s">
        <v>197</v>
      </c>
      <c r="G176" s="19" t="s">
        <v>198</v>
      </c>
      <c r="H176" s="19" t="s">
        <v>42</v>
      </c>
      <c r="I176" s="17" t="b">
        <v>0</v>
      </c>
      <c r="J176" s="17" t="s">
        <v>64</v>
      </c>
      <c r="K176" s="21" t="str">
        <f t="shared" si="3"/>
        <v>https://version2.ice-d.org/antarctica/sample/R01/</v>
      </c>
      <c r="L176" s="63" t="s">
        <v>39</v>
      </c>
      <c r="M176" s="155"/>
      <c r="O176" s="17" t="s">
        <v>200</v>
      </c>
      <c r="P176" s="22">
        <v>-71.859366666699998</v>
      </c>
      <c r="Q176" s="22">
        <v>2.8245833333000001</v>
      </c>
      <c r="R176" s="22"/>
      <c r="S176" s="22">
        <v>1439.0506293000001</v>
      </c>
      <c r="T176" s="22">
        <v>1325</v>
      </c>
      <c r="U176" s="23">
        <v>250</v>
      </c>
      <c r="V176" s="24" t="s">
        <v>2176</v>
      </c>
      <c r="W176" s="44" t="s">
        <v>2448</v>
      </c>
      <c r="X176" s="22">
        <f t="shared" ref="X176:X232" si="7">S176-T176</f>
        <v>114.05062930000008</v>
      </c>
      <c r="Y176" s="22">
        <v>4</v>
      </c>
      <c r="Z176" s="22">
        <v>2.7</v>
      </c>
      <c r="AA176" s="17" t="s">
        <v>201</v>
      </c>
      <c r="AB176" s="26">
        <v>7966</v>
      </c>
      <c r="AC176" s="26">
        <v>340</v>
      </c>
      <c r="AD176" s="26">
        <v>767</v>
      </c>
      <c r="AE176" s="27">
        <v>167838</v>
      </c>
      <c r="AF176" s="27">
        <v>5581</v>
      </c>
      <c r="AG176" s="27">
        <v>1142724</v>
      </c>
      <c r="AH176" s="27">
        <v>48583</v>
      </c>
      <c r="AI176" s="17">
        <v>2016</v>
      </c>
      <c r="AJ176" s="17">
        <v>1</v>
      </c>
      <c r="AK176" s="17">
        <v>0</v>
      </c>
      <c r="AL176" s="17" t="s">
        <v>227</v>
      </c>
    </row>
    <row r="177" spans="1:38" ht="15.75" customHeight="1">
      <c r="A177" s="63" t="s">
        <v>226</v>
      </c>
      <c r="B177" s="19" t="s">
        <v>218</v>
      </c>
      <c r="C177" s="17">
        <v>22</v>
      </c>
      <c r="D177" s="20" t="s">
        <v>196</v>
      </c>
      <c r="E177" s="19">
        <v>0</v>
      </c>
      <c r="F177" s="19" t="s">
        <v>197</v>
      </c>
      <c r="G177" s="19" t="s">
        <v>198</v>
      </c>
      <c r="H177" s="19" t="s">
        <v>42</v>
      </c>
      <c r="I177" s="17" t="b">
        <v>0</v>
      </c>
      <c r="J177" s="17" t="s">
        <v>43</v>
      </c>
      <c r="K177" s="21" t="str">
        <f t="shared" si="3"/>
        <v>https://version2.ice-d.org/antarctica/sample/R01/</v>
      </c>
      <c r="L177" s="63" t="s">
        <v>39</v>
      </c>
      <c r="M177" s="155"/>
      <c r="O177" s="17" t="s">
        <v>200</v>
      </c>
      <c r="P177" s="22">
        <v>-71.859366666699998</v>
      </c>
      <c r="Q177" s="22">
        <v>2.8245833333000001</v>
      </c>
      <c r="R177" s="22"/>
      <c r="S177" s="22">
        <v>1439.0506293000001</v>
      </c>
      <c r="T177" s="22">
        <v>1325</v>
      </c>
      <c r="U177" s="23">
        <v>250</v>
      </c>
      <c r="V177" s="24" t="s">
        <v>2177</v>
      </c>
      <c r="W177" s="44" t="s">
        <v>2448</v>
      </c>
      <c r="X177" s="22">
        <f t="shared" si="7"/>
        <v>114.05062930000008</v>
      </c>
      <c r="Y177" s="22">
        <v>4</v>
      </c>
      <c r="Z177" s="22">
        <v>2.7</v>
      </c>
      <c r="AA177" s="17" t="s">
        <v>201</v>
      </c>
      <c r="AB177" s="26">
        <v>8212</v>
      </c>
      <c r="AC177" s="26">
        <v>274</v>
      </c>
      <c r="AD177" s="26">
        <v>557</v>
      </c>
      <c r="AE177" s="27">
        <v>167838</v>
      </c>
      <c r="AF177" s="27">
        <v>5581</v>
      </c>
      <c r="AG177" s="27">
        <v>1142724</v>
      </c>
      <c r="AH177" s="27">
        <v>48583</v>
      </c>
      <c r="AI177" s="17">
        <v>2016</v>
      </c>
      <c r="AJ177" s="17">
        <v>1</v>
      </c>
      <c r="AK177" s="17">
        <v>0</v>
      </c>
      <c r="AL177" s="17" t="s">
        <v>227</v>
      </c>
    </row>
    <row r="178" spans="1:38" ht="15.75" customHeight="1">
      <c r="A178" s="63" t="s">
        <v>228</v>
      </c>
      <c r="B178" s="19" t="s">
        <v>218</v>
      </c>
      <c r="C178" s="17">
        <v>22</v>
      </c>
      <c r="D178" s="20" t="s">
        <v>196</v>
      </c>
      <c r="E178" s="19">
        <v>0</v>
      </c>
      <c r="F178" s="19" t="s">
        <v>197</v>
      </c>
      <c r="G178" s="19" t="s">
        <v>198</v>
      </c>
      <c r="H178" s="19" t="s">
        <v>42</v>
      </c>
      <c r="I178" s="17" t="b">
        <v>0</v>
      </c>
      <c r="J178" s="17" t="s">
        <v>43</v>
      </c>
      <c r="K178" s="21" t="str">
        <f t="shared" si="3"/>
        <v>https://version2.ice-d.org/antarctica/sample/R03/</v>
      </c>
      <c r="L178" s="63" t="s">
        <v>39</v>
      </c>
      <c r="M178" s="155"/>
      <c r="O178" s="17" t="s">
        <v>200</v>
      </c>
      <c r="P178" s="22">
        <v>-71.858716666700005</v>
      </c>
      <c r="Q178" s="22">
        <v>2.8248166666999999</v>
      </c>
      <c r="R178" s="22"/>
      <c r="S178" s="22">
        <v>1426.5432195000001</v>
      </c>
      <c r="T178" s="22">
        <v>1325</v>
      </c>
      <c r="U178" s="23">
        <v>250</v>
      </c>
      <c r="V178" s="24" t="s">
        <v>2178</v>
      </c>
      <c r="W178" s="44" t="s">
        <v>2448</v>
      </c>
      <c r="X178" s="22">
        <f t="shared" si="7"/>
        <v>101.54321950000008</v>
      </c>
      <c r="Y178" s="22">
        <v>3.5</v>
      </c>
      <c r="Z178" s="22">
        <v>2.7</v>
      </c>
      <c r="AA178" s="17" t="s">
        <v>201</v>
      </c>
      <c r="AB178" s="26">
        <v>7914</v>
      </c>
      <c r="AC178" s="26">
        <v>296</v>
      </c>
      <c r="AD178" s="26">
        <v>553</v>
      </c>
      <c r="AE178" s="27">
        <v>160661</v>
      </c>
      <c r="AF178" s="27">
        <v>5991</v>
      </c>
      <c r="AG178" s="27">
        <v>1136468</v>
      </c>
      <c r="AH178" s="27">
        <v>56999</v>
      </c>
      <c r="AI178" s="17">
        <v>2016</v>
      </c>
      <c r="AJ178" s="17">
        <v>1</v>
      </c>
      <c r="AK178" s="17">
        <v>0</v>
      </c>
      <c r="AL178" s="17" t="s">
        <v>227</v>
      </c>
    </row>
    <row r="179" spans="1:38" ht="15.75" customHeight="1">
      <c r="A179" s="63" t="s">
        <v>228</v>
      </c>
      <c r="B179" s="19" t="s">
        <v>218</v>
      </c>
      <c r="C179" s="17">
        <v>22</v>
      </c>
      <c r="D179" s="20" t="s">
        <v>196</v>
      </c>
      <c r="E179" s="19">
        <v>0</v>
      </c>
      <c r="F179" s="19" t="s">
        <v>197</v>
      </c>
      <c r="G179" s="19" t="s">
        <v>198</v>
      </c>
      <c r="H179" s="19" t="s">
        <v>42</v>
      </c>
      <c r="I179" s="17" t="b">
        <v>0</v>
      </c>
      <c r="J179" s="17" t="s">
        <v>64</v>
      </c>
      <c r="K179" s="21" t="str">
        <f t="shared" si="3"/>
        <v>https://version2.ice-d.org/antarctica/sample/R03/</v>
      </c>
      <c r="L179" s="63" t="s">
        <v>39</v>
      </c>
      <c r="M179" s="155"/>
      <c r="O179" s="17" t="s">
        <v>200</v>
      </c>
      <c r="P179" s="22">
        <v>-71.858716666700005</v>
      </c>
      <c r="Q179" s="22">
        <v>2.8248166666999999</v>
      </c>
      <c r="R179" s="22"/>
      <c r="S179" s="22">
        <v>1426.5432195000001</v>
      </c>
      <c r="T179" s="22">
        <v>1325</v>
      </c>
      <c r="U179" s="23">
        <v>250</v>
      </c>
      <c r="V179" s="24" t="s">
        <v>2179</v>
      </c>
      <c r="W179" s="44" t="s">
        <v>2448</v>
      </c>
      <c r="X179" s="22">
        <f t="shared" si="7"/>
        <v>101.54321950000008</v>
      </c>
      <c r="Y179" s="22">
        <v>3.5</v>
      </c>
      <c r="Z179" s="22">
        <v>2.7</v>
      </c>
      <c r="AA179" s="17" t="s">
        <v>201</v>
      </c>
      <c r="AB179" s="26">
        <v>7972</v>
      </c>
      <c r="AC179" s="26">
        <v>401</v>
      </c>
      <c r="AD179" s="26">
        <v>797</v>
      </c>
      <c r="AE179" s="27">
        <v>160661</v>
      </c>
      <c r="AF179" s="27">
        <v>5991</v>
      </c>
      <c r="AG179" s="27">
        <v>1136468</v>
      </c>
      <c r="AH179" s="27">
        <v>56999</v>
      </c>
      <c r="AI179" s="17">
        <v>2016</v>
      </c>
      <c r="AJ179" s="17">
        <v>1</v>
      </c>
      <c r="AK179" s="17">
        <v>0</v>
      </c>
      <c r="AL179" s="17" t="s">
        <v>227</v>
      </c>
    </row>
    <row r="180" spans="1:38" ht="15.75" customHeight="1">
      <c r="A180" s="63" t="s">
        <v>229</v>
      </c>
      <c r="B180" s="19" t="s">
        <v>218</v>
      </c>
      <c r="C180" s="17">
        <v>22</v>
      </c>
      <c r="D180" s="20" t="s">
        <v>196</v>
      </c>
      <c r="E180" s="19">
        <v>0</v>
      </c>
      <c r="F180" s="19" t="s">
        <v>197</v>
      </c>
      <c r="G180" s="19" t="s">
        <v>198</v>
      </c>
      <c r="H180" s="19" t="s">
        <v>42</v>
      </c>
      <c r="I180" s="17" t="b">
        <v>0</v>
      </c>
      <c r="J180" s="17" t="s">
        <v>43</v>
      </c>
      <c r="K180" s="21" t="str">
        <f t="shared" si="3"/>
        <v>https://version2.ice-d.org/antarctica/sample/R04/</v>
      </c>
      <c r="L180" s="63" t="s">
        <v>39</v>
      </c>
      <c r="M180" s="155"/>
      <c r="O180" s="17" t="s">
        <v>200</v>
      </c>
      <c r="P180" s="22">
        <v>-71.858116666699999</v>
      </c>
      <c r="Q180" s="22">
        <v>2.8246333333</v>
      </c>
      <c r="R180" s="22"/>
      <c r="S180" s="22">
        <v>1417.1257756</v>
      </c>
      <c r="T180" s="22">
        <v>1325</v>
      </c>
      <c r="U180" s="23">
        <v>250</v>
      </c>
      <c r="V180" s="24" t="s">
        <v>2180</v>
      </c>
      <c r="W180" s="44" t="s">
        <v>2448</v>
      </c>
      <c r="X180" s="22">
        <f t="shared" si="7"/>
        <v>92.125775599999997</v>
      </c>
      <c r="Y180" s="22">
        <v>4</v>
      </c>
      <c r="Z180" s="22">
        <v>2.7</v>
      </c>
      <c r="AA180" s="17" t="s">
        <v>201</v>
      </c>
      <c r="AB180" s="26">
        <v>7916</v>
      </c>
      <c r="AC180" s="26">
        <v>378</v>
      </c>
      <c r="AD180" s="26">
        <v>602</v>
      </c>
      <c r="AE180" s="27">
        <v>158713</v>
      </c>
      <c r="AF180" s="27">
        <v>7569</v>
      </c>
      <c r="AG180" s="27">
        <v>1173783</v>
      </c>
      <c r="AH180" s="27">
        <v>63529</v>
      </c>
      <c r="AI180" s="17">
        <v>2016</v>
      </c>
      <c r="AJ180" s="17">
        <v>1</v>
      </c>
      <c r="AK180" s="17">
        <v>0</v>
      </c>
      <c r="AL180" s="17" t="s">
        <v>227</v>
      </c>
    </row>
    <row r="181" spans="1:38" ht="15.75" customHeight="1">
      <c r="A181" s="63" t="s">
        <v>229</v>
      </c>
      <c r="B181" s="19" t="s">
        <v>218</v>
      </c>
      <c r="C181" s="17">
        <v>22</v>
      </c>
      <c r="D181" s="20" t="s">
        <v>196</v>
      </c>
      <c r="E181" s="19">
        <v>0</v>
      </c>
      <c r="F181" s="19" t="s">
        <v>197</v>
      </c>
      <c r="G181" s="19" t="s">
        <v>198</v>
      </c>
      <c r="H181" s="19" t="s">
        <v>42</v>
      </c>
      <c r="I181" s="17" t="b">
        <v>0</v>
      </c>
      <c r="J181" s="17" t="s">
        <v>64</v>
      </c>
      <c r="K181" s="21" t="str">
        <f t="shared" si="3"/>
        <v>https://version2.ice-d.org/antarctica/sample/R04/</v>
      </c>
      <c r="L181" s="63" t="s">
        <v>39</v>
      </c>
      <c r="M181" s="155"/>
      <c r="O181" s="17" t="s">
        <v>200</v>
      </c>
      <c r="P181" s="22">
        <v>-71.858116666699999</v>
      </c>
      <c r="Q181" s="22">
        <v>2.8246333333</v>
      </c>
      <c r="R181" s="22"/>
      <c r="S181" s="22">
        <v>1417.1257756</v>
      </c>
      <c r="T181" s="22">
        <v>1325</v>
      </c>
      <c r="U181" s="23">
        <v>250</v>
      </c>
      <c r="V181" s="24" t="s">
        <v>2181</v>
      </c>
      <c r="W181" s="44" t="s">
        <v>2448</v>
      </c>
      <c r="X181" s="22">
        <f t="shared" si="7"/>
        <v>92.125775599999997</v>
      </c>
      <c r="Y181" s="22">
        <v>4</v>
      </c>
      <c r="Z181" s="22">
        <v>2.7</v>
      </c>
      <c r="AA181" s="17" t="s">
        <v>201</v>
      </c>
      <c r="AB181" s="26">
        <v>8333</v>
      </c>
      <c r="AC181" s="26">
        <v>453</v>
      </c>
      <c r="AD181" s="26">
        <v>850</v>
      </c>
      <c r="AE181" s="27">
        <v>158713</v>
      </c>
      <c r="AF181" s="27">
        <v>7569</v>
      </c>
      <c r="AG181" s="27">
        <v>1173783</v>
      </c>
      <c r="AH181" s="27">
        <v>63529</v>
      </c>
      <c r="AI181" s="17">
        <v>2016</v>
      </c>
      <c r="AJ181" s="17">
        <v>1</v>
      </c>
      <c r="AK181" s="17">
        <v>0</v>
      </c>
      <c r="AL181" s="17" t="s">
        <v>227</v>
      </c>
    </row>
    <row r="182" spans="1:38" ht="15.75" customHeight="1">
      <c r="A182" s="63" t="s">
        <v>230</v>
      </c>
      <c r="B182" s="19" t="s">
        <v>218</v>
      </c>
      <c r="C182" s="17">
        <v>22</v>
      </c>
      <c r="D182" s="20" t="s">
        <v>196</v>
      </c>
      <c r="E182" s="19">
        <v>0</v>
      </c>
      <c r="F182" s="19" t="s">
        <v>197</v>
      </c>
      <c r="G182" s="19" t="s">
        <v>198</v>
      </c>
      <c r="H182" s="19" t="s">
        <v>42</v>
      </c>
      <c r="I182" s="17" t="b">
        <v>0</v>
      </c>
      <c r="J182" s="17" t="s">
        <v>43</v>
      </c>
      <c r="K182" s="21" t="str">
        <f t="shared" si="3"/>
        <v>https://version2.ice-d.org/antarctica/sample/R05/</v>
      </c>
      <c r="L182" s="63" t="s">
        <v>39</v>
      </c>
      <c r="M182" s="155"/>
      <c r="O182" s="17" t="s">
        <v>200</v>
      </c>
      <c r="P182" s="22">
        <v>-71.857433333299994</v>
      </c>
      <c r="Q182" s="22">
        <v>2.8243833333000001</v>
      </c>
      <c r="R182" s="22"/>
      <c r="S182" s="22">
        <v>1406.9087049</v>
      </c>
      <c r="T182" s="22">
        <v>1325</v>
      </c>
      <c r="U182" s="23">
        <v>250</v>
      </c>
      <c r="V182" s="24" t="s">
        <v>2182</v>
      </c>
      <c r="W182" s="44" t="s">
        <v>2448</v>
      </c>
      <c r="X182" s="22">
        <f t="shared" si="7"/>
        <v>81.908704899999975</v>
      </c>
      <c r="Y182" s="22">
        <v>3.5</v>
      </c>
      <c r="Z182" s="22">
        <v>2.7</v>
      </c>
      <c r="AA182" s="17" t="s">
        <v>201</v>
      </c>
      <c r="AB182" s="26">
        <v>7219</v>
      </c>
      <c r="AC182" s="26">
        <v>375</v>
      </c>
      <c r="AD182" s="26">
        <v>568</v>
      </c>
      <c r="AE182" s="27">
        <v>143310</v>
      </c>
      <c r="AF182" s="27">
        <v>7428</v>
      </c>
      <c r="AG182" s="27">
        <v>1152972</v>
      </c>
      <c r="AH182" s="27">
        <v>60445</v>
      </c>
      <c r="AI182" s="17">
        <v>2016</v>
      </c>
      <c r="AJ182" s="17">
        <v>1</v>
      </c>
      <c r="AK182" s="17">
        <v>0</v>
      </c>
      <c r="AL182" s="17" t="s">
        <v>227</v>
      </c>
    </row>
    <row r="183" spans="1:38" ht="15.75" customHeight="1">
      <c r="A183" s="63" t="s">
        <v>230</v>
      </c>
      <c r="B183" s="19" t="s">
        <v>218</v>
      </c>
      <c r="C183" s="17">
        <v>22</v>
      </c>
      <c r="D183" s="20" t="s">
        <v>196</v>
      </c>
      <c r="E183" s="19">
        <v>0</v>
      </c>
      <c r="F183" s="19" t="s">
        <v>197</v>
      </c>
      <c r="G183" s="19" t="s">
        <v>198</v>
      </c>
      <c r="H183" s="19" t="s">
        <v>42</v>
      </c>
      <c r="I183" s="17" t="b">
        <v>0</v>
      </c>
      <c r="J183" s="17" t="s">
        <v>64</v>
      </c>
      <c r="K183" s="21" t="str">
        <f t="shared" si="3"/>
        <v>https://version2.ice-d.org/antarctica/sample/R05/</v>
      </c>
      <c r="L183" s="63" t="s">
        <v>39</v>
      </c>
      <c r="M183" s="155"/>
      <c r="O183" s="17" t="s">
        <v>200</v>
      </c>
      <c r="P183" s="22">
        <v>-71.857433333299994</v>
      </c>
      <c r="Q183" s="22">
        <v>2.8243833333000001</v>
      </c>
      <c r="R183" s="22"/>
      <c r="S183" s="22">
        <v>1406.9087049</v>
      </c>
      <c r="T183" s="22">
        <v>1325</v>
      </c>
      <c r="U183" s="23">
        <v>250</v>
      </c>
      <c r="V183" s="24" t="s">
        <v>2183</v>
      </c>
      <c r="W183" s="44" t="s">
        <v>2448</v>
      </c>
      <c r="X183" s="22">
        <f t="shared" si="7"/>
        <v>81.908704899999975</v>
      </c>
      <c r="Y183" s="22">
        <v>3.5</v>
      </c>
      <c r="Z183" s="22">
        <v>2.7</v>
      </c>
      <c r="AA183" s="17" t="s">
        <v>201</v>
      </c>
      <c r="AB183" s="26">
        <v>8221</v>
      </c>
      <c r="AC183" s="26">
        <v>433</v>
      </c>
      <c r="AD183" s="26">
        <v>831</v>
      </c>
      <c r="AE183" s="27">
        <v>143310</v>
      </c>
      <c r="AF183" s="27">
        <v>7428</v>
      </c>
      <c r="AG183" s="27">
        <v>1152972</v>
      </c>
      <c r="AH183" s="27">
        <v>60445</v>
      </c>
      <c r="AI183" s="17">
        <v>2016</v>
      </c>
      <c r="AJ183" s="17">
        <v>1</v>
      </c>
      <c r="AK183" s="17">
        <v>0</v>
      </c>
      <c r="AL183" s="17" t="s">
        <v>227</v>
      </c>
    </row>
    <row r="184" spans="1:38" ht="15.75" customHeight="1">
      <c r="A184" s="63" t="s">
        <v>231</v>
      </c>
      <c r="B184" s="19" t="s">
        <v>218</v>
      </c>
      <c r="C184" s="17">
        <v>22</v>
      </c>
      <c r="D184" s="20" t="s">
        <v>196</v>
      </c>
      <c r="E184" s="19">
        <v>0</v>
      </c>
      <c r="F184" s="19" t="s">
        <v>197</v>
      </c>
      <c r="G184" s="19" t="s">
        <v>198</v>
      </c>
      <c r="H184" s="19" t="s">
        <v>42</v>
      </c>
      <c r="I184" s="17" t="b">
        <v>0</v>
      </c>
      <c r="J184" s="17" t="s">
        <v>64</v>
      </c>
      <c r="K184" s="21" t="str">
        <f t="shared" si="3"/>
        <v>https://version2.ice-d.org/antarctica/sample/R07/</v>
      </c>
      <c r="L184" s="63" t="s">
        <v>39</v>
      </c>
      <c r="M184" s="155"/>
      <c r="O184" s="17" t="s">
        <v>200</v>
      </c>
      <c r="P184" s="22">
        <v>-71.855383333299997</v>
      </c>
      <c r="Q184" s="22">
        <v>2.8211166667000001</v>
      </c>
      <c r="R184" s="22"/>
      <c r="S184" s="22">
        <v>1354.1295657999999</v>
      </c>
      <c r="T184" s="22">
        <v>1325</v>
      </c>
      <c r="U184" s="23">
        <v>250</v>
      </c>
      <c r="V184" s="24" t="s">
        <v>2184</v>
      </c>
      <c r="W184" s="44" t="s">
        <v>2448</v>
      </c>
      <c r="X184" s="22">
        <f t="shared" si="7"/>
        <v>29.129565799999909</v>
      </c>
      <c r="Y184" s="22">
        <v>3</v>
      </c>
      <c r="Z184" s="22">
        <v>2.7</v>
      </c>
      <c r="AA184" s="17" t="s">
        <v>201</v>
      </c>
      <c r="AB184" s="26">
        <v>6381</v>
      </c>
      <c r="AC184" s="26">
        <v>410</v>
      </c>
      <c r="AD184" s="26">
        <v>686</v>
      </c>
      <c r="AE184" s="27">
        <v>122844</v>
      </c>
      <c r="AF184" s="27">
        <v>5373</v>
      </c>
      <c r="AG184" s="27">
        <v>851774</v>
      </c>
      <c r="AH184" s="27">
        <v>54553</v>
      </c>
      <c r="AI184" s="17">
        <v>2016</v>
      </c>
      <c r="AJ184" s="17">
        <v>1</v>
      </c>
      <c r="AK184" s="17">
        <v>0</v>
      </c>
      <c r="AL184" s="17" t="s">
        <v>227</v>
      </c>
    </row>
    <row r="185" spans="1:38" ht="15.75" customHeight="1">
      <c r="A185" s="63" t="s">
        <v>231</v>
      </c>
      <c r="B185" s="19" t="s">
        <v>218</v>
      </c>
      <c r="C185" s="17">
        <v>22</v>
      </c>
      <c r="D185" s="20" t="s">
        <v>196</v>
      </c>
      <c r="E185" s="19">
        <v>0</v>
      </c>
      <c r="F185" s="19" t="s">
        <v>197</v>
      </c>
      <c r="G185" s="19" t="s">
        <v>198</v>
      </c>
      <c r="H185" s="19" t="s">
        <v>42</v>
      </c>
      <c r="I185" s="17" t="b">
        <v>0</v>
      </c>
      <c r="J185" s="17" t="s">
        <v>43</v>
      </c>
      <c r="K185" s="21" t="str">
        <f t="shared" si="3"/>
        <v>https://version2.ice-d.org/antarctica/sample/R07/</v>
      </c>
      <c r="L185" s="63" t="s">
        <v>39</v>
      </c>
      <c r="M185" s="155"/>
      <c r="O185" s="17" t="s">
        <v>200</v>
      </c>
      <c r="P185" s="22">
        <v>-71.855383333299997</v>
      </c>
      <c r="Q185" s="22">
        <v>2.8211166667000001</v>
      </c>
      <c r="R185" s="22"/>
      <c r="S185" s="22">
        <v>1354.1295657999999</v>
      </c>
      <c r="T185" s="22">
        <v>1325</v>
      </c>
      <c r="U185" s="23">
        <v>250</v>
      </c>
      <c r="V185" s="24" t="s">
        <v>2185</v>
      </c>
      <c r="W185" s="44" t="s">
        <v>2448</v>
      </c>
      <c r="X185" s="22">
        <f t="shared" si="7"/>
        <v>29.129565799999909</v>
      </c>
      <c r="Y185" s="22">
        <v>3</v>
      </c>
      <c r="Z185" s="22">
        <v>2.7</v>
      </c>
      <c r="AA185" s="17" t="s">
        <v>201</v>
      </c>
      <c r="AB185" s="26">
        <v>6469</v>
      </c>
      <c r="AC185" s="26">
        <v>283</v>
      </c>
      <c r="AD185" s="26">
        <v>476</v>
      </c>
      <c r="AE185" s="27">
        <v>122844</v>
      </c>
      <c r="AF185" s="27">
        <v>5373</v>
      </c>
      <c r="AG185" s="27">
        <v>851774</v>
      </c>
      <c r="AH185" s="27">
        <v>54553</v>
      </c>
      <c r="AI185" s="17">
        <v>2016</v>
      </c>
      <c r="AJ185" s="17">
        <v>1</v>
      </c>
      <c r="AK185" s="17">
        <v>0</v>
      </c>
      <c r="AL185" s="17" t="s">
        <v>227</v>
      </c>
    </row>
    <row r="186" spans="1:38" ht="15.75" customHeight="1">
      <c r="A186" s="63" t="s">
        <v>232</v>
      </c>
      <c r="B186" s="19" t="s">
        <v>218</v>
      </c>
      <c r="C186" s="17">
        <v>22</v>
      </c>
      <c r="D186" s="20" t="s">
        <v>196</v>
      </c>
      <c r="E186" s="19">
        <v>0</v>
      </c>
      <c r="F186" s="19" t="s">
        <v>197</v>
      </c>
      <c r="G186" s="19" t="s">
        <v>198</v>
      </c>
      <c r="H186" s="19" t="s">
        <v>42</v>
      </c>
      <c r="I186" s="17" t="b">
        <v>0</v>
      </c>
      <c r="J186" s="17" t="s">
        <v>43</v>
      </c>
      <c r="K186" s="21" t="str">
        <f t="shared" si="3"/>
        <v>https://version2.ice-d.org/antarctica/sample/R08/</v>
      </c>
      <c r="L186" s="63" t="s">
        <v>39</v>
      </c>
      <c r="M186" s="155"/>
      <c r="O186" s="17" t="s">
        <v>200</v>
      </c>
      <c r="P186" s="22">
        <v>-71.855199999999996</v>
      </c>
      <c r="Q186" s="22">
        <v>2.8208666667000002</v>
      </c>
      <c r="R186" s="22"/>
      <c r="S186" s="22">
        <v>1346.9805414</v>
      </c>
      <c r="T186" s="22">
        <v>1325</v>
      </c>
      <c r="U186" s="23">
        <v>250</v>
      </c>
      <c r="V186" s="24" t="s">
        <v>2186</v>
      </c>
      <c r="W186" s="44" t="s">
        <v>2448</v>
      </c>
      <c r="X186" s="22">
        <f t="shared" si="7"/>
        <v>21.980541399999993</v>
      </c>
      <c r="Y186" s="22">
        <v>4</v>
      </c>
      <c r="Z186" s="22">
        <v>2.7</v>
      </c>
      <c r="AA186" s="17" t="s">
        <v>201</v>
      </c>
      <c r="AB186" s="26">
        <v>6865</v>
      </c>
      <c r="AC186" s="26">
        <v>280</v>
      </c>
      <c r="AD186" s="26">
        <v>493</v>
      </c>
      <c r="AE186" s="27">
        <v>128680</v>
      </c>
      <c r="AF186" s="27">
        <v>5235</v>
      </c>
      <c r="AG186" s="27">
        <v>937404</v>
      </c>
      <c r="AH186" s="27">
        <v>61470</v>
      </c>
      <c r="AI186" s="17">
        <v>2016</v>
      </c>
      <c r="AJ186" s="17">
        <v>1</v>
      </c>
      <c r="AK186" s="17">
        <v>0</v>
      </c>
      <c r="AL186" s="17" t="s">
        <v>227</v>
      </c>
    </row>
    <row r="187" spans="1:38" ht="15.75" customHeight="1">
      <c r="A187" s="63" t="s">
        <v>232</v>
      </c>
      <c r="B187" s="19" t="s">
        <v>218</v>
      </c>
      <c r="C187" s="17">
        <v>22</v>
      </c>
      <c r="D187" s="20" t="s">
        <v>196</v>
      </c>
      <c r="E187" s="19">
        <v>0</v>
      </c>
      <c r="F187" s="19" t="s">
        <v>197</v>
      </c>
      <c r="G187" s="19" t="s">
        <v>198</v>
      </c>
      <c r="H187" s="19" t="s">
        <v>42</v>
      </c>
      <c r="I187" s="17" t="b">
        <v>0</v>
      </c>
      <c r="J187" s="17" t="s">
        <v>64</v>
      </c>
      <c r="K187" s="21" t="str">
        <f t="shared" si="3"/>
        <v>https://version2.ice-d.org/antarctica/sample/R08/</v>
      </c>
      <c r="L187" s="63" t="s">
        <v>39</v>
      </c>
      <c r="M187" s="155"/>
      <c r="O187" s="17" t="s">
        <v>200</v>
      </c>
      <c r="P187" s="22">
        <v>-71.855199999999996</v>
      </c>
      <c r="Q187" s="22">
        <v>2.8208666667000002</v>
      </c>
      <c r="R187" s="22"/>
      <c r="S187" s="22">
        <v>1346.9805414</v>
      </c>
      <c r="T187" s="22">
        <v>1325</v>
      </c>
      <c r="U187" s="23">
        <v>250</v>
      </c>
      <c r="V187" s="24" t="s">
        <v>2187</v>
      </c>
      <c r="W187" s="44" t="s">
        <v>2448</v>
      </c>
      <c r="X187" s="22">
        <f t="shared" si="7"/>
        <v>21.980541399999993</v>
      </c>
      <c r="Y187" s="22">
        <v>4</v>
      </c>
      <c r="Z187" s="22">
        <v>2.7</v>
      </c>
      <c r="AA187" s="17" t="s">
        <v>201</v>
      </c>
      <c r="AB187" s="26">
        <v>7107</v>
      </c>
      <c r="AC187" s="26">
        <v>468</v>
      </c>
      <c r="AD187" s="26">
        <v>771</v>
      </c>
      <c r="AE187" s="27">
        <v>128680</v>
      </c>
      <c r="AF187" s="27">
        <v>5235</v>
      </c>
      <c r="AG187" s="27">
        <v>937404</v>
      </c>
      <c r="AH187" s="27">
        <v>61470</v>
      </c>
      <c r="AI187" s="17">
        <v>2016</v>
      </c>
      <c r="AJ187" s="17">
        <v>1</v>
      </c>
      <c r="AK187" s="17">
        <v>0</v>
      </c>
      <c r="AL187" s="17" t="s">
        <v>227</v>
      </c>
    </row>
    <row r="188" spans="1:38" ht="15.75" customHeight="1">
      <c r="A188" s="47" t="s">
        <v>233</v>
      </c>
      <c r="B188" s="19" t="s">
        <v>234</v>
      </c>
      <c r="C188" s="17">
        <v>23</v>
      </c>
      <c r="D188" s="20" t="s">
        <v>196</v>
      </c>
      <c r="E188" s="19">
        <v>0</v>
      </c>
      <c r="F188" s="19" t="s">
        <v>235</v>
      </c>
      <c r="G188" s="19" t="s">
        <v>236</v>
      </c>
      <c r="H188" s="19" t="s">
        <v>42</v>
      </c>
      <c r="I188" s="17" t="b">
        <v>0</v>
      </c>
      <c r="J188" s="17" t="s">
        <v>64</v>
      </c>
      <c r="K188" s="21" t="str">
        <f>CONCATENATE("https://version2.ice-d.org/antarctica/sample/", A188, "/")</f>
        <v>https://version2.ice-d.org/antarctica/sample/FM-Hend-14-3/</v>
      </c>
      <c r="L188" s="47" t="s">
        <v>39</v>
      </c>
      <c r="M188" s="181" t="s">
        <v>44</v>
      </c>
      <c r="O188" s="17" t="s">
        <v>237</v>
      </c>
      <c r="P188" s="22">
        <v>-67.689800000000005</v>
      </c>
      <c r="Q188" s="22">
        <v>63.016689999999997</v>
      </c>
      <c r="R188" s="22"/>
      <c r="S188" s="22">
        <v>410</v>
      </c>
      <c r="T188" s="17">
        <v>400</v>
      </c>
      <c r="U188" s="23">
        <v>400</v>
      </c>
      <c r="V188" s="24" t="s">
        <v>2188</v>
      </c>
      <c r="W188" s="44" t="s">
        <v>2449</v>
      </c>
      <c r="X188" s="22">
        <f t="shared" si="7"/>
        <v>10</v>
      </c>
      <c r="Y188" s="22">
        <v>5</v>
      </c>
      <c r="Z188" s="22">
        <v>2.7</v>
      </c>
      <c r="AA188" s="17" t="s">
        <v>73</v>
      </c>
      <c r="AB188" s="26">
        <v>6824</v>
      </c>
      <c r="AC188" s="26">
        <v>1185</v>
      </c>
      <c r="AD188" s="26">
        <v>1323</v>
      </c>
      <c r="AE188" s="27">
        <v>58900</v>
      </c>
      <c r="AF188" s="27">
        <v>7421</v>
      </c>
      <c r="AG188" s="27">
        <v>380700</v>
      </c>
      <c r="AH188" s="27">
        <v>65861</v>
      </c>
      <c r="AI188" s="17">
        <v>2015</v>
      </c>
      <c r="AJ188" s="17">
        <v>0</v>
      </c>
      <c r="AK188" s="17">
        <v>0</v>
      </c>
    </row>
    <row r="189" spans="1:38" ht="15.75" customHeight="1">
      <c r="A189" s="47" t="s">
        <v>233</v>
      </c>
      <c r="B189" s="19" t="s">
        <v>234</v>
      </c>
      <c r="C189" s="17">
        <v>23</v>
      </c>
      <c r="D189" s="20" t="s">
        <v>196</v>
      </c>
      <c r="E189" s="19">
        <v>0</v>
      </c>
      <c r="F189" s="19" t="s">
        <v>235</v>
      </c>
      <c r="G189" s="19" t="s">
        <v>236</v>
      </c>
      <c r="H189" s="19" t="s">
        <v>42</v>
      </c>
      <c r="I189" s="17" t="b">
        <v>0</v>
      </c>
      <c r="J189" s="17" t="s">
        <v>43</v>
      </c>
      <c r="K189" s="21" t="str">
        <f t="shared" si="3"/>
        <v>https://version2.ice-d.org/antarctica/sample/FM-Hend-14-3/</v>
      </c>
      <c r="L189" s="47" t="s">
        <v>39</v>
      </c>
      <c r="M189" s="155"/>
      <c r="O189" s="17" t="s">
        <v>237</v>
      </c>
      <c r="P189" s="22">
        <v>-67.689800000000005</v>
      </c>
      <c r="Q189" s="22">
        <v>63.016689999999997</v>
      </c>
      <c r="R189" s="22"/>
      <c r="S189" s="22">
        <v>410</v>
      </c>
      <c r="T189" s="17">
        <v>400</v>
      </c>
      <c r="U189" s="23">
        <v>400</v>
      </c>
      <c r="V189" s="24" t="s">
        <v>2189</v>
      </c>
      <c r="W189" s="44" t="s">
        <v>2449</v>
      </c>
      <c r="X189" s="22">
        <f t="shared" si="7"/>
        <v>10</v>
      </c>
      <c r="Y189" s="22">
        <v>5</v>
      </c>
      <c r="Z189" s="22">
        <v>2.7</v>
      </c>
      <c r="AA189" s="17" t="s">
        <v>73</v>
      </c>
      <c r="AB189" s="26">
        <v>6933</v>
      </c>
      <c r="AC189" s="26">
        <v>875</v>
      </c>
      <c r="AD189" s="26">
        <v>966</v>
      </c>
      <c r="AE189" s="27">
        <v>58900</v>
      </c>
      <c r="AF189" s="27">
        <v>7421</v>
      </c>
      <c r="AG189" s="27">
        <v>380700</v>
      </c>
      <c r="AH189" s="27">
        <v>65861</v>
      </c>
      <c r="AI189" s="17">
        <v>2015</v>
      </c>
      <c r="AJ189" s="17">
        <v>0</v>
      </c>
      <c r="AK189" s="17">
        <v>0</v>
      </c>
    </row>
    <row r="190" spans="1:38" ht="15.75" customHeight="1">
      <c r="A190" s="47" t="s">
        <v>238</v>
      </c>
      <c r="B190" s="19" t="s">
        <v>234</v>
      </c>
      <c r="C190" s="17">
        <v>23</v>
      </c>
      <c r="D190" s="20" t="s">
        <v>196</v>
      </c>
      <c r="E190" s="19">
        <v>0</v>
      </c>
      <c r="F190" s="19" t="s">
        <v>235</v>
      </c>
      <c r="G190" s="19" t="s">
        <v>236</v>
      </c>
      <c r="H190" s="19" t="s">
        <v>42</v>
      </c>
      <c r="I190" s="17" t="b">
        <v>0</v>
      </c>
      <c r="J190" s="17" t="s">
        <v>64</v>
      </c>
      <c r="K190" s="21" t="str">
        <f t="shared" si="3"/>
        <v>https://version2.ice-d.org/antarctica/sample/FM-Hend-27-2/</v>
      </c>
      <c r="L190" s="47" t="s">
        <v>39</v>
      </c>
      <c r="M190" s="155"/>
      <c r="O190" s="17" t="s">
        <v>237</v>
      </c>
      <c r="P190" s="22">
        <v>-67.693479999999994</v>
      </c>
      <c r="Q190" s="22">
        <v>63.044220000000003</v>
      </c>
      <c r="R190" s="22"/>
      <c r="S190" s="22">
        <v>582</v>
      </c>
      <c r="T190" s="17">
        <v>340</v>
      </c>
      <c r="U190" s="23">
        <v>400</v>
      </c>
      <c r="V190" s="24" t="s">
        <v>2190</v>
      </c>
      <c r="W190" s="44" t="s">
        <v>2449</v>
      </c>
      <c r="X190" s="22">
        <f t="shared" si="7"/>
        <v>242</v>
      </c>
      <c r="Y190" s="22">
        <v>5</v>
      </c>
      <c r="Z190" s="22">
        <v>2.7</v>
      </c>
      <c r="AA190" s="17" t="s">
        <v>73</v>
      </c>
      <c r="AB190" s="26">
        <v>8437</v>
      </c>
      <c r="AC190" s="26">
        <v>1169</v>
      </c>
      <c r="AD190" s="26">
        <v>1378</v>
      </c>
      <c r="AE190" s="27">
        <v>95200</v>
      </c>
      <c r="AF190" s="27">
        <v>5141</v>
      </c>
      <c r="AG190" s="27">
        <v>548500</v>
      </c>
      <c r="AH190" s="27">
        <v>75693</v>
      </c>
      <c r="AI190" s="17">
        <v>2015</v>
      </c>
      <c r="AJ190" s="17">
        <v>0</v>
      </c>
      <c r="AK190" s="17">
        <v>0</v>
      </c>
    </row>
    <row r="191" spans="1:38" ht="15.75" customHeight="1">
      <c r="A191" s="47" t="s">
        <v>238</v>
      </c>
      <c r="B191" s="19" t="s">
        <v>234</v>
      </c>
      <c r="C191" s="17">
        <v>23</v>
      </c>
      <c r="D191" s="20" t="s">
        <v>196</v>
      </c>
      <c r="E191" s="19">
        <v>0</v>
      </c>
      <c r="F191" s="19" t="s">
        <v>235</v>
      </c>
      <c r="G191" s="19" t="s">
        <v>236</v>
      </c>
      <c r="H191" s="19" t="s">
        <v>42</v>
      </c>
      <c r="I191" s="17" t="b">
        <v>0</v>
      </c>
      <c r="J191" s="17" t="s">
        <v>43</v>
      </c>
      <c r="K191" s="21" t="str">
        <f t="shared" si="3"/>
        <v>https://version2.ice-d.org/antarctica/sample/FM-Hend-27-2/</v>
      </c>
      <c r="L191" s="47" t="s">
        <v>39</v>
      </c>
      <c r="M191" s="155"/>
      <c r="O191" s="17" t="s">
        <v>237</v>
      </c>
      <c r="P191" s="22">
        <v>-67.693479999999994</v>
      </c>
      <c r="Q191" s="22">
        <v>63.044220000000003</v>
      </c>
      <c r="R191" s="22"/>
      <c r="S191" s="22">
        <v>582</v>
      </c>
      <c r="T191" s="17">
        <v>340</v>
      </c>
      <c r="U191" s="23">
        <v>400</v>
      </c>
      <c r="V191" s="24" t="s">
        <v>2191</v>
      </c>
      <c r="W191" s="44" t="s">
        <v>2449</v>
      </c>
      <c r="X191" s="22">
        <f t="shared" si="7"/>
        <v>242</v>
      </c>
      <c r="Y191" s="22">
        <v>5</v>
      </c>
      <c r="Z191" s="22">
        <v>2.7</v>
      </c>
      <c r="AA191" s="17" t="s">
        <v>73</v>
      </c>
      <c r="AB191" s="26">
        <v>9614</v>
      </c>
      <c r="AC191" s="26">
        <v>520</v>
      </c>
      <c r="AD191" s="26">
        <v>771</v>
      </c>
      <c r="AE191" s="27">
        <v>95200</v>
      </c>
      <c r="AF191" s="27">
        <v>5141</v>
      </c>
      <c r="AG191" s="27">
        <v>548500</v>
      </c>
      <c r="AH191" s="27">
        <v>75693</v>
      </c>
      <c r="AI191" s="17">
        <v>2015</v>
      </c>
      <c r="AJ191" s="17">
        <v>0</v>
      </c>
      <c r="AK191" s="17">
        <v>0</v>
      </c>
    </row>
    <row r="192" spans="1:38" ht="15.75" customHeight="1">
      <c r="A192" s="48" t="s">
        <v>239</v>
      </c>
      <c r="B192" s="19" t="s">
        <v>240</v>
      </c>
      <c r="C192" s="17">
        <v>24</v>
      </c>
      <c r="D192" s="20" t="s">
        <v>196</v>
      </c>
      <c r="E192" s="19">
        <v>0</v>
      </c>
      <c r="F192" s="19" t="s">
        <v>235</v>
      </c>
      <c r="G192" s="19" t="s">
        <v>236</v>
      </c>
      <c r="H192" s="19" t="s">
        <v>42</v>
      </c>
      <c r="I192" s="17" t="b">
        <v>0</v>
      </c>
      <c r="K192" s="21" t="str">
        <f t="shared" si="3"/>
        <v>https://version2.ice-d.org/antarctica/sample/FM-NMas-1-2/</v>
      </c>
      <c r="L192" s="48" t="s">
        <v>39</v>
      </c>
      <c r="M192" s="205" t="s">
        <v>44</v>
      </c>
      <c r="O192" s="17" t="s">
        <v>237</v>
      </c>
      <c r="P192" s="22">
        <v>-67.788600000000002</v>
      </c>
      <c r="Q192" s="22">
        <v>62.799579999999999</v>
      </c>
      <c r="R192" s="22"/>
      <c r="S192" s="22">
        <v>901</v>
      </c>
      <c r="T192" s="17">
        <v>620</v>
      </c>
      <c r="U192" s="23">
        <v>400</v>
      </c>
      <c r="V192" s="24" t="s">
        <v>2192</v>
      </c>
      <c r="W192" s="44" t="s">
        <v>2449</v>
      </c>
      <c r="X192" s="22">
        <f t="shared" si="7"/>
        <v>281</v>
      </c>
      <c r="Y192" s="22">
        <v>5</v>
      </c>
      <c r="Z192" s="22">
        <v>2.7</v>
      </c>
      <c r="AA192" s="17" t="s">
        <v>73</v>
      </c>
      <c r="AB192" s="26">
        <v>6481</v>
      </c>
      <c r="AC192" s="26">
        <v>1008</v>
      </c>
      <c r="AD192" s="26">
        <v>1153</v>
      </c>
      <c r="AE192" s="27">
        <v>98100</v>
      </c>
      <c r="AF192" s="27">
        <v>4022</v>
      </c>
      <c r="AG192" s="27">
        <v>554500</v>
      </c>
      <c r="AH192" s="27">
        <v>85947</v>
      </c>
      <c r="AI192" s="17">
        <v>2015</v>
      </c>
      <c r="AJ192" s="17">
        <v>0</v>
      </c>
      <c r="AK192" s="17">
        <v>1</v>
      </c>
      <c r="AL192" s="17" t="s">
        <v>241</v>
      </c>
    </row>
    <row r="193" spans="1:38" ht="15.75" customHeight="1">
      <c r="A193" s="48" t="s">
        <v>239</v>
      </c>
      <c r="B193" s="19" t="s">
        <v>240</v>
      </c>
      <c r="C193" s="17">
        <v>24</v>
      </c>
      <c r="D193" s="20" t="s">
        <v>196</v>
      </c>
      <c r="E193" s="19">
        <v>0</v>
      </c>
      <c r="F193" s="19" t="s">
        <v>235</v>
      </c>
      <c r="G193" s="19" t="s">
        <v>236</v>
      </c>
      <c r="H193" s="19" t="s">
        <v>42</v>
      </c>
      <c r="I193" s="17" t="b">
        <v>0</v>
      </c>
      <c r="K193" s="21" t="str">
        <f t="shared" si="3"/>
        <v>https://version2.ice-d.org/antarctica/sample/FM-NMas-1-2/</v>
      </c>
      <c r="L193" s="48" t="s">
        <v>39</v>
      </c>
      <c r="M193" s="155"/>
      <c r="O193" s="17" t="s">
        <v>237</v>
      </c>
      <c r="P193" s="22">
        <v>-67.788600000000002</v>
      </c>
      <c r="Q193" s="22">
        <v>62.799579999999999</v>
      </c>
      <c r="R193" s="22"/>
      <c r="S193" s="22">
        <v>901</v>
      </c>
      <c r="T193" s="17">
        <v>620</v>
      </c>
      <c r="U193" s="23">
        <v>400</v>
      </c>
      <c r="V193" s="24" t="s">
        <v>2193</v>
      </c>
      <c r="W193" s="44" t="s">
        <v>2449</v>
      </c>
      <c r="X193" s="22">
        <f t="shared" si="7"/>
        <v>281</v>
      </c>
      <c r="Y193" s="22">
        <v>5</v>
      </c>
      <c r="Z193" s="22">
        <v>2.7</v>
      </c>
      <c r="AA193" s="17" t="s">
        <v>73</v>
      </c>
      <c r="AB193" s="26">
        <v>7450</v>
      </c>
      <c r="AC193" s="26">
        <v>306</v>
      </c>
      <c r="AD193" s="26">
        <v>536</v>
      </c>
      <c r="AE193" s="27">
        <v>98100</v>
      </c>
      <c r="AF193" s="27">
        <v>4022</v>
      </c>
      <c r="AG193" s="27">
        <v>554500</v>
      </c>
      <c r="AH193" s="27">
        <v>85947</v>
      </c>
      <c r="AI193" s="17">
        <v>2015</v>
      </c>
      <c r="AJ193" s="17">
        <v>0</v>
      </c>
      <c r="AK193" s="17">
        <v>1</v>
      </c>
      <c r="AL193" s="17" t="s">
        <v>241</v>
      </c>
    </row>
    <row r="194" spans="1:38" ht="15.75" customHeight="1">
      <c r="A194" s="48" t="s">
        <v>242</v>
      </c>
      <c r="B194" s="19" t="s">
        <v>240</v>
      </c>
      <c r="C194" s="17">
        <v>24</v>
      </c>
      <c r="D194" s="20" t="s">
        <v>196</v>
      </c>
      <c r="E194" s="19">
        <v>0</v>
      </c>
      <c r="F194" s="19" t="s">
        <v>235</v>
      </c>
      <c r="G194" s="19" t="s">
        <v>236</v>
      </c>
      <c r="H194" s="19" t="s">
        <v>42</v>
      </c>
      <c r="I194" s="17" t="b">
        <v>0</v>
      </c>
      <c r="K194" s="21" t="str">
        <f t="shared" si="3"/>
        <v>https://version2.ice-d.org/antarctica/sample/FM-NMas-23-6/</v>
      </c>
      <c r="L194" s="48" t="s">
        <v>39</v>
      </c>
      <c r="M194" s="155"/>
      <c r="O194" s="28" t="s">
        <v>243</v>
      </c>
      <c r="P194" s="22">
        <v>-67.782300000000006</v>
      </c>
      <c r="Q194" s="22">
        <v>62.801479999999998</v>
      </c>
      <c r="R194" s="22"/>
      <c r="S194" s="22">
        <v>642</v>
      </c>
      <c r="T194" s="17">
        <v>540</v>
      </c>
      <c r="U194" s="23">
        <v>400</v>
      </c>
      <c r="V194" s="24" t="s">
        <v>2194</v>
      </c>
      <c r="W194" s="44" t="s">
        <v>2449</v>
      </c>
      <c r="X194" s="22">
        <f t="shared" si="7"/>
        <v>102</v>
      </c>
      <c r="Y194" s="22">
        <v>5</v>
      </c>
      <c r="Z194" s="22">
        <v>2.7</v>
      </c>
      <c r="AA194" s="17" t="s">
        <v>73</v>
      </c>
      <c r="AB194" s="26">
        <v>5849</v>
      </c>
      <c r="AC194" s="26">
        <v>1026</v>
      </c>
      <c r="AD194" s="26">
        <v>1144</v>
      </c>
      <c r="AE194" s="27">
        <v>74600</v>
      </c>
      <c r="AF194" s="27">
        <v>2760</v>
      </c>
      <c r="AG194" s="27">
        <v>369900</v>
      </c>
      <c r="AH194" s="27">
        <v>64732</v>
      </c>
      <c r="AI194" s="17">
        <v>2015</v>
      </c>
      <c r="AJ194" s="17">
        <v>0</v>
      </c>
      <c r="AK194" s="17">
        <v>1</v>
      </c>
      <c r="AL194" s="17" t="s">
        <v>244</v>
      </c>
    </row>
    <row r="195" spans="1:38" ht="15.75" customHeight="1">
      <c r="A195" s="48" t="s">
        <v>242</v>
      </c>
      <c r="B195" s="19" t="s">
        <v>240</v>
      </c>
      <c r="C195" s="17">
        <v>24</v>
      </c>
      <c r="D195" s="20" t="s">
        <v>196</v>
      </c>
      <c r="E195" s="19">
        <v>0</v>
      </c>
      <c r="F195" s="19" t="s">
        <v>235</v>
      </c>
      <c r="G195" s="19" t="s">
        <v>236</v>
      </c>
      <c r="H195" s="19" t="s">
        <v>42</v>
      </c>
      <c r="I195" s="17" t="b">
        <v>0</v>
      </c>
      <c r="K195" s="21" t="str">
        <f t="shared" si="3"/>
        <v>https://version2.ice-d.org/antarctica/sample/FM-NMas-23-6/</v>
      </c>
      <c r="L195" s="48" t="s">
        <v>39</v>
      </c>
      <c r="M195" s="155"/>
      <c r="O195" s="28" t="s">
        <v>243</v>
      </c>
      <c r="P195" s="22">
        <v>-67.782300000000006</v>
      </c>
      <c r="Q195" s="22">
        <v>62.801479999999998</v>
      </c>
      <c r="R195" s="22"/>
      <c r="S195" s="22">
        <v>642</v>
      </c>
      <c r="T195" s="17">
        <v>540</v>
      </c>
      <c r="U195" s="23">
        <v>400</v>
      </c>
      <c r="V195" s="24" t="s">
        <v>2195</v>
      </c>
      <c r="W195" s="44" t="s">
        <v>2449</v>
      </c>
      <c r="X195" s="22">
        <f t="shared" si="7"/>
        <v>102</v>
      </c>
      <c r="Y195" s="22">
        <v>5</v>
      </c>
      <c r="Z195" s="22">
        <v>2.7</v>
      </c>
      <c r="AA195" s="17" t="s">
        <v>73</v>
      </c>
      <c r="AB195" s="26">
        <v>7669</v>
      </c>
      <c r="AC195" s="26">
        <v>284</v>
      </c>
      <c r="AD195" s="26">
        <v>535</v>
      </c>
      <c r="AE195" s="27">
        <v>74600</v>
      </c>
      <c r="AF195" s="27">
        <v>2760</v>
      </c>
      <c r="AG195" s="27">
        <v>369900</v>
      </c>
      <c r="AH195" s="27">
        <v>64732</v>
      </c>
      <c r="AI195" s="17">
        <v>2015</v>
      </c>
      <c r="AJ195" s="17">
        <v>0</v>
      </c>
      <c r="AK195" s="17">
        <v>1</v>
      </c>
      <c r="AL195" s="17" t="s">
        <v>244</v>
      </c>
    </row>
    <row r="196" spans="1:38" ht="15.75" customHeight="1">
      <c r="A196" s="48" t="s">
        <v>242</v>
      </c>
      <c r="B196" s="19" t="s">
        <v>240</v>
      </c>
      <c r="C196" s="17">
        <v>24</v>
      </c>
      <c r="D196" s="20" t="s">
        <v>196</v>
      </c>
      <c r="E196" s="19">
        <v>0</v>
      </c>
      <c r="F196" s="19" t="s">
        <v>235</v>
      </c>
      <c r="G196" s="19" t="s">
        <v>236</v>
      </c>
      <c r="H196" s="19" t="s">
        <v>42</v>
      </c>
      <c r="I196" s="17" t="b">
        <v>0</v>
      </c>
      <c r="K196" s="21" t="str">
        <f t="shared" si="3"/>
        <v>https://version2.ice-d.org/antarctica/sample/FM-NMas-23-6/</v>
      </c>
      <c r="L196" s="48" t="s">
        <v>39</v>
      </c>
      <c r="M196" s="155"/>
      <c r="O196" s="28" t="s">
        <v>243</v>
      </c>
      <c r="P196" s="22">
        <v>-67.782300000000006</v>
      </c>
      <c r="Q196" s="22">
        <v>62.801479999999998</v>
      </c>
      <c r="R196" s="22"/>
      <c r="S196" s="22">
        <v>642</v>
      </c>
      <c r="T196" s="17">
        <v>540</v>
      </c>
      <c r="U196" s="23">
        <v>400</v>
      </c>
      <c r="V196" s="24" t="s">
        <v>2196</v>
      </c>
      <c r="W196" s="44" t="s">
        <v>2449</v>
      </c>
      <c r="X196" s="22">
        <f t="shared" si="7"/>
        <v>102</v>
      </c>
      <c r="Y196" s="22">
        <v>5</v>
      </c>
      <c r="Z196" s="22">
        <v>2.7</v>
      </c>
      <c r="AA196" s="17" t="s">
        <v>73</v>
      </c>
      <c r="AB196" s="26">
        <v>10930</v>
      </c>
      <c r="AC196" s="26">
        <v>2210</v>
      </c>
      <c r="AD196" s="26">
        <v>2485</v>
      </c>
      <c r="AE196" s="27">
        <v>74600</v>
      </c>
      <c r="AF196" s="27">
        <v>2760</v>
      </c>
      <c r="AG196" s="27">
        <v>369900</v>
      </c>
      <c r="AH196" s="27">
        <v>64732</v>
      </c>
      <c r="AI196" s="17">
        <v>2015</v>
      </c>
      <c r="AJ196" s="17">
        <v>0</v>
      </c>
      <c r="AK196" s="17">
        <v>1</v>
      </c>
      <c r="AL196" s="17" t="s">
        <v>244</v>
      </c>
    </row>
    <row r="197" spans="1:38" ht="12.75" customHeight="1">
      <c r="A197" s="48" t="s">
        <v>245</v>
      </c>
      <c r="B197" s="19" t="s">
        <v>240</v>
      </c>
      <c r="C197" s="17">
        <v>24</v>
      </c>
      <c r="D197" s="20" t="s">
        <v>196</v>
      </c>
      <c r="E197" s="19">
        <v>0</v>
      </c>
      <c r="F197" s="19" t="s">
        <v>235</v>
      </c>
      <c r="G197" s="19" t="s">
        <v>236</v>
      </c>
      <c r="H197" s="19" t="s">
        <v>42</v>
      </c>
      <c r="I197" s="17" t="b">
        <v>0</v>
      </c>
      <c r="J197" s="17" t="s">
        <v>64</v>
      </c>
      <c r="K197" s="21" t="str">
        <f t="shared" si="3"/>
        <v>https://version2.ice-d.org/antarctica/sample/FM-NMas-18-3/</v>
      </c>
      <c r="L197" s="48" t="s">
        <v>39</v>
      </c>
      <c r="M197" s="155"/>
      <c r="O197" s="17" t="s">
        <v>237</v>
      </c>
      <c r="P197" s="22">
        <v>-67.779089999999997</v>
      </c>
      <c r="Q197" s="22">
        <v>62.829920000000001</v>
      </c>
      <c r="R197" s="22"/>
      <c r="S197" s="22">
        <v>786</v>
      </c>
      <c r="T197" s="17">
        <v>520</v>
      </c>
      <c r="U197" s="23">
        <v>400</v>
      </c>
      <c r="V197" s="24" t="s">
        <v>2197</v>
      </c>
      <c r="W197" s="44" t="s">
        <v>2449</v>
      </c>
      <c r="X197" s="22">
        <f t="shared" si="7"/>
        <v>266</v>
      </c>
      <c r="Y197" s="22">
        <v>5</v>
      </c>
      <c r="Z197" s="22">
        <v>2.7</v>
      </c>
      <c r="AA197" s="17" t="s">
        <v>73</v>
      </c>
      <c r="AB197" s="26">
        <v>10021</v>
      </c>
      <c r="AC197" s="26">
        <v>1400</v>
      </c>
      <c r="AD197" s="26">
        <v>1646</v>
      </c>
      <c r="AE197" s="27">
        <v>134200</v>
      </c>
      <c r="AF197" s="27">
        <v>3355</v>
      </c>
      <c r="AG197" s="27">
        <v>774600</v>
      </c>
      <c r="AH197" s="27">
        <v>107669</v>
      </c>
      <c r="AI197" s="17">
        <v>2015</v>
      </c>
      <c r="AJ197" s="17">
        <v>0</v>
      </c>
      <c r="AK197" s="17">
        <v>0</v>
      </c>
    </row>
    <row r="198" spans="1:38" ht="12.75" customHeight="1">
      <c r="A198" s="48" t="s">
        <v>245</v>
      </c>
      <c r="B198" s="19" t="s">
        <v>240</v>
      </c>
      <c r="C198" s="17">
        <v>24</v>
      </c>
      <c r="D198" s="20" t="s">
        <v>196</v>
      </c>
      <c r="E198" s="19">
        <v>0</v>
      </c>
      <c r="F198" s="19" t="s">
        <v>235</v>
      </c>
      <c r="G198" s="19" t="s">
        <v>236</v>
      </c>
      <c r="H198" s="19" t="s">
        <v>42</v>
      </c>
      <c r="I198" s="17" t="b">
        <v>0</v>
      </c>
      <c r="J198" s="17" t="s">
        <v>43</v>
      </c>
      <c r="K198" s="21" t="str">
        <f t="shared" si="3"/>
        <v>https://version2.ice-d.org/antarctica/sample/FM-NMas-18-3/</v>
      </c>
      <c r="L198" s="48" t="s">
        <v>39</v>
      </c>
      <c r="M198" s="155"/>
      <c r="O198" s="17" t="s">
        <v>237</v>
      </c>
      <c r="P198" s="22">
        <v>-67.779089999999997</v>
      </c>
      <c r="Q198" s="22">
        <v>62.829920000000001</v>
      </c>
      <c r="R198" s="22"/>
      <c r="S198" s="22">
        <v>786</v>
      </c>
      <c r="T198" s="17">
        <v>520</v>
      </c>
      <c r="U198" s="23">
        <v>400</v>
      </c>
      <c r="V198" s="24" t="s">
        <v>2198</v>
      </c>
      <c r="W198" s="44" t="s">
        <v>2449</v>
      </c>
      <c r="X198" s="22">
        <f t="shared" si="7"/>
        <v>266</v>
      </c>
      <c r="Y198" s="22">
        <v>5</v>
      </c>
      <c r="Z198" s="22">
        <v>2.7</v>
      </c>
      <c r="AA198" s="17" t="s">
        <v>73</v>
      </c>
      <c r="AB198" s="26">
        <v>11381</v>
      </c>
      <c r="AC198" s="26">
        <v>285</v>
      </c>
      <c r="AD198" s="26">
        <v>731</v>
      </c>
      <c r="AE198" s="27">
        <v>134200</v>
      </c>
      <c r="AF198" s="27">
        <v>3355</v>
      </c>
      <c r="AG198" s="27">
        <v>774600</v>
      </c>
      <c r="AH198" s="27">
        <v>107669</v>
      </c>
      <c r="AI198" s="17">
        <v>2015</v>
      </c>
      <c r="AJ198" s="17">
        <v>0</v>
      </c>
      <c r="AK198" s="17">
        <v>0</v>
      </c>
    </row>
    <row r="199" spans="1:38" ht="12.75" customHeight="1">
      <c r="A199" s="48" t="s">
        <v>246</v>
      </c>
      <c r="B199" s="19" t="s">
        <v>240</v>
      </c>
      <c r="C199" s="17">
        <v>24</v>
      </c>
      <c r="D199" s="20" t="s">
        <v>196</v>
      </c>
      <c r="E199" s="19">
        <v>0</v>
      </c>
      <c r="F199" s="19" t="s">
        <v>235</v>
      </c>
      <c r="G199" s="19" t="s">
        <v>236</v>
      </c>
      <c r="H199" s="19" t="s">
        <v>42</v>
      </c>
      <c r="I199" s="17" t="b">
        <v>0</v>
      </c>
      <c r="J199" s="17" t="s">
        <v>64</v>
      </c>
      <c r="K199" s="21" t="str">
        <f t="shared" si="3"/>
        <v>https://version2.ice-d.org/antarctica/sample/FM-NMas-20-7/</v>
      </c>
      <c r="L199" s="48" t="s">
        <v>39</v>
      </c>
      <c r="M199" s="155"/>
      <c r="O199" s="28" t="s">
        <v>243</v>
      </c>
      <c r="P199" s="22">
        <v>-67.785210000000006</v>
      </c>
      <c r="Q199" s="22">
        <v>62.782989999999998</v>
      </c>
      <c r="R199" s="22"/>
      <c r="S199" s="22">
        <v>635</v>
      </c>
      <c r="T199" s="17">
        <v>580</v>
      </c>
      <c r="U199" s="23">
        <v>400</v>
      </c>
      <c r="V199" s="24" t="s">
        <v>2199</v>
      </c>
      <c r="W199" s="44" t="s">
        <v>2449</v>
      </c>
      <c r="X199" s="22">
        <f t="shared" si="7"/>
        <v>55</v>
      </c>
      <c r="Y199" s="22">
        <v>5</v>
      </c>
      <c r="Z199" s="22">
        <v>2.7</v>
      </c>
      <c r="AA199" s="17" t="s">
        <v>73</v>
      </c>
      <c r="AB199" s="26">
        <v>9031</v>
      </c>
      <c r="AC199" s="26">
        <v>1315</v>
      </c>
      <c r="AD199" s="26">
        <v>1529</v>
      </c>
      <c r="AE199" s="27">
        <v>112300</v>
      </c>
      <c r="AF199" s="27">
        <v>3594</v>
      </c>
      <c r="AG199" s="27">
        <v>617100</v>
      </c>
      <c r="AH199" s="27">
        <v>89479</v>
      </c>
      <c r="AI199" s="17">
        <v>2015</v>
      </c>
      <c r="AJ199" s="17">
        <v>0</v>
      </c>
      <c r="AK199" s="17">
        <v>0</v>
      </c>
    </row>
    <row r="200" spans="1:38" ht="12.75" customHeight="1">
      <c r="A200" s="48" t="s">
        <v>246</v>
      </c>
      <c r="B200" s="19" t="s">
        <v>240</v>
      </c>
      <c r="C200" s="17">
        <v>24</v>
      </c>
      <c r="D200" s="20" t="s">
        <v>196</v>
      </c>
      <c r="E200" s="19">
        <v>0</v>
      </c>
      <c r="F200" s="19" t="s">
        <v>235</v>
      </c>
      <c r="G200" s="19" t="s">
        <v>236</v>
      </c>
      <c r="H200" s="19" t="s">
        <v>42</v>
      </c>
      <c r="I200" s="17" t="b">
        <v>0</v>
      </c>
      <c r="J200" s="17" t="s">
        <v>43</v>
      </c>
      <c r="K200" s="21" t="str">
        <f t="shared" si="3"/>
        <v>https://version2.ice-d.org/antarctica/sample/FM-NMas-20-7/</v>
      </c>
      <c r="L200" s="48" t="s">
        <v>39</v>
      </c>
      <c r="M200" s="155"/>
      <c r="O200" s="28" t="s">
        <v>243</v>
      </c>
      <c r="P200" s="22">
        <v>-67.785210000000006</v>
      </c>
      <c r="Q200" s="22">
        <v>62.782989999999998</v>
      </c>
      <c r="R200" s="22"/>
      <c r="S200" s="22">
        <v>635</v>
      </c>
      <c r="T200" s="17">
        <v>580</v>
      </c>
      <c r="U200" s="23">
        <v>400</v>
      </c>
      <c r="V200" s="24" t="s">
        <v>2200</v>
      </c>
      <c r="W200" s="44" t="s">
        <v>2449</v>
      </c>
      <c r="X200" s="22">
        <f t="shared" si="7"/>
        <v>55</v>
      </c>
      <c r="Y200" s="22">
        <v>5</v>
      </c>
      <c r="Z200" s="22">
        <v>2.7</v>
      </c>
      <c r="AA200" s="17" t="s">
        <v>73</v>
      </c>
      <c r="AB200" s="26">
        <v>10786</v>
      </c>
      <c r="AC200" s="26">
        <v>346</v>
      </c>
      <c r="AD200" s="26">
        <v>726</v>
      </c>
      <c r="AE200" s="27">
        <v>112300</v>
      </c>
      <c r="AF200" s="27">
        <v>3594</v>
      </c>
      <c r="AG200" s="27">
        <v>617100</v>
      </c>
      <c r="AH200" s="27">
        <v>89479</v>
      </c>
      <c r="AI200" s="17">
        <v>2015</v>
      </c>
      <c r="AJ200" s="17">
        <v>0</v>
      </c>
      <c r="AK200" s="17">
        <v>0</v>
      </c>
    </row>
    <row r="201" spans="1:38" ht="12.75" customHeight="1">
      <c r="A201" s="48" t="s">
        <v>246</v>
      </c>
      <c r="B201" s="19" t="s">
        <v>240</v>
      </c>
      <c r="C201" s="17">
        <v>24</v>
      </c>
      <c r="D201" s="20" t="s">
        <v>196</v>
      </c>
      <c r="E201" s="19">
        <v>0</v>
      </c>
      <c r="F201" s="19" t="s">
        <v>235</v>
      </c>
      <c r="G201" s="19" t="s">
        <v>236</v>
      </c>
      <c r="H201" s="19" t="s">
        <v>42</v>
      </c>
      <c r="I201" s="17" t="b">
        <v>0</v>
      </c>
      <c r="J201" s="17" t="s">
        <v>247</v>
      </c>
      <c r="K201" s="21" t="str">
        <f t="shared" si="3"/>
        <v>https://version2.ice-d.org/antarctica/sample/FM-NMas-20-7/</v>
      </c>
      <c r="L201" s="48" t="s">
        <v>39</v>
      </c>
      <c r="M201" s="155"/>
      <c r="O201" s="28" t="s">
        <v>243</v>
      </c>
      <c r="P201" s="22">
        <v>-67.785210000000006</v>
      </c>
      <c r="Q201" s="22">
        <v>62.782989999999998</v>
      </c>
      <c r="R201" s="22"/>
      <c r="S201" s="22">
        <v>635</v>
      </c>
      <c r="T201" s="17">
        <v>580</v>
      </c>
      <c r="U201" s="23">
        <v>400</v>
      </c>
      <c r="V201" s="24" t="s">
        <v>2201</v>
      </c>
      <c r="W201" s="44" t="s">
        <v>2449</v>
      </c>
      <c r="X201" s="22">
        <f t="shared" si="7"/>
        <v>55</v>
      </c>
      <c r="Y201" s="22">
        <v>5</v>
      </c>
      <c r="Z201" s="22">
        <v>2.7</v>
      </c>
      <c r="AA201" s="17" t="s">
        <v>73</v>
      </c>
      <c r="AB201" s="26">
        <v>11442</v>
      </c>
      <c r="AC201" s="26">
        <v>2473</v>
      </c>
      <c r="AD201" s="26">
        <v>2765</v>
      </c>
      <c r="AE201" s="27">
        <v>112300</v>
      </c>
      <c r="AF201" s="27">
        <v>3594</v>
      </c>
      <c r="AG201" s="27">
        <v>617100</v>
      </c>
      <c r="AH201" s="27">
        <v>89479</v>
      </c>
      <c r="AI201" s="17">
        <v>2015</v>
      </c>
      <c r="AJ201" s="17">
        <v>0</v>
      </c>
      <c r="AK201" s="17">
        <v>0</v>
      </c>
    </row>
    <row r="202" spans="1:38" ht="12.75" customHeight="1">
      <c r="A202" s="48" t="s">
        <v>248</v>
      </c>
      <c r="B202" s="19" t="s">
        <v>240</v>
      </c>
      <c r="C202" s="17">
        <v>24</v>
      </c>
      <c r="D202" s="20" t="s">
        <v>196</v>
      </c>
      <c r="E202" s="19">
        <v>0</v>
      </c>
      <c r="F202" s="19" t="s">
        <v>235</v>
      </c>
      <c r="G202" s="19" t="s">
        <v>236</v>
      </c>
      <c r="H202" s="19" t="s">
        <v>42</v>
      </c>
      <c r="I202" s="17" t="b">
        <v>0</v>
      </c>
      <c r="J202" s="17" t="s">
        <v>64</v>
      </c>
      <c r="K202" s="21" t="str">
        <f t="shared" si="3"/>
        <v>https://version2.ice-d.org/antarctica/sample/FM-NMas-21-8/</v>
      </c>
      <c r="L202" s="48" t="s">
        <v>39</v>
      </c>
      <c r="M202" s="155"/>
      <c r="O202" s="17" t="s">
        <v>237</v>
      </c>
      <c r="P202" s="22">
        <v>-67.78313</v>
      </c>
      <c r="Q202" s="22">
        <v>62.789430000000003</v>
      </c>
      <c r="R202" s="22"/>
      <c r="S202" s="22">
        <v>540</v>
      </c>
      <c r="T202" s="17">
        <v>560</v>
      </c>
      <c r="U202" s="23">
        <v>400</v>
      </c>
      <c r="V202" s="24" t="s">
        <v>2202</v>
      </c>
      <c r="W202" s="44" t="s">
        <v>2449</v>
      </c>
      <c r="X202" s="22">
        <f t="shared" si="7"/>
        <v>-20</v>
      </c>
      <c r="Y202" s="22">
        <v>5</v>
      </c>
      <c r="Z202" s="22">
        <v>2.7</v>
      </c>
      <c r="AA202" s="17" t="s">
        <v>73</v>
      </c>
      <c r="AB202" s="26">
        <v>7769</v>
      </c>
      <c r="AC202" s="26">
        <v>990</v>
      </c>
      <c r="AD202" s="26">
        <v>1196</v>
      </c>
      <c r="AE202" s="27">
        <v>66400</v>
      </c>
      <c r="AF202" s="27">
        <v>2855</v>
      </c>
      <c r="AG202" s="27">
        <v>421900</v>
      </c>
      <c r="AH202" s="27">
        <v>53581</v>
      </c>
      <c r="AI202" s="17">
        <v>2015</v>
      </c>
      <c r="AJ202" s="17">
        <v>0</v>
      </c>
      <c r="AK202" s="17">
        <v>0</v>
      </c>
    </row>
    <row r="203" spans="1:38" ht="15.75" customHeight="1">
      <c r="A203" s="48" t="s">
        <v>248</v>
      </c>
      <c r="B203" s="19" t="s">
        <v>240</v>
      </c>
      <c r="C203" s="17">
        <v>24</v>
      </c>
      <c r="D203" s="20" t="s">
        <v>196</v>
      </c>
      <c r="E203" s="19">
        <v>0</v>
      </c>
      <c r="F203" s="19" t="s">
        <v>235</v>
      </c>
      <c r="G203" s="19" t="s">
        <v>236</v>
      </c>
      <c r="H203" s="19" t="s">
        <v>42</v>
      </c>
      <c r="I203" s="17" t="b">
        <v>0</v>
      </c>
      <c r="J203" s="17" t="s">
        <v>43</v>
      </c>
      <c r="K203" s="21" t="str">
        <f t="shared" si="3"/>
        <v>https://version2.ice-d.org/antarctica/sample/FM-NMas-21-8/</v>
      </c>
      <c r="L203" s="48" t="s">
        <v>39</v>
      </c>
      <c r="M203" s="155"/>
      <c r="O203" s="17" t="s">
        <v>237</v>
      </c>
      <c r="P203" s="22">
        <v>-67.78313</v>
      </c>
      <c r="Q203" s="22">
        <v>62.789430000000003</v>
      </c>
      <c r="R203" s="22"/>
      <c r="S203" s="22">
        <v>540</v>
      </c>
      <c r="T203" s="22">
        <v>560</v>
      </c>
      <c r="U203" s="23">
        <v>400</v>
      </c>
      <c r="V203" s="24" t="s">
        <v>2203</v>
      </c>
      <c r="W203" s="44" t="s">
        <v>2449</v>
      </c>
      <c r="X203" s="22">
        <f t="shared" si="7"/>
        <v>-20</v>
      </c>
      <c r="Y203" s="22">
        <v>5</v>
      </c>
      <c r="Z203" s="22">
        <v>2.7</v>
      </c>
      <c r="AA203" s="17" t="s">
        <v>73</v>
      </c>
      <c r="AB203" s="26">
        <v>8016</v>
      </c>
      <c r="AC203" s="26">
        <v>345</v>
      </c>
      <c r="AD203" s="26">
        <v>586</v>
      </c>
      <c r="AE203" s="27">
        <v>66400</v>
      </c>
      <c r="AF203" s="27">
        <v>2855</v>
      </c>
      <c r="AG203" s="27">
        <v>421900</v>
      </c>
      <c r="AH203" s="27">
        <v>53581</v>
      </c>
      <c r="AI203" s="17">
        <v>2015</v>
      </c>
      <c r="AJ203" s="17">
        <v>0</v>
      </c>
      <c r="AK203" s="17">
        <v>0</v>
      </c>
    </row>
    <row r="204" spans="1:38" ht="15.75" customHeight="1">
      <c r="A204" s="48" t="s">
        <v>249</v>
      </c>
      <c r="B204" s="19" t="s">
        <v>240</v>
      </c>
      <c r="C204" s="17">
        <v>24</v>
      </c>
      <c r="D204" s="20" t="s">
        <v>196</v>
      </c>
      <c r="E204" s="19">
        <v>0</v>
      </c>
      <c r="F204" s="19" t="s">
        <v>235</v>
      </c>
      <c r="G204" s="19" t="s">
        <v>236</v>
      </c>
      <c r="H204" s="19" t="s">
        <v>42</v>
      </c>
      <c r="I204" s="17" t="b">
        <v>0</v>
      </c>
      <c r="J204" s="17" t="s">
        <v>64</v>
      </c>
      <c r="K204" s="21" t="str">
        <f t="shared" si="3"/>
        <v>https://version2.ice-d.org/antarctica/sample/FM-NMas-24-5/</v>
      </c>
      <c r="L204" s="48" t="s">
        <v>39</v>
      </c>
      <c r="M204" s="155"/>
      <c r="O204" s="17" t="s">
        <v>237</v>
      </c>
      <c r="P204" s="22">
        <v>-67.784530000000004</v>
      </c>
      <c r="Q204" s="22">
        <v>62.804609999999997</v>
      </c>
      <c r="R204" s="22"/>
      <c r="S204" s="22">
        <v>654</v>
      </c>
      <c r="T204" s="17">
        <v>540</v>
      </c>
      <c r="U204" s="23">
        <v>400</v>
      </c>
      <c r="V204" s="24" t="s">
        <v>2204</v>
      </c>
      <c r="W204" s="44" t="s">
        <v>2449</v>
      </c>
      <c r="X204" s="22">
        <f t="shared" si="7"/>
        <v>114</v>
      </c>
      <c r="Y204" s="22">
        <v>5</v>
      </c>
      <c r="Z204" s="22">
        <v>2.7</v>
      </c>
      <c r="AA204" s="17" t="s">
        <v>73</v>
      </c>
      <c r="AB204" s="26">
        <v>9284</v>
      </c>
      <c r="AC204" s="26">
        <v>1240</v>
      </c>
      <c r="AD204" s="26">
        <v>1477</v>
      </c>
      <c r="AE204" s="27">
        <v>101700</v>
      </c>
      <c r="AF204" s="27">
        <v>3966</v>
      </c>
      <c r="AG204" s="27">
        <v>575200</v>
      </c>
      <c r="AH204" s="27">
        <v>76501</v>
      </c>
      <c r="AI204" s="17">
        <v>2015</v>
      </c>
      <c r="AJ204" s="17">
        <v>0</v>
      </c>
      <c r="AK204" s="17">
        <v>0</v>
      </c>
    </row>
    <row r="205" spans="1:38" ht="15.75" customHeight="1">
      <c r="A205" s="48" t="s">
        <v>249</v>
      </c>
      <c r="B205" s="19" t="s">
        <v>240</v>
      </c>
      <c r="C205" s="17">
        <v>24</v>
      </c>
      <c r="D205" s="20" t="s">
        <v>196</v>
      </c>
      <c r="E205" s="19">
        <v>0</v>
      </c>
      <c r="F205" s="19" t="s">
        <v>235</v>
      </c>
      <c r="G205" s="19" t="s">
        <v>236</v>
      </c>
      <c r="H205" s="19" t="s">
        <v>42</v>
      </c>
      <c r="I205" s="17" t="b">
        <v>0</v>
      </c>
      <c r="J205" s="17" t="s">
        <v>43</v>
      </c>
      <c r="K205" s="21" t="str">
        <f t="shared" si="3"/>
        <v>https://version2.ice-d.org/antarctica/sample/FM-NMas-24-5/</v>
      </c>
      <c r="L205" s="48" t="s">
        <v>39</v>
      </c>
      <c r="M205" s="155"/>
      <c r="O205" s="17" t="s">
        <v>237</v>
      </c>
      <c r="P205" s="22">
        <v>-67.784530000000004</v>
      </c>
      <c r="Q205" s="22">
        <v>62.804609999999997</v>
      </c>
      <c r="R205" s="22"/>
      <c r="S205" s="22">
        <v>654</v>
      </c>
      <c r="T205" s="17">
        <v>540</v>
      </c>
      <c r="U205" s="23">
        <v>400</v>
      </c>
      <c r="V205" s="24" t="s">
        <v>2205</v>
      </c>
      <c r="W205" s="44" t="s">
        <v>2449</v>
      </c>
      <c r="X205" s="22">
        <f t="shared" si="7"/>
        <v>114</v>
      </c>
      <c r="Y205" s="22">
        <v>5</v>
      </c>
      <c r="Z205" s="22">
        <v>2.7</v>
      </c>
      <c r="AA205" s="17" t="s">
        <v>73</v>
      </c>
      <c r="AB205" s="26">
        <v>10773</v>
      </c>
      <c r="AC205" s="26">
        <v>421</v>
      </c>
      <c r="AD205" s="26">
        <v>764</v>
      </c>
      <c r="AE205" s="27">
        <v>101700</v>
      </c>
      <c r="AF205" s="27">
        <v>3966</v>
      </c>
      <c r="AG205" s="27">
        <v>575200</v>
      </c>
      <c r="AH205" s="27">
        <v>76501</v>
      </c>
      <c r="AI205" s="17">
        <v>2015</v>
      </c>
      <c r="AJ205" s="17">
        <v>0</v>
      </c>
      <c r="AK205" s="17">
        <v>0</v>
      </c>
    </row>
    <row r="206" spans="1:38" ht="15.75" customHeight="1">
      <c r="A206" s="48" t="s">
        <v>250</v>
      </c>
      <c r="B206" s="19" t="s">
        <v>240</v>
      </c>
      <c r="C206" s="17">
        <v>24</v>
      </c>
      <c r="D206" s="20" t="s">
        <v>196</v>
      </c>
      <c r="E206" s="19">
        <v>0</v>
      </c>
      <c r="F206" s="19" t="s">
        <v>235</v>
      </c>
      <c r="G206" s="19" t="s">
        <v>236</v>
      </c>
      <c r="H206" s="19" t="s">
        <v>42</v>
      </c>
      <c r="I206" s="17" t="b">
        <v>0</v>
      </c>
      <c r="J206" s="17" t="s">
        <v>64</v>
      </c>
      <c r="K206" s="21" t="str">
        <f t="shared" si="3"/>
        <v>https://version2.ice-d.org/antarctica/sample/FM-NMas-4B-1/</v>
      </c>
      <c r="L206" s="48" t="s">
        <v>39</v>
      </c>
      <c r="M206" s="155"/>
      <c r="O206" s="17" t="s">
        <v>237</v>
      </c>
      <c r="P206" s="22">
        <v>-67.789640000000006</v>
      </c>
      <c r="Q206" s="22">
        <v>62.818559999999998</v>
      </c>
      <c r="R206" s="22"/>
      <c r="S206" s="22">
        <v>949</v>
      </c>
      <c r="T206" s="17">
        <v>620</v>
      </c>
      <c r="U206" s="23">
        <v>400</v>
      </c>
      <c r="V206" s="24" t="s">
        <v>2206</v>
      </c>
      <c r="W206" s="44" t="s">
        <v>2449</v>
      </c>
      <c r="X206" s="22">
        <f t="shared" si="7"/>
        <v>329</v>
      </c>
      <c r="Y206" s="22">
        <v>5</v>
      </c>
      <c r="Z206" s="22">
        <v>2.7</v>
      </c>
      <c r="AA206" s="17" t="s">
        <v>73</v>
      </c>
      <c r="AB206" s="26">
        <v>11975</v>
      </c>
      <c r="AC206" s="26">
        <v>1012</v>
      </c>
      <c r="AD206" s="26">
        <v>1448</v>
      </c>
      <c r="AE206" s="27">
        <v>179000</v>
      </c>
      <c r="AF206" s="27">
        <v>6802</v>
      </c>
      <c r="AG206" s="27">
        <v>1108000</v>
      </c>
      <c r="AH206" s="27">
        <v>93072</v>
      </c>
      <c r="AI206" s="17">
        <v>2015</v>
      </c>
      <c r="AJ206" s="17">
        <v>0</v>
      </c>
      <c r="AK206" s="17">
        <v>0</v>
      </c>
    </row>
    <row r="207" spans="1:38" ht="12.75" customHeight="1">
      <c r="A207" s="48" t="s">
        <v>250</v>
      </c>
      <c r="B207" s="19" t="s">
        <v>240</v>
      </c>
      <c r="C207" s="17">
        <v>24</v>
      </c>
      <c r="D207" s="20" t="s">
        <v>196</v>
      </c>
      <c r="E207" s="19">
        <v>0</v>
      </c>
      <c r="F207" s="19" t="s">
        <v>235</v>
      </c>
      <c r="G207" s="19" t="s">
        <v>236</v>
      </c>
      <c r="H207" s="19" t="s">
        <v>42</v>
      </c>
      <c r="I207" s="17" t="b">
        <v>0</v>
      </c>
      <c r="J207" s="17" t="s">
        <v>43</v>
      </c>
      <c r="K207" s="21" t="str">
        <f t="shared" si="3"/>
        <v>https://version2.ice-d.org/antarctica/sample/FM-NMas-4B-1/</v>
      </c>
      <c r="L207" s="48" t="s">
        <v>39</v>
      </c>
      <c r="M207" s="155"/>
      <c r="O207" s="17" t="s">
        <v>237</v>
      </c>
      <c r="P207" s="22">
        <v>-67.789640000000006</v>
      </c>
      <c r="Q207" s="22">
        <v>62.818559999999998</v>
      </c>
      <c r="R207" s="22"/>
      <c r="S207" s="22">
        <v>949</v>
      </c>
      <c r="T207" s="17">
        <v>620</v>
      </c>
      <c r="U207" s="23">
        <v>400</v>
      </c>
      <c r="V207" s="24" t="s">
        <v>2207</v>
      </c>
      <c r="W207" s="44" t="s">
        <v>2449</v>
      </c>
      <c r="X207" s="22">
        <f t="shared" si="7"/>
        <v>329</v>
      </c>
      <c r="Y207" s="22">
        <v>5</v>
      </c>
      <c r="Z207" s="22">
        <v>2.7</v>
      </c>
      <c r="AA207" s="17" t="s">
        <v>73</v>
      </c>
      <c r="AB207" s="26">
        <v>12628</v>
      </c>
      <c r="AC207" s="26">
        <v>481</v>
      </c>
      <c r="AD207" s="26">
        <v>889</v>
      </c>
      <c r="AE207" s="27">
        <v>179000</v>
      </c>
      <c r="AF207" s="27">
        <v>6802</v>
      </c>
      <c r="AG207" s="27">
        <v>1108000</v>
      </c>
      <c r="AH207" s="27">
        <v>93072</v>
      </c>
      <c r="AI207" s="17">
        <v>2015</v>
      </c>
      <c r="AJ207" s="17">
        <v>0</v>
      </c>
      <c r="AK207" s="17">
        <v>0</v>
      </c>
    </row>
    <row r="208" spans="1:38" ht="15.75" customHeight="1">
      <c r="A208" s="64" t="s">
        <v>251</v>
      </c>
      <c r="B208" s="65" t="s">
        <v>252</v>
      </c>
      <c r="C208" s="27">
        <v>25</v>
      </c>
      <c r="D208" s="19" t="s">
        <v>196</v>
      </c>
      <c r="E208" s="19">
        <v>0</v>
      </c>
      <c r="F208" s="19" t="s">
        <v>235</v>
      </c>
      <c r="G208" s="66" t="s">
        <v>236</v>
      </c>
      <c r="H208" s="19" t="s">
        <v>42</v>
      </c>
      <c r="I208" s="17" t="b">
        <v>0</v>
      </c>
      <c r="J208" s="17" t="s">
        <v>64</v>
      </c>
      <c r="K208" s="21" t="str">
        <f t="shared" si="3"/>
        <v>https://version2.ice-d.org/antarctica/sample/FM-Brown-20-5/</v>
      </c>
      <c r="L208" s="64" t="s">
        <v>39</v>
      </c>
      <c r="M208" s="194" t="s">
        <v>44</v>
      </c>
      <c r="O208" s="17" t="s">
        <v>237</v>
      </c>
      <c r="P208" s="22">
        <v>-68.081509999999994</v>
      </c>
      <c r="Q208" s="22">
        <v>62.358040000000003</v>
      </c>
      <c r="R208" s="22"/>
      <c r="S208" s="22">
        <v>1263</v>
      </c>
      <c r="T208" s="17">
        <v>1120</v>
      </c>
      <c r="U208" s="67">
        <v>160</v>
      </c>
      <c r="V208" s="68" t="s">
        <v>2209</v>
      </c>
      <c r="W208" s="69" t="s">
        <v>2208</v>
      </c>
      <c r="X208" s="22">
        <f t="shared" si="7"/>
        <v>143</v>
      </c>
      <c r="Y208" s="22">
        <v>5</v>
      </c>
      <c r="Z208" s="22">
        <v>2.7</v>
      </c>
      <c r="AA208" s="17" t="s">
        <v>73</v>
      </c>
      <c r="AB208" s="26">
        <v>5025</v>
      </c>
      <c r="AC208" s="26">
        <v>3043</v>
      </c>
      <c r="AD208" s="56">
        <v>3073</v>
      </c>
      <c r="AE208" s="28"/>
      <c r="AF208" s="28"/>
      <c r="AG208" s="27">
        <v>591900</v>
      </c>
      <c r="AH208" s="27">
        <v>357507</v>
      </c>
      <c r="AI208" s="17">
        <v>2015</v>
      </c>
      <c r="AJ208" s="17">
        <v>0</v>
      </c>
      <c r="AK208" s="17">
        <v>0</v>
      </c>
    </row>
    <row r="209" spans="1:38" ht="15.75" customHeight="1">
      <c r="A209" s="64" t="s">
        <v>253</v>
      </c>
      <c r="B209" s="65" t="s">
        <v>252</v>
      </c>
      <c r="C209" s="27">
        <v>25</v>
      </c>
      <c r="D209" s="19" t="s">
        <v>196</v>
      </c>
      <c r="E209" s="19">
        <v>0</v>
      </c>
      <c r="F209" s="19" t="s">
        <v>235</v>
      </c>
      <c r="G209" s="66" t="s">
        <v>236</v>
      </c>
      <c r="H209" s="19" t="s">
        <v>42</v>
      </c>
      <c r="I209" s="17" t="b">
        <v>0</v>
      </c>
      <c r="J209" s="17" t="s">
        <v>64</v>
      </c>
      <c r="K209" s="21" t="str">
        <f t="shared" si="3"/>
        <v>https://version2.ice-d.org/antarctica/sample/FM-Brown-29-3/</v>
      </c>
      <c r="L209" s="64" t="s">
        <v>39</v>
      </c>
      <c r="M209" s="155"/>
      <c r="O209" s="17" t="s">
        <v>237</v>
      </c>
      <c r="P209" s="22">
        <v>-68.126080000000002</v>
      </c>
      <c r="Q209" s="22">
        <v>62.400550000000003</v>
      </c>
      <c r="R209" s="22"/>
      <c r="S209" s="22">
        <v>1329</v>
      </c>
      <c r="T209" s="17">
        <v>1327</v>
      </c>
      <c r="U209" s="67">
        <v>160</v>
      </c>
      <c r="V209" s="68" t="s">
        <v>2210</v>
      </c>
      <c r="W209" s="69" t="s">
        <v>2208</v>
      </c>
      <c r="X209" s="22">
        <f t="shared" si="7"/>
        <v>2</v>
      </c>
      <c r="Y209" s="22">
        <v>5</v>
      </c>
      <c r="Z209" s="22">
        <v>2.7</v>
      </c>
      <c r="AA209" s="17" t="s">
        <v>73</v>
      </c>
      <c r="AB209" s="26">
        <v>12974</v>
      </c>
      <c r="AC209" s="26">
        <v>1267</v>
      </c>
      <c r="AD209" s="26">
        <v>1693</v>
      </c>
      <c r="AE209" s="27">
        <v>261800</v>
      </c>
      <c r="AF209" s="27">
        <v>7592</v>
      </c>
      <c r="AG209" s="27">
        <v>1618000</v>
      </c>
      <c r="AH209" s="27">
        <v>156946</v>
      </c>
      <c r="AI209" s="17">
        <v>2015</v>
      </c>
      <c r="AJ209" s="17">
        <v>0</v>
      </c>
      <c r="AK209" s="17">
        <v>0</v>
      </c>
    </row>
    <row r="210" spans="1:38" ht="15.75" customHeight="1">
      <c r="A210" s="64" t="s">
        <v>253</v>
      </c>
      <c r="B210" s="65" t="s">
        <v>252</v>
      </c>
      <c r="C210" s="27">
        <v>25</v>
      </c>
      <c r="D210" s="19" t="s">
        <v>196</v>
      </c>
      <c r="E210" s="19">
        <v>0</v>
      </c>
      <c r="F210" s="19" t="s">
        <v>235</v>
      </c>
      <c r="G210" s="66" t="s">
        <v>236</v>
      </c>
      <c r="H210" s="19" t="s">
        <v>42</v>
      </c>
      <c r="I210" s="17" t="b">
        <v>0</v>
      </c>
      <c r="J210" s="17" t="s">
        <v>43</v>
      </c>
      <c r="K210" s="21" t="str">
        <f t="shared" si="3"/>
        <v>https://version2.ice-d.org/antarctica/sample/FM-Brown-29-3/</v>
      </c>
      <c r="L210" s="64" t="s">
        <v>39</v>
      </c>
      <c r="M210" s="155"/>
      <c r="O210" s="17" t="s">
        <v>237</v>
      </c>
      <c r="P210" s="22">
        <v>-68.126080000000002</v>
      </c>
      <c r="Q210" s="22">
        <v>62.400550000000003</v>
      </c>
      <c r="R210" s="22"/>
      <c r="S210" s="22">
        <v>1329</v>
      </c>
      <c r="T210" s="17">
        <v>1327</v>
      </c>
      <c r="U210" s="67">
        <v>160</v>
      </c>
      <c r="V210" s="68" t="s">
        <v>2211</v>
      </c>
      <c r="W210" s="69" t="s">
        <v>2208</v>
      </c>
      <c r="X210" s="22">
        <f t="shared" si="7"/>
        <v>2</v>
      </c>
      <c r="Y210" s="22">
        <v>5</v>
      </c>
      <c r="Z210" s="22">
        <v>2.7</v>
      </c>
      <c r="AA210" s="17" t="s">
        <v>73</v>
      </c>
      <c r="AB210" s="26">
        <v>13638</v>
      </c>
      <c r="AC210" s="26">
        <v>397</v>
      </c>
      <c r="AD210" s="26">
        <v>900</v>
      </c>
      <c r="AE210" s="27">
        <v>261800</v>
      </c>
      <c r="AF210" s="27">
        <v>7592</v>
      </c>
      <c r="AG210" s="27">
        <v>1618000</v>
      </c>
      <c r="AH210" s="27">
        <v>156946</v>
      </c>
      <c r="AI210" s="17">
        <v>2015</v>
      </c>
      <c r="AJ210" s="17">
        <v>0</v>
      </c>
      <c r="AK210" s="17">
        <v>0</v>
      </c>
    </row>
    <row r="211" spans="1:38" ht="15.75" customHeight="1">
      <c r="A211" s="64" t="s">
        <v>254</v>
      </c>
      <c r="B211" s="65" t="s">
        <v>252</v>
      </c>
      <c r="C211" s="27">
        <v>25</v>
      </c>
      <c r="D211" s="19" t="s">
        <v>196</v>
      </c>
      <c r="E211" s="19">
        <v>0</v>
      </c>
      <c r="F211" s="19" t="s">
        <v>235</v>
      </c>
      <c r="G211" s="66" t="s">
        <v>236</v>
      </c>
      <c r="H211" s="19" t="s">
        <v>42</v>
      </c>
      <c r="I211" s="17" t="b">
        <v>0</v>
      </c>
      <c r="J211" s="17" t="s">
        <v>64</v>
      </c>
      <c r="K211" s="21" t="str">
        <f t="shared" si="3"/>
        <v>https://version2.ice-d.org/antarctica/sample/FM-Brown-43-4/</v>
      </c>
      <c r="L211" s="64" t="s">
        <v>39</v>
      </c>
      <c r="M211" s="155"/>
      <c r="O211" s="17" t="s">
        <v>237</v>
      </c>
      <c r="P211" s="22">
        <v>-68.125829999999993</v>
      </c>
      <c r="Q211" s="22">
        <v>62.397100000000002</v>
      </c>
      <c r="R211" s="22"/>
      <c r="S211" s="22">
        <v>1272</v>
      </c>
      <c r="T211" s="17">
        <v>1249</v>
      </c>
      <c r="U211" s="67">
        <v>160</v>
      </c>
      <c r="V211" s="68" t="s">
        <v>2212</v>
      </c>
      <c r="W211" s="69" t="s">
        <v>2208</v>
      </c>
      <c r="X211" s="22">
        <f t="shared" si="7"/>
        <v>23</v>
      </c>
      <c r="Y211" s="22">
        <v>5</v>
      </c>
      <c r="Z211" s="22">
        <v>2.7</v>
      </c>
      <c r="AA211" s="17" t="s">
        <v>73</v>
      </c>
      <c r="AB211" s="26">
        <v>409</v>
      </c>
      <c r="AC211" s="26">
        <v>183</v>
      </c>
      <c r="AD211" s="26">
        <v>186</v>
      </c>
      <c r="AE211" s="27">
        <v>19300</v>
      </c>
      <c r="AF211" s="27">
        <v>3242</v>
      </c>
      <c r="AG211" s="27">
        <v>49700</v>
      </c>
      <c r="AH211" s="27">
        <v>22265</v>
      </c>
      <c r="AI211" s="17">
        <v>2015</v>
      </c>
      <c r="AJ211" s="17">
        <v>0</v>
      </c>
      <c r="AK211" s="17">
        <v>0</v>
      </c>
    </row>
    <row r="212" spans="1:38" ht="15.75" customHeight="1">
      <c r="A212" s="64" t="s">
        <v>254</v>
      </c>
      <c r="B212" s="65" t="s">
        <v>252</v>
      </c>
      <c r="C212" s="27">
        <v>25</v>
      </c>
      <c r="D212" s="19" t="s">
        <v>196</v>
      </c>
      <c r="E212" s="19">
        <v>0</v>
      </c>
      <c r="F212" s="19" t="s">
        <v>235</v>
      </c>
      <c r="G212" s="66" t="s">
        <v>236</v>
      </c>
      <c r="H212" s="19" t="s">
        <v>42</v>
      </c>
      <c r="I212" s="17" t="b">
        <v>0</v>
      </c>
      <c r="J212" s="17" t="s">
        <v>43</v>
      </c>
      <c r="K212" s="21" t="str">
        <f t="shared" si="3"/>
        <v>https://version2.ice-d.org/antarctica/sample/FM-Brown-43-4/</v>
      </c>
      <c r="L212" s="64" t="s">
        <v>39</v>
      </c>
      <c r="M212" s="155"/>
      <c r="O212" s="17" t="s">
        <v>237</v>
      </c>
      <c r="P212" s="22">
        <v>-68.125829999999993</v>
      </c>
      <c r="Q212" s="22">
        <v>62.397100000000002</v>
      </c>
      <c r="R212" s="22"/>
      <c r="S212" s="22">
        <v>1272</v>
      </c>
      <c r="T212" s="17">
        <v>1249</v>
      </c>
      <c r="U212" s="67">
        <v>160</v>
      </c>
      <c r="V212" s="68" t="s">
        <v>2213</v>
      </c>
      <c r="W212" s="69" t="s">
        <v>2208</v>
      </c>
      <c r="X212" s="22">
        <f t="shared" si="7"/>
        <v>23</v>
      </c>
      <c r="Y212" s="22">
        <v>5</v>
      </c>
      <c r="Z212" s="22">
        <v>2.7</v>
      </c>
      <c r="AA212" s="17" t="s">
        <v>73</v>
      </c>
      <c r="AB212" s="26">
        <v>998</v>
      </c>
      <c r="AC212" s="26">
        <v>168</v>
      </c>
      <c r="AD212" s="26">
        <v>178</v>
      </c>
      <c r="AE212" s="27">
        <v>19300</v>
      </c>
      <c r="AF212" s="27">
        <v>3242</v>
      </c>
      <c r="AG212" s="27">
        <v>49700</v>
      </c>
      <c r="AH212" s="27">
        <v>22265</v>
      </c>
      <c r="AI212" s="17">
        <v>2015</v>
      </c>
      <c r="AJ212" s="17">
        <v>0</v>
      </c>
      <c r="AK212" s="17">
        <v>0</v>
      </c>
    </row>
    <row r="213" spans="1:38" ht="15.75" customHeight="1">
      <c r="A213" s="70" t="s">
        <v>255</v>
      </c>
      <c r="B213" s="65" t="s">
        <v>256</v>
      </c>
      <c r="C213" s="27">
        <v>26</v>
      </c>
      <c r="D213" s="20" t="s">
        <v>196</v>
      </c>
      <c r="E213" s="19">
        <v>0</v>
      </c>
      <c r="F213" s="19" t="s">
        <v>235</v>
      </c>
      <c r="G213" s="66" t="s">
        <v>236</v>
      </c>
      <c r="H213" s="19" t="s">
        <v>42</v>
      </c>
      <c r="I213" s="17" t="b">
        <v>0</v>
      </c>
      <c r="J213" s="17" t="s">
        <v>64</v>
      </c>
      <c r="K213" s="21" t="str">
        <f t="shared" si="3"/>
        <v>https://version2.ice-d.org/antarctica/sample/FM-Cmas-7-1/</v>
      </c>
      <c r="L213" s="70" t="s">
        <v>39</v>
      </c>
      <c r="M213" s="186" t="s">
        <v>44</v>
      </c>
      <c r="O213" s="17" t="s">
        <v>237</v>
      </c>
      <c r="P213" s="22">
        <v>-67.851619999999997</v>
      </c>
      <c r="Q213" s="22">
        <v>62.878230000000002</v>
      </c>
      <c r="R213" s="22"/>
      <c r="S213" s="22">
        <v>1085</v>
      </c>
      <c r="T213" s="17">
        <v>810</v>
      </c>
      <c r="U213" s="23">
        <v>400</v>
      </c>
      <c r="V213" s="24" t="s">
        <v>2204</v>
      </c>
      <c r="W213" s="44" t="s">
        <v>2449</v>
      </c>
      <c r="X213" s="22">
        <f t="shared" si="7"/>
        <v>275</v>
      </c>
      <c r="Y213" s="22">
        <v>5</v>
      </c>
      <c r="Z213" s="22">
        <v>2.7</v>
      </c>
      <c r="AA213" s="17" t="s">
        <v>73</v>
      </c>
      <c r="AB213" s="26">
        <v>8960</v>
      </c>
      <c r="AC213" s="26">
        <v>891</v>
      </c>
      <c r="AD213" s="26">
        <v>1180</v>
      </c>
      <c r="AE213" s="27">
        <v>162600</v>
      </c>
      <c r="AF213" s="27">
        <v>4878</v>
      </c>
      <c r="AG213" s="27">
        <v>937900</v>
      </c>
      <c r="AH213" s="27">
        <v>92852</v>
      </c>
      <c r="AI213" s="17">
        <v>2015</v>
      </c>
      <c r="AJ213" s="17">
        <v>0</v>
      </c>
      <c r="AK213" s="17">
        <v>0</v>
      </c>
    </row>
    <row r="214" spans="1:38" ht="15.75" customHeight="1">
      <c r="A214" s="70" t="s">
        <v>255</v>
      </c>
      <c r="B214" s="65" t="s">
        <v>256</v>
      </c>
      <c r="C214" s="27">
        <v>26</v>
      </c>
      <c r="D214" s="20" t="s">
        <v>196</v>
      </c>
      <c r="E214" s="19">
        <v>0</v>
      </c>
      <c r="F214" s="19" t="s">
        <v>235</v>
      </c>
      <c r="G214" s="66" t="s">
        <v>236</v>
      </c>
      <c r="H214" s="19" t="s">
        <v>42</v>
      </c>
      <c r="I214" s="17" t="b">
        <v>0</v>
      </c>
      <c r="J214" s="17" t="s">
        <v>43</v>
      </c>
      <c r="K214" s="21" t="str">
        <f t="shared" si="3"/>
        <v>https://version2.ice-d.org/antarctica/sample/FM-Cmas-7-1/</v>
      </c>
      <c r="L214" s="70" t="s">
        <v>39</v>
      </c>
      <c r="M214" s="155"/>
      <c r="O214" s="17" t="s">
        <v>237</v>
      </c>
      <c r="P214" s="22">
        <v>-67.851619999999997</v>
      </c>
      <c r="Q214" s="22">
        <v>62.878230000000002</v>
      </c>
      <c r="R214" s="22"/>
      <c r="S214" s="22">
        <v>1085</v>
      </c>
      <c r="T214" s="17">
        <v>810</v>
      </c>
      <c r="U214" s="23">
        <v>400</v>
      </c>
      <c r="V214" s="24" t="s">
        <v>2205</v>
      </c>
      <c r="W214" s="44" t="s">
        <v>2449</v>
      </c>
      <c r="X214" s="22">
        <f t="shared" si="7"/>
        <v>275</v>
      </c>
      <c r="Y214" s="22">
        <v>5</v>
      </c>
      <c r="Z214" s="22">
        <v>2.7</v>
      </c>
      <c r="AA214" s="17" t="s">
        <v>73</v>
      </c>
      <c r="AB214" s="26">
        <v>10131</v>
      </c>
      <c r="AC214" s="26">
        <v>305</v>
      </c>
      <c r="AD214" s="26">
        <v>672</v>
      </c>
      <c r="AE214" s="27">
        <v>162600</v>
      </c>
      <c r="AF214" s="27">
        <v>4878</v>
      </c>
      <c r="AG214" s="27">
        <v>937900</v>
      </c>
      <c r="AH214" s="27">
        <v>92852</v>
      </c>
      <c r="AI214" s="17">
        <v>2015</v>
      </c>
      <c r="AJ214" s="17">
        <v>0</v>
      </c>
      <c r="AK214" s="17">
        <v>0</v>
      </c>
    </row>
    <row r="215" spans="1:38" ht="15.75" customHeight="1">
      <c r="A215" s="57" t="s">
        <v>257</v>
      </c>
      <c r="B215" s="65" t="s">
        <v>258</v>
      </c>
      <c r="C215" s="27">
        <v>26</v>
      </c>
      <c r="D215" s="20" t="s">
        <v>196</v>
      </c>
      <c r="E215" s="19">
        <v>0</v>
      </c>
      <c r="F215" s="19" t="s">
        <v>235</v>
      </c>
      <c r="G215" s="66" t="s">
        <v>236</v>
      </c>
      <c r="H215" s="19" t="s">
        <v>42</v>
      </c>
      <c r="I215" s="28" t="b">
        <v>0</v>
      </c>
      <c r="J215" s="17" t="s">
        <v>64</v>
      </c>
      <c r="K215" s="21" t="str">
        <f t="shared" si="3"/>
        <v>https://version2.ice-d.org/antarctica/sample/FM-Dun-11-2/</v>
      </c>
      <c r="L215" s="71" t="s">
        <v>39</v>
      </c>
      <c r="M215" s="208" t="s">
        <v>44</v>
      </c>
      <c r="N215" s="28"/>
      <c r="O215" s="28" t="s">
        <v>243</v>
      </c>
      <c r="P215" s="22">
        <v>-67.947670000000002</v>
      </c>
      <c r="Q215" s="22">
        <v>62.460749999999997</v>
      </c>
      <c r="R215" s="22"/>
      <c r="S215" s="22">
        <v>1230</v>
      </c>
      <c r="T215" s="17">
        <v>960</v>
      </c>
      <c r="U215" s="23">
        <v>400</v>
      </c>
      <c r="V215" s="24" t="s">
        <v>2206</v>
      </c>
      <c r="W215" s="44" t="s">
        <v>2449</v>
      </c>
      <c r="X215" s="22">
        <f t="shared" si="7"/>
        <v>270</v>
      </c>
      <c r="Y215" s="22">
        <v>5</v>
      </c>
      <c r="Z215" s="22">
        <v>2.7</v>
      </c>
      <c r="AA215" s="17" t="s">
        <v>73</v>
      </c>
      <c r="AB215" s="26">
        <v>8052</v>
      </c>
      <c r="AC215" s="26">
        <v>574</v>
      </c>
      <c r="AD215" s="26">
        <v>902</v>
      </c>
      <c r="AE215" s="27">
        <v>203900</v>
      </c>
      <c r="AF215" s="27">
        <v>6525</v>
      </c>
      <c r="AG215" s="27">
        <v>954900</v>
      </c>
      <c r="AH215" s="27">
        <v>67798</v>
      </c>
      <c r="AI215" s="17">
        <v>2015</v>
      </c>
      <c r="AJ215" s="17">
        <v>0</v>
      </c>
      <c r="AK215" s="17">
        <v>0</v>
      </c>
    </row>
    <row r="216" spans="1:38" ht="15.75" customHeight="1">
      <c r="A216" s="57" t="s">
        <v>257</v>
      </c>
      <c r="B216" s="65" t="s">
        <v>258</v>
      </c>
      <c r="C216" s="27">
        <v>26</v>
      </c>
      <c r="D216" s="20" t="s">
        <v>196</v>
      </c>
      <c r="E216" s="19">
        <v>0</v>
      </c>
      <c r="F216" s="19" t="s">
        <v>235</v>
      </c>
      <c r="G216" s="66" t="s">
        <v>236</v>
      </c>
      <c r="H216" s="19" t="s">
        <v>42</v>
      </c>
      <c r="I216" s="28" t="b">
        <v>0</v>
      </c>
      <c r="J216" s="17" t="s">
        <v>43</v>
      </c>
      <c r="K216" s="21" t="str">
        <f t="shared" si="3"/>
        <v>https://version2.ice-d.org/antarctica/sample/FM-Dun-11-2/</v>
      </c>
      <c r="L216" s="71" t="s">
        <v>39</v>
      </c>
      <c r="M216" s="209"/>
      <c r="N216" s="28"/>
      <c r="O216" s="28" t="s">
        <v>243</v>
      </c>
      <c r="P216" s="22">
        <v>-67.947670000000002</v>
      </c>
      <c r="Q216" s="22">
        <v>62.460749999999997</v>
      </c>
      <c r="R216" s="22"/>
      <c r="S216" s="22">
        <v>1230</v>
      </c>
      <c r="T216" s="17">
        <v>960</v>
      </c>
      <c r="U216" s="23">
        <v>400</v>
      </c>
      <c r="V216" s="24" t="s">
        <v>2207</v>
      </c>
      <c r="W216" s="44" t="s">
        <v>2449</v>
      </c>
      <c r="X216" s="22">
        <f t="shared" si="7"/>
        <v>270</v>
      </c>
      <c r="Y216" s="22">
        <v>5</v>
      </c>
      <c r="Z216" s="22">
        <v>2.7</v>
      </c>
      <c r="AA216" s="17" t="s">
        <v>73</v>
      </c>
      <c r="AB216" s="26">
        <v>11255</v>
      </c>
      <c r="AC216" s="26">
        <v>361</v>
      </c>
      <c r="AD216" s="26">
        <v>758</v>
      </c>
      <c r="AE216" s="27">
        <v>203900</v>
      </c>
      <c r="AF216" s="27">
        <v>6525</v>
      </c>
      <c r="AG216" s="27">
        <v>954900</v>
      </c>
      <c r="AH216" s="27">
        <v>67798</v>
      </c>
      <c r="AI216" s="17">
        <v>2015</v>
      </c>
      <c r="AJ216" s="17">
        <v>0</v>
      </c>
      <c r="AK216" s="17">
        <v>0</v>
      </c>
    </row>
    <row r="217" spans="1:38" ht="12.75" customHeight="1">
      <c r="A217" s="52" t="s">
        <v>259</v>
      </c>
      <c r="B217" s="33" t="s">
        <v>260</v>
      </c>
      <c r="C217" s="27">
        <v>27</v>
      </c>
      <c r="D217" s="65" t="s">
        <v>196</v>
      </c>
      <c r="E217" s="65">
        <v>0</v>
      </c>
      <c r="F217" s="65" t="s">
        <v>261</v>
      </c>
      <c r="G217" s="19" t="s">
        <v>262</v>
      </c>
      <c r="H217" s="66" t="s">
        <v>263</v>
      </c>
      <c r="I217" s="17" t="b">
        <v>0</v>
      </c>
      <c r="K217" s="21" t="str">
        <f t="shared" si="3"/>
        <v>https://version2.ice-d.org/antarctica/sample/R2019-JBG026/</v>
      </c>
      <c r="L217" s="52" t="s">
        <v>39</v>
      </c>
      <c r="M217" s="167" t="s">
        <v>44</v>
      </c>
      <c r="O217" s="17" t="s">
        <v>264</v>
      </c>
      <c r="P217" s="22">
        <v>-74.61242</v>
      </c>
      <c r="Q217" s="22">
        <v>164.22002000000001</v>
      </c>
      <c r="R217" s="22"/>
      <c r="S217" s="22">
        <v>90</v>
      </c>
      <c r="T217" s="22">
        <v>0</v>
      </c>
      <c r="U217" s="23">
        <v>90</v>
      </c>
      <c r="V217" s="24" t="s">
        <v>2089</v>
      </c>
      <c r="W217" s="25" t="s">
        <v>2352</v>
      </c>
      <c r="X217" s="22">
        <f t="shared" si="7"/>
        <v>90</v>
      </c>
      <c r="Y217" s="22">
        <v>6.4</v>
      </c>
      <c r="Z217" s="22">
        <v>2.7</v>
      </c>
      <c r="AA217" s="17" t="s">
        <v>46</v>
      </c>
      <c r="AB217" s="26">
        <v>5896</v>
      </c>
      <c r="AC217" s="26">
        <v>876</v>
      </c>
      <c r="AD217" s="26">
        <v>943</v>
      </c>
      <c r="AE217" s="27">
        <v>33700</v>
      </c>
      <c r="AF217" s="27">
        <v>5000</v>
      </c>
      <c r="AG217" s="28"/>
      <c r="AH217" s="28"/>
      <c r="AI217" s="17">
        <v>2017</v>
      </c>
      <c r="AJ217" s="17">
        <v>0</v>
      </c>
      <c r="AK217" s="17">
        <v>1</v>
      </c>
      <c r="AL217" s="17" t="s">
        <v>265</v>
      </c>
    </row>
    <row r="218" spans="1:38" ht="12.75" customHeight="1">
      <c r="A218" s="52" t="s">
        <v>266</v>
      </c>
      <c r="B218" s="33" t="s">
        <v>260</v>
      </c>
      <c r="C218" s="27">
        <v>27</v>
      </c>
      <c r="D218" s="65" t="s">
        <v>196</v>
      </c>
      <c r="E218" s="65">
        <v>0</v>
      </c>
      <c r="F218" s="33" t="s">
        <v>261</v>
      </c>
      <c r="G218" s="19" t="s">
        <v>262</v>
      </c>
      <c r="H218" s="66" t="s">
        <v>263</v>
      </c>
      <c r="I218" s="17" t="b">
        <v>0</v>
      </c>
      <c r="J218" s="17" t="s">
        <v>43</v>
      </c>
      <c r="K218" s="21" t="str">
        <f t="shared" si="3"/>
        <v>https://version2.ice-d.org/antarctica/sample/R2019-JBG024/</v>
      </c>
      <c r="L218" s="52" t="s">
        <v>39</v>
      </c>
      <c r="M218" s="155"/>
      <c r="O218" s="17" t="s">
        <v>264</v>
      </c>
      <c r="P218" s="22">
        <v>-74.612979999999993</v>
      </c>
      <c r="Q218" s="22">
        <v>164.21895000000001</v>
      </c>
      <c r="R218" s="22"/>
      <c r="S218" s="22">
        <v>90</v>
      </c>
      <c r="T218" s="22">
        <v>0</v>
      </c>
      <c r="U218" s="23">
        <v>90</v>
      </c>
      <c r="V218" s="24" t="s">
        <v>2090</v>
      </c>
      <c r="W218" s="25" t="s">
        <v>2352</v>
      </c>
      <c r="X218" s="22">
        <f t="shared" si="7"/>
        <v>90</v>
      </c>
      <c r="Y218" s="22">
        <v>5.2</v>
      </c>
      <c r="Z218" s="22">
        <v>2.7</v>
      </c>
      <c r="AA218" s="17" t="s">
        <v>46</v>
      </c>
      <c r="AB218" s="26">
        <v>14643</v>
      </c>
      <c r="AC218" s="26">
        <v>1270</v>
      </c>
      <c r="AD218" s="26">
        <v>1538</v>
      </c>
      <c r="AE218" s="27">
        <v>84500</v>
      </c>
      <c r="AF218" s="27">
        <v>7300</v>
      </c>
      <c r="AG218" s="28"/>
      <c r="AH218" s="28"/>
      <c r="AI218" s="17">
        <v>2017</v>
      </c>
      <c r="AJ218" s="17">
        <v>0</v>
      </c>
      <c r="AK218" s="17">
        <v>0</v>
      </c>
      <c r="AL218" s="17" t="s">
        <v>267</v>
      </c>
    </row>
    <row r="219" spans="1:38" ht="12.75" customHeight="1">
      <c r="A219" s="52" t="s">
        <v>268</v>
      </c>
      <c r="B219" s="33" t="s">
        <v>260</v>
      </c>
      <c r="C219" s="27">
        <v>27</v>
      </c>
      <c r="D219" s="65" t="s">
        <v>196</v>
      </c>
      <c r="E219" s="65">
        <v>0</v>
      </c>
      <c r="F219" s="33" t="s">
        <v>261</v>
      </c>
      <c r="G219" s="19" t="s">
        <v>262</v>
      </c>
      <c r="H219" s="66" t="s">
        <v>263</v>
      </c>
      <c r="I219" s="17" t="b">
        <v>0</v>
      </c>
      <c r="J219" s="17" t="s">
        <v>43</v>
      </c>
      <c r="K219" s="21" t="str">
        <f t="shared" si="3"/>
        <v>https://version2.ice-d.org/antarctica/sample/R2019-JBG028/</v>
      </c>
      <c r="L219" s="52" t="s">
        <v>39</v>
      </c>
      <c r="M219" s="155"/>
      <c r="O219" s="17" t="s">
        <v>264</v>
      </c>
      <c r="P219" s="22">
        <v>-74.612250000000003</v>
      </c>
      <c r="Q219" s="22">
        <v>164.22032999999999</v>
      </c>
      <c r="R219" s="22"/>
      <c r="S219" s="22">
        <v>90</v>
      </c>
      <c r="T219" s="22">
        <v>0</v>
      </c>
      <c r="U219" s="23">
        <v>90</v>
      </c>
      <c r="V219" s="24" t="s">
        <v>2091</v>
      </c>
      <c r="W219" s="25" t="s">
        <v>2352</v>
      </c>
      <c r="X219" s="22">
        <f t="shared" si="7"/>
        <v>90</v>
      </c>
      <c r="Y219" s="22">
        <v>5.4</v>
      </c>
      <c r="Z219" s="22">
        <v>2.7</v>
      </c>
      <c r="AA219" s="17" t="s">
        <v>46</v>
      </c>
      <c r="AB219" s="26">
        <v>17942</v>
      </c>
      <c r="AC219" s="26">
        <v>1310</v>
      </c>
      <c r="AD219" s="26">
        <v>1687</v>
      </c>
      <c r="AE219" s="27">
        <v>103200</v>
      </c>
      <c r="AF219" s="27">
        <v>7500</v>
      </c>
      <c r="AG219" s="28"/>
      <c r="AH219" s="28"/>
      <c r="AI219" s="17">
        <v>2017</v>
      </c>
      <c r="AJ219" s="17">
        <v>0</v>
      </c>
      <c r="AK219" s="17">
        <v>0</v>
      </c>
    </row>
    <row r="220" spans="1:38" ht="12.75" customHeight="1">
      <c r="A220" s="52" t="s">
        <v>269</v>
      </c>
      <c r="B220" s="33" t="s">
        <v>260</v>
      </c>
      <c r="C220" s="27">
        <v>27</v>
      </c>
      <c r="D220" s="65" t="s">
        <v>196</v>
      </c>
      <c r="E220" s="65">
        <v>0</v>
      </c>
      <c r="F220" s="33" t="s">
        <v>261</v>
      </c>
      <c r="G220" s="19" t="s">
        <v>262</v>
      </c>
      <c r="H220" s="66" t="s">
        <v>263</v>
      </c>
      <c r="I220" s="17" t="b">
        <v>0</v>
      </c>
      <c r="J220" s="17" t="s">
        <v>43</v>
      </c>
      <c r="K220" s="21" t="str">
        <f t="shared" si="3"/>
        <v>https://version2.ice-d.org/antarctica/sample/R2019-JBG029/</v>
      </c>
      <c r="L220" s="52" t="s">
        <v>39</v>
      </c>
      <c r="M220" s="155"/>
      <c r="O220" s="17" t="s">
        <v>264</v>
      </c>
      <c r="P220" s="22">
        <v>-74.612449999999995</v>
      </c>
      <c r="Q220" s="22">
        <v>164.22013000000001</v>
      </c>
      <c r="R220" s="22"/>
      <c r="S220" s="22">
        <v>90</v>
      </c>
      <c r="T220" s="22">
        <v>0</v>
      </c>
      <c r="U220" s="23">
        <v>90</v>
      </c>
      <c r="V220" s="24" t="s">
        <v>2092</v>
      </c>
      <c r="W220" s="25" t="s">
        <v>2352</v>
      </c>
      <c r="X220" s="22">
        <f t="shared" si="7"/>
        <v>90</v>
      </c>
      <c r="Y220" s="22">
        <v>4</v>
      </c>
      <c r="Z220" s="22">
        <v>2.7</v>
      </c>
      <c r="AA220" s="17" t="s">
        <v>46</v>
      </c>
      <c r="AB220" s="26">
        <v>17372</v>
      </c>
      <c r="AC220" s="26">
        <v>1312</v>
      </c>
      <c r="AD220" s="26">
        <v>1667</v>
      </c>
      <c r="AE220" s="27">
        <v>101100</v>
      </c>
      <c r="AF220" s="27">
        <v>7600</v>
      </c>
      <c r="AG220" s="28"/>
      <c r="AH220" s="28"/>
      <c r="AI220" s="17">
        <v>2017</v>
      </c>
      <c r="AJ220" s="17">
        <v>0</v>
      </c>
      <c r="AK220" s="17">
        <v>0</v>
      </c>
    </row>
    <row r="221" spans="1:38" ht="12.75" customHeight="1">
      <c r="A221" s="52" t="s">
        <v>270</v>
      </c>
      <c r="B221" s="33" t="s">
        <v>260</v>
      </c>
      <c r="C221" s="27">
        <v>27</v>
      </c>
      <c r="D221" s="65" t="s">
        <v>196</v>
      </c>
      <c r="E221" s="65">
        <v>0</v>
      </c>
      <c r="F221" s="33" t="s">
        <v>261</v>
      </c>
      <c r="G221" s="19" t="s">
        <v>262</v>
      </c>
      <c r="H221" s="66" t="s">
        <v>263</v>
      </c>
      <c r="I221" s="17" t="b">
        <v>0</v>
      </c>
      <c r="J221" s="17" t="s">
        <v>43</v>
      </c>
      <c r="K221" s="21" t="str">
        <f t="shared" si="3"/>
        <v>https://version2.ice-d.org/antarctica/sample/R2019-JBG030/</v>
      </c>
      <c r="L221" s="52" t="s">
        <v>39</v>
      </c>
      <c r="M221" s="155"/>
      <c r="O221" s="17" t="s">
        <v>264</v>
      </c>
      <c r="P221" s="22">
        <v>-74.612629999999996</v>
      </c>
      <c r="Q221" s="22">
        <v>164.22058000000001</v>
      </c>
      <c r="R221" s="22"/>
      <c r="S221" s="22">
        <v>90</v>
      </c>
      <c r="T221" s="22">
        <v>0</v>
      </c>
      <c r="U221" s="23">
        <v>90</v>
      </c>
      <c r="V221" s="24" t="s">
        <v>2093</v>
      </c>
      <c r="W221" s="25" t="s">
        <v>2352</v>
      </c>
      <c r="X221" s="22">
        <f t="shared" si="7"/>
        <v>90</v>
      </c>
      <c r="Y221" s="22">
        <v>6.3</v>
      </c>
      <c r="Z221" s="22">
        <v>2.7</v>
      </c>
      <c r="AA221" s="17" t="s">
        <v>46</v>
      </c>
      <c r="AB221" s="26">
        <v>14212</v>
      </c>
      <c r="AC221" s="26">
        <v>1123</v>
      </c>
      <c r="AD221" s="26">
        <v>1403</v>
      </c>
      <c r="AE221" s="27">
        <v>81300</v>
      </c>
      <c r="AF221" s="27">
        <v>6400</v>
      </c>
      <c r="AG221" s="28"/>
      <c r="AH221" s="28"/>
      <c r="AI221" s="17">
        <v>2017</v>
      </c>
      <c r="AJ221" s="17">
        <v>0</v>
      </c>
      <c r="AK221" s="17">
        <v>0</v>
      </c>
    </row>
    <row r="222" spans="1:38" ht="12.75" customHeight="1">
      <c r="A222" s="52" t="s">
        <v>271</v>
      </c>
      <c r="B222" s="33" t="s">
        <v>260</v>
      </c>
      <c r="C222" s="27">
        <v>27</v>
      </c>
      <c r="D222" s="65" t="s">
        <v>196</v>
      </c>
      <c r="E222" s="65">
        <v>0</v>
      </c>
      <c r="F222" s="33" t="s">
        <v>261</v>
      </c>
      <c r="G222" s="19" t="s">
        <v>262</v>
      </c>
      <c r="H222" s="66" t="s">
        <v>263</v>
      </c>
      <c r="I222" s="17" t="b">
        <v>0</v>
      </c>
      <c r="J222" s="17" t="s">
        <v>43</v>
      </c>
      <c r="K222" s="21" t="str">
        <f t="shared" si="3"/>
        <v>https://version2.ice-d.org/antarctica/sample/R2019-JBG031/</v>
      </c>
      <c r="L222" s="52" t="s">
        <v>39</v>
      </c>
      <c r="M222" s="155"/>
      <c r="O222" s="17" t="s">
        <v>264</v>
      </c>
      <c r="P222" s="22">
        <v>-74.618229999999997</v>
      </c>
      <c r="Q222" s="22">
        <v>164.23032000000001</v>
      </c>
      <c r="R222" s="22"/>
      <c r="S222" s="22">
        <v>41</v>
      </c>
      <c r="T222" s="22">
        <v>0</v>
      </c>
      <c r="U222" s="23">
        <v>90</v>
      </c>
      <c r="V222" s="24" t="s">
        <v>2094</v>
      </c>
      <c r="W222" s="25" t="s">
        <v>2352</v>
      </c>
      <c r="X222" s="22">
        <f t="shared" si="7"/>
        <v>41</v>
      </c>
      <c r="Y222" s="22">
        <v>10.4</v>
      </c>
      <c r="Z222" s="22">
        <v>2.7</v>
      </c>
      <c r="AA222" s="17" t="s">
        <v>46</v>
      </c>
      <c r="AB222" s="26">
        <v>7987</v>
      </c>
      <c r="AC222" s="26">
        <v>906</v>
      </c>
      <c r="AD222" s="26">
        <v>1022</v>
      </c>
      <c r="AE222" s="27">
        <v>42400</v>
      </c>
      <c r="AF222" s="27">
        <v>4800</v>
      </c>
      <c r="AG222" s="28"/>
      <c r="AH222" s="28"/>
      <c r="AI222" s="17">
        <v>2017</v>
      </c>
      <c r="AJ222" s="17">
        <v>0</v>
      </c>
      <c r="AK222" s="17">
        <v>0</v>
      </c>
    </row>
    <row r="223" spans="1:38" ht="12.75" customHeight="1">
      <c r="A223" s="52" t="s">
        <v>272</v>
      </c>
      <c r="B223" s="33" t="s">
        <v>260</v>
      </c>
      <c r="C223" s="27">
        <v>27</v>
      </c>
      <c r="D223" s="65" t="s">
        <v>196</v>
      </c>
      <c r="E223" s="65">
        <v>0</v>
      </c>
      <c r="F223" s="33" t="s">
        <v>261</v>
      </c>
      <c r="G223" s="19" t="s">
        <v>262</v>
      </c>
      <c r="H223" s="66" t="s">
        <v>263</v>
      </c>
      <c r="I223" s="17" t="b">
        <v>0</v>
      </c>
      <c r="J223" s="17" t="s">
        <v>43</v>
      </c>
      <c r="K223" s="21" t="str">
        <f t="shared" si="3"/>
        <v>https://version2.ice-d.org/antarctica/sample/R2019-JBG032/</v>
      </c>
      <c r="L223" s="52" t="s">
        <v>39</v>
      </c>
      <c r="M223" s="155"/>
      <c r="O223" s="17" t="s">
        <v>264</v>
      </c>
      <c r="P223" s="22">
        <v>-74.618229999999997</v>
      </c>
      <c r="Q223" s="22">
        <v>164.23033000000001</v>
      </c>
      <c r="R223" s="22"/>
      <c r="S223" s="22">
        <v>41</v>
      </c>
      <c r="T223" s="22">
        <v>0</v>
      </c>
      <c r="U223" s="23">
        <v>90</v>
      </c>
      <c r="V223" s="24" t="s">
        <v>2095</v>
      </c>
      <c r="W223" s="25" t="s">
        <v>2352</v>
      </c>
      <c r="X223" s="22">
        <f t="shared" si="7"/>
        <v>41</v>
      </c>
      <c r="Y223" s="22">
        <v>7.6</v>
      </c>
      <c r="Z223" s="22">
        <v>2.7</v>
      </c>
      <c r="AA223" s="17" t="s">
        <v>46</v>
      </c>
      <c r="AB223" s="26">
        <v>7441</v>
      </c>
      <c r="AC223" s="26">
        <v>1017</v>
      </c>
      <c r="AD223" s="26">
        <v>1108</v>
      </c>
      <c r="AE223" s="27">
        <v>40300</v>
      </c>
      <c r="AF223" s="27">
        <v>5500</v>
      </c>
      <c r="AG223" s="28"/>
      <c r="AH223" s="28"/>
      <c r="AI223" s="17">
        <v>2017</v>
      </c>
      <c r="AJ223" s="17">
        <v>0</v>
      </c>
      <c r="AK223" s="17">
        <v>0</v>
      </c>
    </row>
    <row r="224" spans="1:38" ht="12.75" customHeight="1">
      <c r="A224" s="52" t="s">
        <v>273</v>
      </c>
      <c r="B224" s="33" t="s">
        <v>260</v>
      </c>
      <c r="C224" s="27">
        <v>27</v>
      </c>
      <c r="D224" s="65" t="s">
        <v>196</v>
      </c>
      <c r="E224" s="65">
        <v>0</v>
      </c>
      <c r="F224" s="33" t="s">
        <v>261</v>
      </c>
      <c r="G224" s="19" t="s">
        <v>262</v>
      </c>
      <c r="H224" s="66" t="s">
        <v>263</v>
      </c>
      <c r="I224" s="17" t="b">
        <v>0</v>
      </c>
      <c r="J224" s="17" t="s">
        <v>43</v>
      </c>
      <c r="K224" s="21" t="str">
        <f t="shared" si="3"/>
        <v>https://version2.ice-d.org/antarctica/sample/R2019-JBG033/</v>
      </c>
      <c r="L224" s="52" t="s">
        <v>39</v>
      </c>
      <c r="M224" s="155"/>
      <c r="O224" s="17" t="s">
        <v>264</v>
      </c>
      <c r="P224" s="22">
        <v>-74.618319999999997</v>
      </c>
      <c r="Q224" s="22">
        <v>164.23026999999999</v>
      </c>
      <c r="R224" s="22"/>
      <c r="S224" s="22">
        <v>41</v>
      </c>
      <c r="T224" s="22">
        <v>0</v>
      </c>
      <c r="U224" s="23">
        <v>90</v>
      </c>
      <c r="V224" s="24" t="s">
        <v>2096</v>
      </c>
      <c r="W224" s="25" t="s">
        <v>2352</v>
      </c>
      <c r="X224" s="22">
        <f t="shared" si="7"/>
        <v>41</v>
      </c>
      <c r="Y224" s="22">
        <v>5.2</v>
      </c>
      <c r="Z224" s="22">
        <v>2.7</v>
      </c>
      <c r="AA224" s="17" t="s">
        <v>46</v>
      </c>
      <c r="AB224" s="26">
        <v>10383</v>
      </c>
      <c r="AC224" s="26">
        <v>1090</v>
      </c>
      <c r="AD224" s="26">
        <v>1251</v>
      </c>
      <c r="AE224" s="27">
        <v>57300</v>
      </c>
      <c r="AF224" s="27">
        <v>6000</v>
      </c>
      <c r="AG224" s="28"/>
      <c r="AH224" s="28"/>
      <c r="AI224" s="17">
        <v>2017</v>
      </c>
      <c r="AJ224" s="17">
        <v>0</v>
      </c>
      <c r="AK224" s="17">
        <v>0</v>
      </c>
    </row>
    <row r="225" spans="1:38" ht="12.75" customHeight="1">
      <c r="A225" s="52" t="s">
        <v>274</v>
      </c>
      <c r="B225" s="33" t="s">
        <v>260</v>
      </c>
      <c r="C225" s="27">
        <v>27</v>
      </c>
      <c r="D225" s="65" t="s">
        <v>196</v>
      </c>
      <c r="E225" s="65">
        <v>0</v>
      </c>
      <c r="F225" s="33" t="s">
        <v>261</v>
      </c>
      <c r="G225" s="19" t="s">
        <v>262</v>
      </c>
      <c r="H225" s="66" t="s">
        <v>263</v>
      </c>
      <c r="I225" s="17" t="b">
        <v>0</v>
      </c>
      <c r="J225" s="17" t="s">
        <v>43</v>
      </c>
      <c r="K225" s="21" t="str">
        <f t="shared" si="3"/>
        <v>https://version2.ice-d.org/antarctica/sample/R2019-JBG034/</v>
      </c>
      <c r="L225" s="52" t="s">
        <v>39</v>
      </c>
      <c r="M225" s="155"/>
      <c r="O225" s="17" t="s">
        <v>264</v>
      </c>
      <c r="P225" s="22">
        <v>-74.618319999999997</v>
      </c>
      <c r="Q225" s="22">
        <v>164.23023000000001</v>
      </c>
      <c r="R225" s="22"/>
      <c r="S225" s="22">
        <v>41</v>
      </c>
      <c r="T225" s="22">
        <v>0</v>
      </c>
      <c r="U225" s="23">
        <v>90</v>
      </c>
      <c r="V225" s="24" t="s">
        <v>2097</v>
      </c>
      <c r="W225" s="25" t="s">
        <v>2352</v>
      </c>
      <c r="X225" s="22">
        <f t="shared" si="7"/>
        <v>41</v>
      </c>
      <c r="Y225" s="22">
        <v>7.8</v>
      </c>
      <c r="Z225" s="22">
        <v>2.7</v>
      </c>
      <c r="AA225" s="17" t="s">
        <v>46</v>
      </c>
      <c r="AB225" s="26">
        <v>10908</v>
      </c>
      <c r="AC225" s="26">
        <v>1618</v>
      </c>
      <c r="AD225" s="26">
        <v>1742</v>
      </c>
      <c r="AE225" s="27">
        <v>58800</v>
      </c>
      <c r="AF225" s="27">
        <v>8700</v>
      </c>
      <c r="AG225" s="28"/>
      <c r="AH225" s="28"/>
      <c r="AI225" s="17">
        <v>2017</v>
      </c>
      <c r="AJ225" s="17">
        <v>0</v>
      </c>
      <c r="AK225" s="17">
        <v>0</v>
      </c>
    </row>
    <row r="226" spans="1:38" ht="12.75" customHeight="1">
      <c r="A226" s="52" t="s">
        <v>275</v>
      </c>
      <c r="B226" s="33" t="s">
        <v>260</v>
      </c>
      <c r="C226" s="27">
        <v>27</v>
      </c>
      <c r="D226" s="65" t="s">
        <v>196</v>
      </c>
      <c r="E226" s="65">
        <v>0</v>
      </c>
      <c r="F226" s="33" t="s">
        <v>261</v>
      </c>
      <c r="G226" s="19" t="s">
        <v>262</v>
      </c>
      <c r="H226" s="66" t="s">
        <v>263</v>
      </c>
      <c r="I226" s="17" t="b">
        <v>0</v>
      </c>
      <c r="J226" s="17" t="s">
        <v>43</v>
      </c>
      <c r="K226" s="21" t="str">
        <f t="shared" si="3"/>
        <v>https://version2.ice-d.org/antarctica/sample/R2019-JBG035/</v>
      </c>
      <c r="L226" s="52" t="s">
        <v>39</v>
      </c>
      <c r="M226" s="155"/>
      <c r="O226" s="17" t="s">
        <v>264</v>
      </c>
      <c r="P226" s="22">
        <v>-74.618499999999997</v>
      </c>
      <c r="Q226" s="22">
        <v>164.23015000000001</v>
      </c>
      <c r="R226" s="22"/>
      <c r="S226" s="22">
        <v>41</v>
      </c>
      <c r="T226" s="22">
        <v>0</v>
      </c>
      <c r="U226" s="23">
        <v>90</v>
      </c>
      <c r="V226" s="24" t="s">
        <v>2098</v>
      </c>
      <c r="W226" s="25" t="s">
        <v>2352</v>
      </c>
      <c r="X226" s="22">
        <f t="shared" si="7"/>
        <v>41</v>
      </c>
      <c r="Y226" s="22">
        <v>8.8000000000000007</v>
      </c>
      <c r="Z226" s="22">
        <v>2.7</v>
      </c>
      <c r="AA226" s="17" t="s">
        <v>46</v>
      </c>
      <c r="AB226" s="26">
        <v>18295</v>
      </c>
      <c r="AC226" s="26">
        <v>1510</v>
      </c>
      <c r="AD226" s="26">
        <v>1859</v>
      </c>
      <c r="AE226" s="27">
        <v>97400</v>
      </c>
      <c r="AF226" s="27">
        <v>8000</v>
      </c>
      <c r="AG226" s="28"/>
      <c r="AH226" s="28"/>
      <c r="AI226" s="17">
        <v>2017</v>
      </c>
      <c r="AJ226" s="17">
        <v>0</v>
      </c>
      <c r="AK226" s="17">
        <v>1</v>
      </c>
      <c r="AL226" s="17" t="s">
        <v>276</v>
      </c>
    </row>
    <row r="227" spans="1:38" ht="12.75" customHeight="1">
      <c r="A227" s="52" t="s">
        <v>277</v>
      </c>
      <c r="B227" s="33" t="s">
        <v>260</v>
      </c>
      <c r="C227" s="27">
        <v>27</v>
      </c>
      <c r="D227" s="65" t="s">
        <v>196</v>
      </c>
      <c r="E227" s="65">
        <v>0</v>
      </c>
      <c r="F227" s="33" t="s">
        <v>261</v>
      </c>
      <c r="G227" s="19" t="s">
        <v>262</v>
      </c>
      <c r="H227" s="66" t="s">
        <v>263</v>
      </c>
      <c r="I227" s="17" t="b">
        <v>0</v>
      </c>
      <c r="J227" s="17" t="s">
        <v>43</v>
      </c>
      <c r="K227" s="21" t="str">
        <f t="shared" si="3"/>
        <v>https://version2.ice-d.org/antarctica/sample/R2019-JBG038/</v>
      </c>
      <c r="L227" s="52" t="s">
        <v>39</v>
      </c>
      <c r="M227" s="155"/>
      <c r="O227" s="17" t="s">
        <v>264</v>
      </c>
      <c r="P227" s="22">
        <v>-74.618570000000005</v>
      </c>
      <c r="Q227" s="22">
        <v>164.2304</v>
      </c>
      <c r="R227" s="22"/>
      <c r="S227" s="22">
        <v>40</v>
      </c>
      <c r="T227" s="22">
        <v>0</v>
      </c>
      <c r="U227" s="23">
        <v>90</v>
      </c>
      <c r="V227" s="24" t="s">
        <v>2099</v>
      </c>
      <c r="W227" s="25" t="s">
        <v>2352</v>
      </c>
      <c r="X227" s="22">
        <f t="shared" si="7"/>
        <v>40</v>
      </c>
      <c r="Y227" s="22">
        <v>6.4</v>
      </c>
      <c r="Z227" s="22">
        <v>2.7</v>
      </c>
      <c r="AA227" s="17" t="s">
        <v>46</v>
      </c>
      <c r="AB227" s="26">
        <v>7906</v>
      </c>
      <c r="AC227" s="26">
        <v>915</v>
      </c>
      <c r="AD227" s="26">
        <v>1027</v>
      </c>
      <c r="AE227" s="27">
        <v>43300</v>
      </c>
      <c r="AF227" s="27">
        <v>5000</v>
      </c>
      <c r="AG227" s="28"/>
      <c r="AH227" s="28"/>
      <c r="AI227" s="17">
        <v>2017</v>
      </c>
      <c r="AJ227" s="17">
        <v>0</v>
      </c>
      <c r="AK227" s="17">
        <v>0</v>
      </c>
    </row>
    <row r="228" spans="1:38" ht="12.75" customHeight="1">
      <c r="A228" s="52" t="s">
        <v>278</v>
      </c>
      <c r="B228" s="33" t="s">
        <v>260</v>
      </c>
      <c r="C228" s="27">
        <v>27</v>
      </c>
      <c r="D228" s="65" t="s">
        <v>196</v>
      </c>
      <c r="E228" s="65">
        <v>0</v>
      </c>
      <c r="F228" s="33" t="s">
        <v>261</v>
      </c>
      <c r="G228" s="19" t="s">
        <v>262</v>
      </c>
      <c r="H228" s="66" t="s">
        <v>263</v>
      </c>
      <c r="I228" s="17" t="b">
        <v>0</v>
      </c>
      <c r="J228" s="17" t="s">
        <v>43</v>
      </c>
      <c r="K228" s="21" t="str">
        <f t="shared" si="3"/>
        <v>https://version2.ice-d.org/antarctica/sample/R2019-JBG039/</v>
      </c>
      <c r="L228" s="52" t="s">
        <v>39</v>
      </c>
      <c r="M228" s="155"/>
      <c r="O228" s="17" t="s">
        <v>264</v>
      </c>
      <c r="P228" s="22">
        <v>-74.620429999999999</v>
      </c>
      <c r="Q228" s="22">
        <v>164.23302000000001</v>
      </c>
      <c r="R228" s="22"/>
      <c r="S228" s="22">
        <v>33</v>
      </c>
      <c r="T228" s="22">
        <v>0</v>
      </c>
      <c r="U228" s="23">
        <v>90</v>
      </c>
      <c r="V228" s="24" t="s">
        <v>2100</v>
      </c>
      <c r="W228" s="25" t="s">
        <v>2352</v>
      </c>
      <c r="X228" s="22">
        <f t="shared" si="7"/>
        <v>33</v>
      </c>
      <c r="Y228" s="22">
        <v>5.5</v>
      </c>
      <c r="Z228" s="22">
        <v>2.7</v>
      </c>
      <c r="AA228" s="17" t="s">
        <v>46</v>
      </c>
      <c r="AB228" s="26">
        <v>5164</v>
      </c>
      <c r="AC228" s="26">
        <v>923</v>
      </c>
      <c r="AD228" s="26">
        <v>973</v>
      </c>
      <c r="AE228" s="27">
        <v>28000</v>
      </c>
      <c r="AF228" s="27">
        <v>5000</v>
      </c>
      <c r="AG228" s="28"/>
      <c r="AH228" s="28"/>
      <c r="AI228" s="17">
        <v>2017</v>
      </c>
      <c r="AJ228" s="17">
        <v>0</v>
      </c>
      <c r="AK228" s="17">
        <v>0</v>
      </c>
    </row>
    <row r="229" spans="1:38" ht="12.75" customHeight="1">
      <c r="A229" s="52" t="s">
        <v>279</v>
      </c>
      <c r="B229" s="33" t="s">
        <v>260</v>
      </c>
      <c r="C229" s="27">
        <v>27</v>
      </c>
      <c r="D229" s="65" t="s">
        <v>196</v>
      </c>
      <c r="E229" s="65">
        <v>0</v>
      </c>
      <c r="F229" s="33" t="s">
        <v>261</v>
      </c>
      <c r="G229" s="19" t="s">
        <v>262</v>
      </c>
      <c r="H229" s="66" t="s">
        <v>263</v>
      </c>
      <c r="I229" s="17" t="b">
        <v>0</v>
      </c>
      <c r="J229" s="17" t="s">
        <v>43</v>
      </c>
      <c r="K229" s="21" t="str">
        <f t="shared" si="3"/>
        <v>https://version2.ice-d.org/antarctica/sample/R2019-JBG040/</v>
      </c>
      <c r="L229" s="52" t="s">
        <v>39</v>
      </c>
      <c r="M229" s="155"/>
      <c r="O229" s="17" t="s">
        <v>264</v>
      </c>
      <c r="P229" s="22">
        <v>-74.620429999999999</v>
      </c>
      <c r="Q229" s="22">
        <v>164.23302000000001</v>
      </c>
      <c r="R229" s="22"/>
      <c r="S229" s="22">
        <v>33</v>
      </c>
      <c r="T229" s="22">
        <v>0</v>
      </c>
      <c r="U229" s="23">
        <v>90</v>
      </c>
      <c r="V229" s="24" t="s">
        <v>2101</v>
      </c>
      <c r="W229" s="25" t="s">
        <v>2352</v>
      </c>
      <c r="X229" s="22">
        <f t="shared" si="7"/>
        <v>33</v>
      </c>
      <c r="Y229" s="22">
        <v>7.8</v>
      </c>
      <c r="Z229" s="22">
        <v>2.7</v>
      </c>
      <c r="AA229" s="17" t="s">
        <v>46</v>
      </c>
      <c r="AB229" s="26">
        <v>4262</v>
      </c>
      <c r="AC229" s="26">
        <v>711</v>
      </c>
      <c r="AD229" s="26">
        <v>754</v>
      </c>
      <c r="AE229" s="27">
        <v>22800</v>
      </c>
      <c r="AF229" s="27">
        <v>3800</v>
      </c>
      <c r="AG229" s="28"/>
      <c r="AH229" s="28"/>
      <c r="AI229" s="17">
        <v>2017</v>
      </c>
      <c r="AJ229" s="17">
        <v>0</v>
      </c>
      <c r="AK229" s="17">
        <v>0</v>
      </c>
    </row>
    <row r="230" spans="1:38" ht="12.75" customHeight="1">
      <c r="A230" s="52" t="s">
        <v>280</v>
      </c>
      <c r="B230" s="33" t="s">
        <v>260</v>
      </c>
      <c r="C230" s="27">
        <v>27</v>
      </c>
      <c r="D230" s="65" t="s">
        <v>196</v>
      </c>
      <c r="E230" s="65">
        <v>0</v>
      </c>
      <c r="F230" s="33" t="s">
        <v>261</v>
      </c>
      <c r="G230" s="19" t="s">
        <v>262</v>
      </c>
      <c r="H230" s="66" t="s">
        <v>263</v>
      </c>
      <c r="I230" s="17" t="b">
        <v>0</v>
      </c>
      <c r="J230" s="17" t="s">
        <v>43</v>
      </c>
      <c r="K230" s="21" t="str">
        <f t="shared" si="3"/>
        <v>https://version2.ice-d.org/antarctica/sample/R2019-JBG041/</v>
      </c>
      <c r="L230" s="52" t="s">
        <v>39</v>
      </c>
      <c r="M230" s="155"/>
      <c r="O230" s="17" t="s">
        <v>264</v>
      </c>
      <c r="P230" s="22">
        <v>-74.620469999999997</v>
      </c>
      <c r="Q230" s="22">
        <v>164.23321999999999</v>
      </c>
      <c r="R230" s="22"/>
      <c r="S230" s="22">
        <v>33</v>
      </c>
      <c r="T230" s="22">
        <v>0</v>
      </c>
      <c r="U230" s="23">
        <v>90</v>
      </c>
      <c r="V230" s="24" t="s">
        <v>2102</v>
      </c>
      <c r="W230" s="25" t="s">
        <v>2352</v>
      </c>
      <c r="X230" s="22">
        <f t="shared" si="7"/>
        <v>33</v>
      </c>
      <c r="Y230" s="22">
        <v>7.2</v>
      </c>
      <c r="Z230" s="22">
        <v>2.7</v>
      </c>
      <c r="AA230" s="17" t="s">
        <v>46</v>
      </c>
      <c r="AB230" s="26">
        <v>6005</v>
      </c>
      <c r="AC230" s="26">
        <v>859</v>
      </c>
      <c r="AD230" s="26">
        <v>930</v>
      </c>
      <c r="AE230" s="27">
        <v>32200</v>
      </c>
      <c r="AF230" s="27">
        <v>4600</v>
      </c>
      <c r="AG230" s="28"/>
      <c r="AH230" s="28"/>
      <c r="AI230" s="17">
        <v>2017</v>
      </c>
      <c r="AJ230" s="17">
        <v>0</v>
      </c>
      <c r="AK230" s="17">
        <v>0</v>
      </c>
    </row>
    <row r="231" spans="1:38" ht="12.75" customHeight="1">
      <c r="A231" s="52" t="s">
        <v>281</v>
      </c>
      <c r="B231" s="33" t="s">
        <v>260</v>
      </c>
      <c r="C231" s="27">
        <v>27</v>
      </c>
      <c r="D231" s="65" t="s">
        <v>196</v>
      </c>
      <c r="E231" s="65">
        <v>0</v>
      </c>
      <c r="F231" s="33" t="s">
        <v>261</v>
      </c>
      <c r="G231" s="19" t="s">
        <v>262</v>
      </c>
      <c r="H231" s="66" t="s">
        <v>263</v>
      </c>
      <c r="I231" s="17" t="b">
        <v>0</v>
      </c>
      <c r="J231" s="17" t="s">
        <v>43</v>
      </c>
      <c r="K231" s="21" t="str">
        <f t="shared" si="3"/>
        <v>https://version2.ice-d.org/antarctica/sample/R2019-JBG042/</v>
      </c>
      <c r="L231" s="52" t="s">
        <v>39</v>
      </c>
      <c r="M231" s="155"/>
      <c r="O231" s="17" t="s">
        <v>264</v>
      </c>
      <c r="P231" s="22">
        <v>-74.620469999999997</v>
      </c>
      <c r="Q231" s="22">
        <v>164.23321999999999</v>
      </c>
      <c r="R231" s="22"/>
      <c r="S231" s="22">
        <v>33</v>
      </c>
      <c r="T231" s="22">
        <v>0</v>
      </c>
      <c r="U231" s="23">
        <v>90</v>
      </c>
      <c r="V231" s="24" t="s">
        <v>2103</v>
      </c>
      <c r="W231" s="25" t="s">
        <v>2352</v>
      </c>
      <c r="X231" s="22">
        <f t="shared" si="7"/>
        <v>33</v>
      </c>
      <c r="Y231" s="22">
        <v>5.4</v>
      </c>
      <c r="Z231" s="22">
        <v>2.7</v>
      </c>
      <c r="AA231" s="17" t="s">
        <v>46</v>
      </c>
      <c r="AB231" s="26">
        <v>7390</v>
      </c>
      <c r="AC231" s="26">
        <v>1026</v>
      </c>
      <c r="AD231" s="26">
        <v>1115</v>
      </c>
      <c r="AE231" s="27">
        <v>40400</v>
      </c>
      <c r="AF231" s="27">
        <v>5600</v>
      </c>
      <c r="AG231" s="28"/>
      <c r="AH231" s="28"/>
      <c r="AI231" s="17">
        <v>2017</v>
      </c>
      <c r="AJ231" s="17">
        <v>0</v>
      </c>
      <c r="AK231" s="17">
        <v>0</v>
      </c>
    </row>
    <row r="232" spans="1:38" ht="12.75" customHeight="1">
      <c r="A232" s="52" t="s">
        <v>282</v>
      </c>
      <c r="B232" s="33" t="s">
        <v>260</v>
      </c>
      <c r="C232" s="27">
        <v>27</v>
      </c>
      <c r="D232" s="65" t="s">
        <v>196</v>
      </c>
      <c r="E232" s="65">
        <v>0</v>
      </c>
      <c r="F232" s="33" t="s">
        <v>261</v>
      </c>
      <c r="G232" s="19" t="s">
        <v>262</v>
      </c>
      <c r="H232" s="66" t="s">
        <v>263</v>
      </c>
      <c r="I232" s="17" t="b">
        <v>0</v>
      </c>
      <c r="J232" s="17" t="s">
        <v>43</v>
      </c>
      <c r="K232" s="21" t="str">
        <f t="shared" si="3"/>
        <v>https://version2.ice-d.org/antarctica/sample/R2019-JBG043/</v>
      </c>
      <c r="L232" s="52" t="s">
        <v>39</v>
      </c>
      <c r="M232" s="155"/>
      <c r="O232" s="17" t="s">
        <v>264</v>
      </c>
      <c r="P232" s="22">
        <v>-74.620469999999997</v>
      </c>
      <c r="Q232" s="22">
        <v>164.23312000000001</v>
      </c>
      <c r="R232" s="22"/>
      <c r="S232" s="22">
        <v>33</v>
      </c>
      <c r="T232" s="22">
        <v>0</v>
      </c>
      <c r="U232" s="23">
        <v>90</v>
      </c>
      <c r="V232" s="24" t="s">
        <v>2104</v>
      </c>
      <c r="W232" s="25" t="s">
        <v>2352</v>
      </c>
      <c r="X232" s="22">
        <f t="shared" si="7"/>
        <v>33</v>
      </c>
      <c r="Y232" s="22">
        <v>6.4</v>
      </c>
      <c r="Z232" s="22">
        <v>2.7</v>
      </c>
      <c r="AA232" s="17" t="s">
        <v>46</v>
      </c>
      <c r="AB232" s="26">
        <v>6022</v>
      </c>
      <c r="AC232" s="26">
        <v>872</v>
      </c>
      <c r="AD232" s="26">
        <v>942</v>
      </c>
      <c r="AE232" s="27">
        <v>32500</v>
      </c>
      <c r="AF232" s="27">
        <v>4700</v>
      </c>
      <c r="AG232" s="28"/>
      <c r="AH232" s="28"/>
      <c r="AI232" s="17">
        <v>2017</v>
      </c>
      <c r="AJ232" s="17">
        <v>0</v>
      </c>
      <c r="AK232" s="17">
        <v>0</v>
      </c>
    </row>
    <row r="233" spans="1:38" ht="12.75" customHeight="1">
      <c r="A233" s="48" t="s">
        <v>283</v>
      </c>
      <c r="B233" s="33" t="s">
        <v>284</v>
      </c>
      <c r="C233" s="17">
        <v>28</v>
      </c>
      <c r="D233" s="20" t="s">
        <v>196</v>
      </c>
      <c r="E233" s="19">
        <v>0</v>
      </c>
      <c r="F233" s="33" t="s">
        <v>285</v>
      </c>
      <c r="G233" s="19" t="s">
        <v>286</v>
      </c>
      <c r="H233" s="19" t="s">
        <v>263</v>
      </c>
      <c r="I233" s="17" t="b">
        <v>0</v>
      </c>
      <c r="J233" s="17" t="s">
        <v>43</v>
      </c>
      <c r="K233" s="21" t="str">
        <f t="shared" si="3"/>
        <v>https://version2.ice-d.org/antarctica/sample/JS2017-HB-TC-01/</v>
      </c>
      <c r="L233" s="48" t="s">
        <v>39</v>
      </c>
      <c r="M233" s="205" t="s">
        <v>44</v>
      </c>
      <c r="O233" s="17" t="s">
        <v>287</v>
      </c>
      <c r="P233" s="22">
        <v>-75.391769999999994</v>
      </c>
      <c r="Q233" s="22">
        <v>162.21245999999999</v>
      </c>
      <c r="R233" s="22"/>
      <c r="S233" s="22">
        <v>120.8</v>
      </c>
      <c r="T233" s="17">
        <v>56</v>
      </c>
      <c r="U233" s="23">
        <v>230</v>
      </c>
      <c r="V233" s="24" t="s">
        <v>2353</v>
      </c>
      <c r="W233" s="44" t="s">
        <v>2354</v>
      </c>
      <c r="X233" s="22">
        <v>65</v>
      </c>
      <c r="Y233" s="22">
        <v>4.8</v>
      </c>
      <c r="Z233" s="22">
        <v>2.7</v>
      </c>
      <c r="AA233" s="17" t="s">
        <v>84</v>
      </c>
      <c r="AB233" s="26">
        <v>5947</v>
      </c>
      <c r="AC233" s="26">
        <v>230</v>
      </c>
      <c r="AD233" s="26">
        <v>420</v>
      </c>
      <c r="AE233" s="27">
        <v>35416</v>
      </c>
      <c r="AF233" s="27">
        <v>1368</v>
      </c>
      <c r="AG233" s="28"/>
      <c r="AH233" s="28"/>
      <c r="AI233" s="17">
        <v>2017</v>
      </c>
      <c r="AJ233" s="17">
        <v>1</v>
      </c>
      <c r="AK233" s="17">
        <v>0</v>
      </c>
    </row>
    <row r="234" spans="1:38" ht="12.75" customHeight="1">
      <c r="A234" s="48" t="s">
        <v>288</v>
      </c>
      <c r="B234" s="33" t="s">
        <v>284</v>
      </c>
      <c r="C234" s="17">
        <v>28</v>
      </c>
      <c r="D234" s="20" t="s">
        <v>196</v>
      </c>
      <c r="E234" s="19">
        <v>0</v>
      </c>
      <c r="F234" s="33" t="s">
        <v>285</v>
      </c>
      <c r="G234" s="19" t="s">
        <v>286</v>
      </c>
      <c r="H234" s="19" t="s">
        <v>263</v>
      </c>
      <c r="I234" s="17" t="b">
        <v>0</v>
      </c>
      <c r="J234" s="17" t="s">
        <v>43</v>
      </c>
      <c r="K234" s="21" t="str">
        <f t="shared" si="3"/>
        <v>https://version2.ice-d.org/antarctica/sample/JS2017-HB-TC-03/</v>
      </c>
      <c r="L234" s="48" t="s">
        <v>39</v>
      </c>
      <c r="M234" s="155"/>
      <c r="O234" s="17" t="s">
        <v>287</v>
      </c>
      <c r="P234" s="22">
        <v>-75.392020000000002</v>
      </c>
      <c r="Q234" s="22">
        <v>162.21334999999999</v>
      </c>
      <c r="R234" s="22"/>
      <c r="S234" s="22">
        <v>124.3</v>
      </c>
      <c r="T234" s="17">
        <v>56</v>
      </c>
      <c r="U234" s="23">
        <v>230</v>
      </c>
      <c r="V234" s="24" t="s">
        <v>2064</v>
      </c>
      <c r="W234" s="44" t="s">
        <v>2354</v>
      </c>
      <c r="X234" s="22">
        <v>68</v>
      </c>
      <c r="Y234" s="22">
        <v>5.73</v>
      </c>
      <c r="Z234" s="22">
        <v>2.2999999999999998</v>
      </c>
      <c r="AA234" s="17" t="s">
        <v>84</v>
      </c>
      <c r="AB234" s="26">
        <v>5624</v>
      </c>
      <c r="AC234" s="26">
        <v>205</v>
      </c>
      <c r="AD234" s="26">
        <v>390</v>
      </c>
      <c r="AE234" s="27">
        <v>33548</v>
      </c>
      <c r="AF234" s="27">
        <v>1220</v>
      </c>
      <c r="AG234" s="28"/>
      <c r="AH234" s="28"/>
      <c r="AI234" s="17">
        <v>2017</v>
      </c>
      <c r="AJ234" s="17">
        <v>1</v>
      </c>
      <c r="AK234" s="17">
        <v>0</v>
      </c>
    </row>
    <row r="235" spans="1:38" ht="12.75" customHeight="1">
      <c r="A235" s="48" t="s">
        <v>289</v>
      </c>
      <c r="B235" s="33" t="s">
        <v>284</v>
      </c>
      <c r="C235" s="17">
        <v>28</v>
      </c>
      <c r="D235" s="20" t="s">
        <v>196</v>
      </c>
      <c r="E235" s="19">
        <v>0</v>
      </c>
      <c r="F235" s="33" t="s">
        <v>285</v>
      </c>
      <c r="G235" s="19" t="s">
        <v>286</v>
      </c>
      <c r="H235" s="19" t="s">
        <v>263</v>
      </c>
      <c r="I235" s="17" t="b">
        <v>0</v>
      </c>
      <c r="J235" s="17" t="s">
        <v>43</v>
      </c>
      <c r="K235" s="21" t="str">
        <f t="shared" si="3"/>
        <v>https://version2.ice-d.org/antarctica/sample/JS2017-HB-TC-05/</v>
      </c>
      <c r="L235" s="48" t="s">
        <v>39</v>
      </c>
      <c r="M235" s="155"/>
      <c r="O235" s="17" t="s">
        <v>287</v>
      </c>
      <c r="P235" s="22">
        <v>-75.393020000000007</v>
      </c>
      <c r="Q235" s="22">
        <v>162.21217999999999</v>
      </c>
      <c r="R235" s="22"/>
      <c r="S235" s="22">
        <v>160.80000000000001</v>
      </c>
      <c r="T235" s="17">
        <v>56</v>
      </c>
      <c r="U235" s="23">
        <v>230</v>
      </c>
      <c r="V235" s="24" t="s">
        <v>2065</v>
      </c>
      <c r="W235" s="44" t="s">
        <v>2354</v>
      </c>
      <c r="X235" s="22">
        <v>105</v>
      </c>
      <c r="Y235" s="22">
        <v>4.75</v>
      </c>
      <c r="Z235" s="22">
        <v>2.2999999999999998</v>
      </c>
      <c r="AA235" s="17" t="s">
        <v>84</v>
      </c>
      <c r="AB235" s="26">
        <v>6314</v>
      </c>
      <c r="AC235" s="26">
        <v>225</v>
      </c>
      <c r="AD235" s="26">
        <v>436</v>
      </c>
      <c r="AE235" s="27">
        <v>39535</v>
      </c>
      <c r="AF235" s="27">
        <v>1404</v>
      </c>
      <c r="AG235" s="28"/>
      <c r="AH235" s="28"/>
      <c r="AI235" s="17">
        <v>2017</v>
      </c>
      <c r="AJ235" s="17">
        <v>1</v>
      </c>
      <c r="AK235" s="17">
        <v>0</v>
      </c>
    </row>
    <row r="236" spans="1:38" ht="12.75" customHeight="1">
      <c r="A236" s="48" t="s">
        <v>290</v>
      </c>
      <c r="B236" s="33" t="s">
        <v>284</v>
      </c>
      <c r="C236" s="17">
        <v>28</v>
      </c>
      <c r="D236" s="20" t="s">
        <v>196</v>
      </c>
      <c r="E236" s="19">
        <v>0</v>
      </c>
      <c r="F236" s="33" t="s">
        <v>285</v>
      </c>
      <c r="G236" s="19" t="s">
        <v>286</v>
      </c>
      <c r="H236" s="19" t="s">
        <v>263</v>
      </c>
      <c r="I236" s="17" t="b">
        <v>0</v>
      </c>
      <c r="J236" s="17" t="s">
        <v>43</v>
      </c>
      <c r="K236" s="21" t="str">
        <f t="shared" si="3"/>
        <v>https://version2.ice-d.org/antarctica/sample/JS2017-HB-TC-06/</v>
      </c>
      <c r="L236" s="48" t="s">
        <v>39</v>
      </c>
      <c r="M236" s="155"/>
      <c r="O236" s="17" t="s">
        <v>287</v>
      </c>
      <c r="P236" s="22">
        <v>-75.392319999999998</v>
      </c>
      <c r="Q236" s="22">
        <v>162.20908</v>
      </c>
      <c r="R236" s="22"/>
      <c r="S236" s="22">
        <v>146.4</v>
      </c>
      <c r="T236" s="17">
        <v>56</v>
      </c>
      <c r="U236" s="23">
        <v>230</v>
      </c>
      <c r="V236" s="24" t="s">
        <v>2066</v>
      </c>
      <c r="W236" s="44" t="s">
        <v>2354</v>
      </c>
      <c r="X236" s="22">
        <v>90</v>
      </c>
      <c r="Y236" s="22">
        <v>4.5599999999999996</v>
      </c>
      <c r="Z236" s="22">
        <v>2.2999999999999998</v>
      </c>
      <c r="AA236" s="17" t="s">
        <v>84</v>
      </c>
      <c r="AB236" s="26">
        <v>5932</v>
      </c>
      <c r="AC236" s="26">
        <v>214</v>
      </c>
      <c r="AD236" s="26">
        <v>411</v>
      </c>
      <c r="AE236" s="27">
        <v>36612</v>
      </c>
      <c r="AF236" s="27">
        <v>1317</v>
      </c>
      <c r="AG236" s="28"/>
      <c r="AH236" s="28"/>
      <c r="AI236" s="17">
        <v>2017</v>
      </c>
      <c r="AJ236" s="17">
        <v>1</v>
      </c>
      <c r="AK236" s="17">
        <v>0</v>
      </c>
    </row>
    <row r="237" spans="1:38" ht="12.75" customHeight="1">
      <c r="A237" s="48" t="s">
        <v>291</v>
      </c>
      <c r="B237" s="33" t="s">
        <v>284</v>
      </c>
      <c r="C237" s="17">
        <v>28</v>
      </c>
      <c r="D237" s="20" t="s">
        <v>196</v>
      </c>
      <c r="E237" s="19">
        <v>0</v>
      </c>
      <c r="F237" s="33" t="s">
        <v>285</v>
      </c>
      <c r="G237" s="19" t="s">
        <v>286</v>
      </c>
      <c r="H237" s="19" t="s">
        <v>263</v>
      </c>
      <c r="I237" s="17" t="b">
        <v>0</v>
      </c>
      <c r="J237" s="17" t="s">
        <v>43</v>
      </c>
      <c r="K237" s="21" t="str">
        <f t="shared" si="3"/>
        <v>https://version2.ice-d.org/antarctica/sample/JS2017-HB-TC-07/</v>
      </c>
      <c r="L237" s="48" t="s">
        <v>39</v>
      </c>
      <c r="M237" s="155"/>
      <c r="O237" s="17" t="s">
        <v>287</v>
      </c>
      <c r="P237" s="22">
        <v>-75.393510000000006</v>
      </c>
      <c r="Q237" s="22">
        <v>162.20914999999999</v>
      </c>
      <c r="R237" s="22"/>
      <c r="S237" s="22">
        <v>164.2</v>
      </c>
      <c r="T237" s="17">
        <v>56</v>
      </c>
      <c r="U237" s="23">
        <v>230</v>
      </c>
      <c r="V237" s="24" t="s">
        <v>2067</v>
      </c>
      <c r="W237" s="44" t="s">
        <v>2354</v>
      </c>
      <c r="X237" s="22">
        <v>108</v>
      </c>
      <c r="Y237" s="22">
        <v>5.54</v>
      </c>
      <c r="Z237" s="22">
        <v>2.2999999999999998</v>
      </c>
      <c r="AA237" s="17" t="s">
        <v>84</v>
      </c>
      <c r="AB237" s="26">
        <v>6132</v>
      </c>
      <c r="AC237" s="26">
        <v>218</v>
      </c>
      <c r="AD237" s="26">
        <v>423</v>
      </c>
      <c r="AE237" s="27">
        <v>37907</v>
      </c>
      <c r="AF237" s="27">
        <v>1346</v>
      </c>
      <c r="AG237" s="28"/>
      <c r="AH237" s="28"/>
      <c r="AI237" s="17">
        <v>2017</v>
      </c>
      <c r="AJ237" s="17">
        <v>1</v>
      </c>
      <c r="AK237" s="17">
        <v>0</v>
      </c>
    </row>
    <row r="238" spans="1:38" ht="12.75" customHeight="1">
      <c r="A238" s="48" t="s">
        <v>292</v>
      </c>
      <c r="B238" s="33" t="s">
        <v>284</v>
      </c>
      <c r="C238" s="17">
        <v>28</v>
      </c>
      <c r="D238" s="20" t="s">
        <v>196</v>
      </c>
      <c r="E238" s="19">
        <v>0</v>
      </c>
      <c r="F238" s="33" t="s">
        <v>285</v>
      </c>
      <c r="G238" s="19" t="s">
        <v>286</v>
      </c>
      <c r="H238" s="19" t="s">
        <v>263</v>
      </c>
      <c r="I238" s="17" t="b">
        <v>0</v>
      </c>
      <c r="J238" s="17" t="s">
        <v>43</v>
      </c>
      <c r="K238" s="21" t="str">
        <f t="shared" si="3"/>
        <v>https://version2.ice-d.org/antarctica/sample/JS2017-HB-TC-11/</v>
      </c>
      <c r="L238" s="48" t="s">
        <v>39</v>
      </c>
      <c r="M238" s="155"/>
      <c r="O238" s="17" t="s">
        <v>287</v>
      </c>
      <c r="P238" s="22">
        <v>-75.395679999999999</v>
      </c>
      <c r="Q238" s="22">
        <v>162.20212000000001</v>
      </c>
      <c r="R238" s="22"/>
      <c r="S238" s="22">
        <v>185.2</v>
      </c>
      <c r="T238" s="17">
        <v>56</v>
      </c>
      <c r="U238" s="23">
        <v>230</v>
      </c>
      <c r="V238" s="24" t="s">
        <v>2068</v>
      </c>
      <c r="W238" s="44" t="s">
        <v>2354</v>
      </c>
      <c r="X238" s="22">
        <v>129</v>
      </c>
      <c r="Y238" s="22">
        <v>5.45</v>
      </c>
      <c r="Z238" s="22">
        <v>2.2999999999999998</v>
      </c>
      <c r="AA238" s="17" t="s">
        <v>84</v>
      </c>
      <c r="AB238" s="26">
        <v>6089</v>
      </c>
      <c r="AC238" s="26">
        <v>222</v>
      </c>
      <c r="AD238" s="26">
        <v>423</v>
      </c>
      <c r="AE238" s="27">
        <v>38569</v>
      </c>
      <c r="AF238" s="27">
        <v>1404</v>
      </c>
      <c r="AG238" s="28"/>
      <c r="AH238" s="28"/>
      <c r="AI238" s="17">
        <v>2017</v>
      </c>
      <c r="AJ238" s="17">
        <v>1</v>
      </c>
      <c r="AK238" s="17">
        <v>0</v>
      </c>
    </row>
    <row r="239" spans="1:38" ht="12.75" customHeight="1">
      <c r="A239" s="48" t="s">
        <v>293</v>
      </c>
      <c r="B239" s="33" t="s">
        <v>284</v>
      </c>
      <c r="C239" s="17">
        <v>28</v>
      </c>
      <c r="D239" s="20" t="s">
        <v>196</v>
      </c>
      <c r="E239" s="19">
        <v>0</v>
      </c>
      <c r="F239" s="33" t="s">
        <v>285</v>
      </c>
      <c r="G239" s="19" t="s">
        <v>286</v>
      </c>
      <c r="H239" s="19" t="s">
        <v>263</v>
      </c>
      <c r="I239" s="17" t="b">
        <v>0</v>
      </c>
      <c r="J239" s="17" t="s">
        <v>43</v>
      </c>
      <c r="K239" s="21" t="str">
        <f t="shared" si="3"/>
        <v>https://version2.ice-d.org/antarctica/sample/JS2017-HB-TC-13/</v>
      </c>
      <c r="L239" s="48" t="s">
        <v>39</v>
      </c>
      <c r="M239" s="155"/>
      <c r="O239" s="17" t="s">
        <v>287</v>
      </c>
      <c r="P239" s="22">
        <v>-75.395939999999996</v>
      </c>
      <c r="Q239" s="22">
        <v>162.19969</v>
      </c>
      <c r="R239" s="22"/>
      <c r="S239" s="22">
        <v>203.5</v>
      </c>
      <c r="T239" s="17">
        <v>56</v>
      </c>
      <c r="U239" s="23">
        <v>230</v>
      </c>
      <c r="V239" s="24" t="s">
        <v>2069</v>
      </c>
      <c r="W239" s="44" t="s">
        <v>2354</v>
      </c>
      <c r="X239" s="22">
        <v>148</v>
      </c>
      <c r="Y239" s="22">
        <v>2.21</v>
      </c>
      <c r="Z239" s="22">
        <v>2.2999999999999998</v>
      </c>
      <c r="AA239" s="17" t="s">
        <v>84</v>
      </c>
      <c r="AB239" s="26">
        <v>6128</v>
      </c>
      <c r="AC239" s="26">
        <v>232</v>
      </c>
      <c r="AD239" s="26">
        <v>430</v>
      </c>
      <c r="AE239" s="27">
        <v>40675</v>
      </c>
      <c r="AF239" s="27">
        <v>1539</v>
      </c>
      <c r="AG239" s="28"/>
      <c r="AH239" s="28"/>
      <c r="AI239" s="17">
        <v>2017</v>
      </c>
      <c r="AJ239" s="17">
        <v>1</v>
      </c>
      <c r="AK239" s="17">
        <v>0</v>
      </c>
    </row>
    <row r="240" spans="1:38" ht="12.75" customHeight="1">
      <c r="A240" s="48" t="s">
        <v>294</v>
      </c>
      <c r="B240" s="33" t="s">
        <v>284</v>
      </c>
      <c r="C240" s="17">
        <v>28</v>
      </c>
      <c r="D240" s="20" t="s">
        <v>196</v>
      </c>
      <c r="E240" s="19">
        <v>0</v>
      </c>
      <c r="F240" s="33" t="s">
        <v>285</v>
      </c>
      <c r="G240" s="19" t="s">
        <v>286</v>
      </c>
      <c r="H240" s="19" t="s">
        <v>263</v>
      </c>
      <c r="I240" s="17" t="b">
        <v>0</v>
      </c>
      <c r="J240" s="17" t="s">
        <v>43</v>
      </c>
      <c r="K240" s="21" t="str">
        <f t="shared" si="3"/>
        <v>https://version2.ice-d.org/antarctica/sample/JS2017-HB-TC-15/</v>
      </c>
      <c r="L240" s="48" t="s">
        <v>39</v>
      </c>
      <c r="M240" s="155"/>
      <c r="O240" s="17" t="s">
        <v>287</v>
      </c>
      <c r="P240" s="22">
        <v>-75.397379999999998</v>
      </c>
      <c r="Q240" s="22">
        <v>162.19741999999999</v>
      </c>
      <c r="R240" s="22"/>
      <c r="S240" s="22">
        <v>214.8</v>
      </c>
      <c r="T240" s="17">
        <v>56</v>
      </c>
      <c r="U240" s="23">
        <v>230</v>
      </c>
      <c r="V240" s="24" t="s">
        <v>2070</v>
      </c>
      <c r="W240" s="44" t="s">
        <v>2354</v>
      </c>
      <c r="X240" s="22">
        <v>159</v>
      </c>
      <c r="Y240" s="22">
        <v>5.52</v>
      </c>
      <c r="Z240" s="22">
        <v>2.2999999999999998</v>
      </c>
      <c r="AA240" s="17" t="s">
        <v>84</v>
      </c>
      <c r="AB240" s="26">
        <v>5958</v>
      </c>
      <c r="AC240" s="26">
        <v>226</v>
      </c>
      <c r="AD240" s="26">
        <v>418</v>
      </c>
      <c r="AE240" s="27">
        <v>39089</v>
      </c>
      <c r="AF240" s="27">
        <v>1479</v>
      </c>
      <c r="AG240" s="28"/>
      <c r="AH240" s="28"/>
      <c r="AI240" s="17">
        <v>2017</v>
      </c>
      <c r="AJ240" s="17">
        <v>1</v>
      </c>
      <c r="AK240" s="17">
        <v>0</v>
      </c>
    </row>
    <row r="241" spans="1:39" ht="12.75" customHeight="1">
      <c r="A241" s="48" t="s">
        <v>295</v>
      </c>
      <c r="B241" s="33" t="s">
        <v>284</v>
      </c>
      <c r="C241" s="17">
        <v>28</v>
      </c>
      <c r="D241" s="20" t="s">
        <v>196</v>
      </c>
      <c r="E241" s="19">
        <v>0</v>
      </c>
      <c r="F241" s="33" t="s">
        <v>285</v>
      </c>
      <c r="G241" s="19" t="s">
        <v>286</v>
      </c>
      <c r="H241" s="19" t="s">
        <v>263</v>
      </c>
      <c r="I241" s="17" t="b">
        <v>0</v>
      </c>
      <c r="J241" s="17" t="s">
        <v>43</v>
      </c>
      <c r="K241" s="21" t="str">
        <f t="shared" si="3"/>
        <v>https://version2.ice-d.org/antarctica/sample/JS2017-HB-TC-16/</v>
      </c>
      <c r="L241" s="48" t="s">
        <v>39</v>
      </c>
      <c r="M241" s="155"/>
      <c r="O241" s="17" t="s">
        <v>287</v>
      </c>
      <c r="P241" s="22">
        <v>-75.398539999999997</v>
      </c>
      <c r="Q241" s="22">
        <v>162.19665000000001</v>
      </c>
      <c r="R241" s="22"/>
      <c r="S241" s="22">
        <v>229.2</v>
      </c>
      <c r="T241" s="17">
        <v>56</v>
      </c>
      <c r="U241" s="23">
        <v>230</v>
      </c>
      <c r="V241" s="24" t="s">
        <v>2071</v>
      </c>
      <c r="W241" s="44" t="s">
        <v>2354</v>
      </c>
      <c r="X241" s="22">
        <v>173</v>
      </c>
      <c r="Y241" s="22">
        <v>5.45</v>
      </c>
      <c r="Z241" s="22">
        <v>2.2999999999999998</v>
      </c>
      <c r="AA241" s="17" t="s">
        <v>84</v>
      </c>
      <c r="AB241" s="26">
        <v>6166</v>
      </c>
      <c r="AC241" s="26">
        <v>244</v>
      </c>
      <c r="AD241" s="26">
        <v>438</v>
      </c>
      <c r="AE241" s="27">
        <v>41012</v>
      </c>
      <c r="AF241" s="27">
        <v>1620</v>
      </c>
      <c r="AG241" s="28"/>
      <c r="AH241" s="28"/>
      <c r="AI241" s="17">
        <v>2017</v>
      </c>
      <c r="AJ241" s="17">
        <v>1</v>
      </c>
      <c r="AK241" s="17">
        <v>0</v>
      </c>
    </row>
    <row r="242" spans="1:39" ht="12.75" customHeight="1">
      <c r="A242" s="64" t="s">
        <v>296</v>
      </c>
      <c r="B242" s="33" t="s">
        <v>284</v>
      </c>
      <c r="C242" s="17">
        <v>28</v>
      </c>
      <c r="D242" s="20" t="s">
        <v>196</v>
      </c>
      <c r="E242" s="19">
        <v>0</v>
      </c>
      <c r="F242" s="33" t="s">
        <v>285</v>
      </c>
      <c r="G242" s="19" t="s">
        <v>286</v>
      </c>
      <c r="H242" s="19" t="s">
        <v>263</v>
      </c>
      <c r="I242" s="17" t="b">
        <v>0</v>
      </c>
      <c r="J242" s="17" t="s">
        <v>43</v>
      </c>
      <c r="K242" s="21" t="str">
        <f t="shared" si="3"/>
        <v>https://version2.ice-d.org/antarctica/sample/JS2017-HB-TE-01/</v>
      </c>
      <c r="L242" s="64" t="s">
        <v>39</v>
      </c>
      <c r="M242" s="194" t="s">
        <v>44</v>
      </c>
      <c r="O242" s="17" t="s">
        <v>287</v>
      </c>
      <c r="P242" s="22">
        <v>-75.392089999999996</v>
      </c>
      <c r="Q242" s="22">
        <v>162.22773000000001</v>
      </c>
      <c r="R242" s="22"/>
      <c r="S242" s="22">
        <v>68.2</v>
      </c>
      <c r="T242" s="17">
        <v>56</v>
      </c>
      <c r="U242" s="23">
        <v>230</v>
      </c>
      <c r="V242" s="24" t="s">
        <v>2072</v>
      </c>
      <c r="W242" s="44" t="s">
        <v>2354</v>
      </c>
      <c r="X242" s="22">
        <v>12</v>
      </c>
      <c r="Y242" s="22">
        <v>7.3</v>
      </c>
      <c r="Z242" s="22">
        <v>2.7</v>
      </c>
      <c r="AA242" s="17" t="s">
        <v>84</v>
      </c>
      <c r="AB242" s="26">
        <v>4106</v>
      </c>
      <c r="AC242" s="26">
        <v>176</v>
      </c>
      <c r="AD242" s="26">
        <v>299</v>
      </c>
      <c r="AE242" s="27">
        <v>22717</v>
      </c>
      <c r="AF242" s="27">
        <v>970</v>
      </c>
      <c r="AG242" s="28"/>
      <c r="AH242" s="28"/>
      <c r="AI242" s="17">
        <v>2017</v>
      </c>
      <c r="AJ242" s="17">
        <v>1</v>
      </c>
      <c r="AK242" s="17">
        <v>0</v>
      </c>
    </row>
    <row r="243" spans="1:39" ht="12.75" customHeight="1">
      <c r="A243" s="64" t="s">
        <v>297</v>
      </c>
      <c r="B243" s="33" t="s">
        <v>284</v>
      </c>
      <c r="C243" s="17">
        <v>28</v>
      </c>
      <c r="D243" s="20" t="s">
        <v>196</v>
      </c>
      <c r="E243" s="19">
        <v>0</v>
      </c>
      <c r="F243" s="33" t="s">
        <v>285</v>
      </c>
      <c r="G243" s="19" t="s">
        <v>286</v>
      </c>
      <c r="H243" s="19" t="s">
        <v>263</v>
      </c>
      <c r="I243" s="17" t="b">
        <v>0</v>
      </c>
      <c r="J243" s="17" t="s">
        <v>43</v>
      </c>
      <c r="K243" s="21" t="str">
        <f t="shared" si="3"/>
        <v>https://version2.ice-d.org/antarctica/sample/JS2017-HB-TE-09/</v>
      </c>
      <c r="L243" s="64" t="s">
        <v>39</v>
      </c>
      <c r="M243" s="155"/>
      <c r="O243" s="17" t="s">
        <v>287</v>
      </c>
      <c r="P243" s="22">
        <v>-75.394229999999993</v>
      </c>
      <c r="Q243" s="22">
        <v>162.22173000000001</v>
      </c>
      <c r="R243" s="22"/>
      <c r="S243" s="22">
        <v>112.3</v>
      </c>
      <c r="T243" s="17">
        <v>56</v>
      </c>
      <c r="U243" s="23">
        <v>230</v>
      </c>
      <c r="V243" s="24" t="s">
        <v>2073</v>
      </c>
      <c r="W243" s="44" t="s">
        <v>2354</v>
      </c>
      <c r="X243" s="22">
        <v>56</v>
      </c>
      <c r="Y243" s="22">
        <v>4.5</v>
      </c>
      <c r="Z243" s="22">
        <v>2.2999999999999998</v>
      </c>
      <c r="AA243" s="17" t="s">
        <v>84</v>
      </c>
      <c r="AB243" s="26">
        <v>5921</v>
      </c>
      <c r="AC243" s="26">
        <v>242</v>
      </c>
      <c r="AD243" s="26">
        <v>425</v>
      </c>
      <c r="AE243" s="27">
        <v>35335</v>
      </c>
      <c r="AF243" s="27">
        <v>1442</v>
      </c>
      <c r="AG243" s="28"/>
      <c r="AH243" s="28"/>
      <c r="AI243" s="17">
        <v>2017</v>
      </c>
      <c r="AJ243" s="17">
        <v>1</v>
      </c>
      <c r="AK243" s="17">
        <v>0</v>
      </c>
    </row>
    <row r="244" spans="1:39" ht="12.75" customHeight="1">
      <c r="A244" s="64" t="s">
        <v>298</v>
      </c>
      <c r="B244" s="33" t="s">
        <v>284</v>
      </c>
      <c r="C244" s="17">
        <v>28</v>
      </c>
      <c r="D244" s="20" t="s">
        <v>196</v>
      </c>
      <c r="E244" s="19">
        <v>0</v>
      </c>
      <c r="F244" s="33" t="s">
        <v>285</v>
      </c>
      <c r="G244" s="19" t="s">
        <v>286</v>
      </c>
      <c r="H244" s="19" t="s">
        <v>263</v>
      </c>
      <c r="I244" s="17" t="b">
        <v>0</v>
      </c>
      <c r="J244" s="17" t="s">
        <v>43</v>
      </c>
      <c r="K244" s="21" t="str">
        <f t="shared" si="3"/>
        <v>https://version2.ice-d.org/antarctica/sample/JS2017-HB-TE-11/</v>
      </c>
      <c r="L244" s="64" t="s">
        <v>39</v>
      </c>
      <c r="M244" s="155"/>
      <c r="O244" s="17" t="s">
        <v>287</v>
      </c>
      <c r="P244" s="22">
        <v>-75.392579999999995</v>
      </c>
      <c r="Q244" s="22">
        <v>162.22578999999999</v>
      </c>
      <c r="R244" s="22"/>
      <c r="S244" s="22">
        <v>79.099999999999994</v>
      </c>
      <c r="T244" s="17">
        <v>56</v>
      </c>
      <c r="U244" s="23">
        <v>230</v>
      </c>
      <c r="V244" s="24" t="s">
        <v>2074</v>
      </c>
      <c r="W244" s="44" t="s">
        <v>2354</v>
      </c>
      <c r="X244" s="22">
        <v>23</v>
      </c>
      <c r="Y244" s="22">
        <v>5.45</v>
      </c>
      <c r="Z244" s="22">
        <v>2.2999999999999998</v>
      </c>
      <c r="AA244" s="17" t="s">
        <v>84</v>
      </c>
      <c r="AB244" s="26">
        <v>4637</v>
      </c>
      <c r="AC244" s="26">
        <v>171</v>
      </c>
      <c r="AD244" s="26">
        <v>323</v>
      </c>
      <c r="AE244" s="27">
        <v>26087</v>
      </c>
      <c r="AF244" s="27">
        <v>959</v>
      </c>
      <c r="AG244" s="28"/>
      <c r="AH244" s="28"/>
      <c r="AI244" s="17">
        <v>2017</v>
      </c>
      <c r="AJ244" s="17">
        <v>1</v>
      </c>
      <c r="AK244" s="17">
        <v>0</v>
      </c>
    </row>
    <row r="245" spans="1:39" ht="12.75" customHeight="1">
      <c r="A245" s="64" t="s">
        <v>299</v>
      </c>
      <c r="B245" s="33" t="s">
        <v>284</v>
      </c>
      <c r="C245" s="17">
        <v>28</v>
      </c>
      <c r="D245" s="20" t="s">
        <v>196</v>
      </c>
      <c r="E245" s="19">
        <v>0</v>
      </c>
      <c r="F245" s="33" t="s">
        <v>285</v>
      </c>
      <c r="G245" s="19" t="s">
        <v>286</v>
      </c>
      <c r="H245" s="19" t="s">
        <v>263</v>
      </c>
      <c r="I245" s="17" t="b">
        <v>0</v>
      </c>
      <c r="J245" s="17" t="s">
        <v>43</v>
      </c>
      <c r="K245" s="21" t="str">
        <f t="shared" si="3"/>
        <v>https://version2.ice-d.org/antarctica/sample/JS2017-HB-TE-12/</v>
      </c>
      <c r="L245" s="64" t="s">
        <v>39</v>
      </c>
      <c r="M245" s="155"/>
      <c r="O245" s="17" t="s">
        <v>287</v>
      </c>
      <c r="P245" s="22">
        <v>-75.392359999999996</v>
      </c>
      <c r="Q245" s="22">
        <v>162.22534999999999</v>
      </c>
      <c r="R245" s="22"/>
      <c r="S245" s="22">
        <v>78.3</v>
      </c>
      <c r="T245" s="17">
        <v>56</v>
      </c>
      <c r="U245" s="23">
        <v>230</v>
      </c>
      <c r="V245" s="24" t="s">
        <v>2075</v>
      </c>
      <c r="W245" s="44" t="s">
        <v>2354</v>
      </c>
      <c r="X245" s="22">
        <v>22</v>
      </c>
      <c r="Y245" s="22">
        <v>4.29</v>
      </c>
      <c r="Z245" s="22">
        <v>2.2999999999999998</v>
      </c>
      <c r="AA245" s="17" t="s">
        <v>84</v>
      </c>
      <c r="AB245" s="26">
        <v>5124</v>
      </c>
      <c r="AC245" s="26">
        <v>218</v>
      </c>
      <c r="AD245" s="26">
        <v>373</v>
      </c>
      <c r="AE245" s="27">
        <v>29291</v>
      </c>
      <c r="AF245" s="27">
        <v>1245</v>
      </c>
      <c r="AG245" s="28"/>
      <c r="AH245" s="28"/>
      <c r="AI245" s="17">
        <v>2017</v>
      </c>
      <c r="AJ245" s="17">
        <v>1</v>
      </c>
      <c r="AK245" s="17">
        <v>0</v>
      </c>
    </row>
    <row r="246" spans="1:39" ht="12.75" customHeight="1">
      <c r="A246" s="64" t="s">
        <v>300</v>
      </c>
      <c r="B246" s="33" t="s">
        <v>284</v>
      </c>
      <c r="C246" s="17">
        <v>28</v>
      </c>
      <c r="D246" s="20" t="s">
        <v>196</v>
      </c>
      <c r="E246" s="19">
        <v>0</v>
      </c>
      <c r="F246" s="33" t="s">
        <v>285</v>
      </c>
      <c r="G246" s="19" t="s">
        <v>286</v>
      </c>
      <c r="H246" s="19" t="s">
        <v>263</v>
      </c>
      <c r="I246" s="17" t="b">
        <v>0</v>
      </c>
      <c r="J246" s="17" t="s">
        <v>43</v>
      </c>
      <c r="K246" s="21" t="str">
        <f t="shared" si="3"/>
        <v>https://version2.ice-d.org/antarctica/sample/JS2017-HB-TE-13/</v>
      </c>
      <c r="L246" s="64" t="s">
        <v>39</v>
      </c>
      <c r="M246" s="155"/>
      <c r="O246" s="17" t="s">
        <v>287</v>
      </c>
      <c r="P246" s="22">
        <v>-75.395290000000003</v>
      </c>
      <c r="Q246" s="22">
        <v>162.22268</v>
      </c>
      <c r="R246" s="22"/>
      <c r="S246" s="22">
        <v>107</v>
      </c>
      <c r="T246" s="17">
        <v>56</v>
      </c>
      <c r="U246" s="23">
        <v>230</v>
      </c>
      <c r="V246" s="24" t="s">
        <v>2076</v>
      </c>
      <c r="W246" s="44" t="s">
        <v>2354</v>
      </c>
      <c r="X246" s="22">
        <v>51</v>
      </c>
      <c r="Y246" s="22">
        <v>3.98</v>
      </c>
      <c r="Z246" s="22">
        <v>2.2999999999999998</v>
      </c>
      <c r="AA246" s="17" t="s">
        <v>84</v>
      </c>
      <c r="AB246" s="26">
        <v>5924</v>
      </c>
      <c r="AC246" s="26">
        <v>224</v>
      </c>
      <c r="AD246" s="26">
        <v>416</v>
      </c>
      <c r="AE246" s="27">
        <v>35327</v>
      </c>
      <c r="AF246" s="27">
        <v>1334</v>
      </c>
      <c r="AG246" s="28"/>
      <c r="AH246" s="28"/>
      <c r="AI246" s="17">
        <v>2017</v>
      </c>
      <c r="AJ246" s="17">
        <v>1</v>
      </c>
      <c r="AK246" s="17">
        <v>0</v>
      </c>
    </row>
    <row r="247" spans="1:39" ht="12.75" customHeight="1">
      <c r="A247" s="64" t="s">
        <v>301</v>
      </c>
      <c r="B247" s="33" t="s">
        <v>284</v>
      </c>
      <c r="C247" s="17">
        <v>28</v>
      </c>
      <c r="D247" s="20" t="s">
        <v>196</v>
      </c>
      <c r="E247" s="19">
        <v>0</v>
      </c>
      <c r="F247" s="33" t="s">
        <v>285</v>
      </c>
      <c r="G247" s="19" t="s">
        <v>286</v>
      </c>
      <c r="H247" s="19" t="s">
        <v>263</v>
      </c>
      <c r="I247" s="17" t="b">
        <v>0</v>
      </c>
      <c r="J247" s="17" t="s">
        <v>43</v>
      </c>
      <c r="K247" s="21" t="str">
        <f t="shared" si="3"/>
        <v>https://version2.ice-d.org/antarctica/sample/JS2017-HB-TE-14/</v>
      </c>
      <c r="L247" s="64" t="s">
        <v>39</v>
      </c>
      <c r="M247" s="155"/>
      <c r="O247" s="17" t="s">
        <v>287</v>
      </c>
      <c r="P247" s="22">
        <v>-75.395380000000003</v>
      </c>
      <c r="Q247" s="22">
        <v>162.22638000000001</v>
      </c>
      <c r="R247" s="22"/>
      <c r="S247" s="22">
        <v>85.1</v>
      </c>
      <c r="T247" s="17">
        <v>56</v>
      </c>
      <c r="U247" s="23">
        <v>230</v>
      </c>
      <c r="V247" s="24" t="s">
        <v>2077</v>
      </c>
      <c r="W247" s="44" t="s">
        <v>2354</v>
      </c>
      <c r="X247" s="22">
        <v>29</v>
      </c>
      <c r="Y247" s="22">
        <v>5.13</v>
      </c>
      <c r="Z247" s="22">
        <v>2.2999999999999998</v>
      </c>
      <c r="AA247" s="17" t="s">
        <v>84</v>
      </c>
      <c r="AB247" s="26">
        <v>5793</v>
      </c>
      <c r="AC247" s="26">
        <v>287</v>
      </c>
      <c r="AD247" s="26">
        <v>447</v>
      </c>
      <c r="AE247" s="27">
        <v>33265</v>
      </c>
      <c r="AF247" s="27">
        <v>1648</v>
      </c>
      <c r="AG247" s="28"/>
      <c r="AH247" s="28"/>
      <c r="AI247" s="17">
        <v>2017</v>
      </c>
      <c r="AJ247" s="17">
        <v>1</v>
      </c>
      <c r="AK247" s="17">
        <v>0</v>
      </c>
    </row>
    <row r="248" spans="1:39" ht="12.75" customHeight="1">
      <c r="A248" s="64" t="s">
        <v>302</v>
      </c>
      <c r="B248" s="33" t="s">
        <v>284</v>
      </c>
      <c r="C248" s="17">
        <v>28</v>
      </c>
      <c r="D248" s="20" t="s">
        <v>196</v>
      </c>
      <c r="E248" s="19">
        <v>0</v>
      </c>
      <c r="F248" s="33" t="s">
        <v>285</v>
      </c>
      <c r="G248" s="19" t="s">
        <v>286</v>
      </c>
      <c r="H248" s="19" t="s">
        <v>263</v>
      </c>
      <c r="I248" s="17" t="b">
        <v>0</v>
      </c>
      <c r="J248" s="17" t="s">
        <v>43</v>
      </c>
      <c r="K248" s="21" t="str">
        <f t="shared" si="3"/>
        <v>https://version2.ice-d.org/antarctica/sample/JS2017-HB-TE-BR-02/</v>
      </c>
      <c r="L248" s="64" t="s">
        <v>39</v>
      </c>
      <c r="M248" s="155"/>
      <c r="O248" s="17" t="s">
        <v>287</v>
      </c>
      <c r="P248" s="22">
        <v>-75.392269999999996</v>
      </c>
      <c r="Q248" s="22">
        <v>162.22584000000001</v>
      </c>
      <c r="R248" s="22"/>
      <c r="S248" s="22">
        <v>80.3</v>
      </c>
      <c r="T248" s="17">
        <v>56</v>
      </c>
      <c r="U248" s="23">
        <v>230</v>
      </c>
      <c r="V248" s="24" t="s">
        <v>2078</v>
      </c>
      <c r="W248" s="44" t="s">
        <v>2354</v>
      </c>
      <c r="X248" s="22">
        <v>24</v>
      </c>
      <c r="Y248" s="22">
        <v>5.1100000000000003</v>
      </c>
      <c r="Z248" s="22">
        <v>2.7</v>
      </c>
      <c r="AA248" s="17" t="s">
        <v>58</v>
      </c>
      <c r="AB248" s="26">
        <v>5182</v>
      </c>
      <c r="AC248" s="26">
        <v>222</v>
      </c>
      <c r="AD248" s="26">
        <v>378</v>
      </c>
      <c r="AE248" s="27">
        <v>28759</v>
      </c>
      <c r="AF248" s="27">
        <v>1229</v>
      </c>
      <c r="AG248" s="28"/>
      <c r="AH248" s="28"/>
      <c r="AI248" s="17">
        <v>2017</v>
      </c>
      <c r="AJ248" s="17">
        <v>1</v>
      </c>
      <c r="AK248" s="17">
        <v>0</v>
      </c>
    </row>
    <row r="249" spans="1:39" ht="12.75" customHeight="1">
      <c r="A249" s="70" t="s">
        <v>303</v>
      </c>
      <c r="B249" s="19" t="s">
        <v>304</v>
      </c>
      <c r="C249" s="17">
        <v>29</v>
      </c>
      <c r="D249" s="20" t="s">
        <v>196</v>
      </c>
      <c r="E249" s="19">
        <v>0</v>
      </c>
      <c r="F249" s="33" t="s">
        <v>285</v>
      </c>
      <c r="G249" s="19" t="s">
        <v>286</v>
      </c>
      <c r="H249" s="19" t="s">
        <v>263</v>
      </c>
      <c r="I249" s="17" t="b">
        <v>0</v>
      </c>
      <c r="J249" s="17" t="s">
        <v>247</v>
      </c>
      <c r="K249" s="21" t="str">
        <f t="shared" si="3"/>
        <v>https://version2.ice-d.org/antarctica/sample/JS2017-MK-16/</v>
      </c>
      <c r="L249" s="70" t="s">
        <v>305</v>
      </c>
      <c r="M249" s="210" t="s">
        <v>2404</v>
      </c>
      <c r="O249" s="17" t="s">
        <v>287</v>
      </c>
      <c r="P249" s="22">
        <v>-74.989559999999997</v>
      </c>
      <c r="Q249" s="22">
        <v>157.91515000000001</v>
      </c>
      <c r="R249" s="22"/>
      <c r="S249" s="22">
        <v>1764.8</v>
      </c>
      <c r="T249" s="17">
        <v>1615</v>
      </c>
      <c r="U249" s="23">
        <v>230</v>
      </c>
      <c r="V249" s="24" t="s">
        <v>2079</v>
      </c>
      <c r="W249" s="44" t="s">
        <v>2354</v>
      </c>
      <c r="X249" s="22">
        <f t="shared" ref="X249:X262" si="8">S249-T249</f>
        <v>149.79999999999995</v>
      </c>
      <c r="Y249" s="22">
        <v>2.19</v>
      </c>
      <c r="Z249" s="22">
        <v>2.2999999999999998</v>
      </c>
      <c r="AA249" s="17" t="s">
        <v>84</v>
      </c>
      <c r="AB249" s="26">
        <v>12240</v>
      </c>
      <c r="AC249" s="26">
        <v>576</v>
      </c>
      <c r="AD249" s="26">
        <v>1517</v>
      </c>
      <c r="AE249" s="27">
        <v>164373</v>
      </c>
      <c r="AF249" s="27">
        <v>5245</v>
      </c>
      <c r="AG249" s="28"/>
      <c r="AH249" s="28"/>
      <c r="AI249" s="17">
        <v>2017</v>
      </c>
      <c r="AJ249" s="17">
        <v>1</v>
      </c>
      <c r="AK249" s="17">
        <v>0</v>
      </c>
      <c r="AM249" s="73"/>
    </row>
    <row r="250" spans="1:39" ht="12.75" customHeight="1">
      <c r="A250" s="70" t="s">
        <v>306</v>
      </c>
      <c r="B250" s="19" t="s">
        <v>304</v>
      </c>
      <c r="C250" s="17">
        <v>29</v>
      </c>
      <c r="D250" s="20" t="s">
        <v>196</v>
      </c>
      <c r="E250" s="19">
        <v>0</v>
      </c>
      <c r="F250" s="33" t="s">
        <v>285</v>
      </c>
      <c r="G250" s="19" t="s">
        <v>286</v>
      </c>
      <c r="H250" s="19" t="s">
        <v>263</v>
      </c>
      <c r="I250" s="17" t="b">
        <v>0</v>
      </c>
      <c r="J250" s="17" t="s">
        <v>247</v>
      </c>
      <c r="K250" s="21" t="str">
        <f t="shared" si="3"/>
        <v>https://version2.ice-d.org/antarctica/sample/JS2017-MK-19/</v>
      </c>
      <c r="L250" s="70" t="s">
        <v>305</v>
      </c>
      <c r="M250" s="155"/>
      <c r="O250" s="17" t="s">
        <v>287</v>
      </c>
      <c r="P250" s="22">
        <v>-74.989620000000002</v>
      </c>
      <c r="Q250" s="22">
        <v>157.9171</v>
      </c>
      <c r="R250" s="22"/>
      <c r="S250" s="22">
        <v>1753.5</v>
      </c>
      <c r="T250" s="17">
        <v>1615</v>
      </c>
      <c r="U250" s="23">
        <v>230</v>
      </c>
      <c r="V250" s="24" t="s">
        <v>2080</v>
      </c>
      <c r="W250" s="44" t="s">
        <v>2354</v>
      </c>
      <c r="X250" s="22">
        <f t="shared" si="8"/>
        <v>138.5</v>
      </c>
      <c r="Y250" s="22">
        <v>4.57</v>
      </c>
      <c r="Z250" s="22">
        <v>2.2999999999999998</v>
      </c>
      <c r="AA250" s="17" t="s">
        <v>84</v>
      </c>
      <c r="AB250" s="26">
        <v>10628</v>
      </c>
      <c r="AC250" s="26">
        <v>443</v>
      </c>
      <c r="AD250" s="26">
        <v>1169</v>
      </c>
      <c r="AE250" s="27">
        <v>1112734</v>
      </c>
      <c r="AF250" s="27">
        <v>24032</v>
      </c>
      <c r="AG250" s="28"/>
      <c r="AH250" s="28"/>
      <c r="AI250" s="17">
        <v>2017</v>
      </c>
      <c r="AJ250" s="17">
        <v>1</v>
      </c>
      <c r="AK250" s="17">
        <v>0</v>
      </c>
      <c r="AM250" s="73"/>
    </row>
    <row r="251" spans="1:39" ht="12.75" customHeight="1">
      <c r="A251" s="70" t="s">
        <v>307</v>
      </c>
      <c r="B251" s="19" t="s">
        <v>304</v>
      </c>
      <c r="C251" s="17">
        <v>29</v>
      </c>
      <c r="D251" s="20" t="s">
        <v>196</v>
      </c>
      <c r="E251" s="19">
        <v>0</v>
      </c>
      <c r="F251" s="33" t="s">
        <v>285</v>
      </c>
      <c r="G251" s="19" t="s">
        <v>286</v>
      </c>
      <c r="H251" s="19" t="s">
        <v>263</v>
      </c>
      <c r="I251" s="17" t="b">
        <v>0</v>
      </c>
      <c r="J251" s="17" t="s">
        <v>247</v>
      </c>
      <c r="K251" s="21" t="str">
        <f t="shared" si="3"/>
        <v>https://version2.ice-d.org/antarctica/sample/JS2017-MK-20/</v>
      </c>
      <c r="L251" s="70" t="s">
        <v>305</v>
      </c>
      <c r="M251" s="155"/>
      <c r="O251" s="17" t="s">
        <v>287</v>
      </c>
      <c r="P251" s="22">
        <v>-74.989729999999994</v>
      </c>
      <c r="Q251" s="22">
        <v>157.91795999999999</v>
      </c>
      <c r="R251" s="22"/>
      <c r="S251" s="22">
        <v>1744.8</v>
      </c>
      <c r="T251" s="17">
        <v>1615</v>
      </c>
      <c r="U251" s="23">
        <v>230</v>
      </c>
      <c r="V251" s="24" t="s">
        <v>2081</v>
      </c>
      <c r="W251" s="44" t="s">
        <v>2354</v>
      </c>
      <c r="X251" s="22">
        <f t="shared" si="8"/>
        <v>129.79999999999995</v>
      </c>
      <c r="Y251" s="22">
        <v>4.66</v>
      </c>
      <c r="Z251" s="22">
        <v>2.2999999999999998</v>
      </c>
      <c r="AA251" s="17" t="s">
        <v>84</v>
      </c>
      <c r="AB251" s="26">
        <v>11226</v>
      </c>
      <c r="AC251" s="26">
        <v>483</v>
      </c>
      <c r="AD251" s="26">
        <v>1288</v>
      </c>
      <c r="AE251" s="27">
        <v>964095</v>
      </c>
      <c r="AF251" s="27">
        <v>28854</v>
      </c>
      <c r="AG251" s="28"/>
      <c r="AH251" s="28"/>
      <c r="AI251" s="17">
        <v>2017</v>
      </c>
      <c r="AJ251" s="17">
        <v>1</v>
      </c>
      <c r="AK251" s="17">
        <v>0</v>
      </c>
      <c r="AM251" s="73"/>
    </row>
    <row r="252" spans="1:39" ht="12.75" customHeight="1">
      <c r="A252" s="70" t="s">
        <v>308</v>
      </c>
      <c r="B252" s="19" t="s">
        <v>304</v>
      </c>
      <c r="C252" s="17">
        <v>30</v>
      </c>
      <c r="D252" s="20" t="s">
        <v>196</v>
      </c>
      <c r="E252" s="19">
        <v>0</v>
      </c>
      <c r="F252" s="33" t="s">
        <v>285</v>
      </c>
      <c r="G252" s="19" t="s">
        <v>286</v>
      </c>
      <c r="H252" s="19" t="s">
        <v>263</v>
      </c>
      <c r="I252" s="17" t="b">
        <v>0</v>
      </c>
      <c r="J252" s="17" t="s">
        <v>43</v>
      </c>
      <c r="K252" s="21" t="str">
        <f t="shared" si="3"/>
        <v>https://version2.ice-d.org/antarctica/sample/JS2017-MK-01/</v>
      </c>
      <c r="L252" s="70" t="s">
        <v>305</v>
      </c>
      <c r="M252" s="155"/>
      <c r="O252" s="17" t="s">
        <v>287</v>
      </c>
      <c r="P252" s="22">
        <v>-74.994140000000002</v>
      </c>
      <c r="Q252" s="22">
        <v>157.92554999999999</v>
      </c>
      <c r="R252" s="22"/>
      <c r="S252" s="22">
        <v>1643</v>
      </c>
      <c r="T252" s="17">
        <v>1615</v>
      </c>
      <c r="U252" s="23">
        <v>230</v>
      </c>
      <c r="V252" s="24" t="s">
        <v>2082</v>
      </c>
      <c r="W252" s="44" t="s">
        <v>2354</v>
      </c>
      <c r="X252" s="22">
        <f t="shared" si="8"/>
        <v>28</v>
      </c>
      <c r="Y252" s="22">
        <v>5.15</v>
      </c>
      <c r="Z252" s="22">
        <v>2.2999999999999998</v>
      </c>
      <c r="AA252" s="17" t="s">
        <v>84</v>
      </c>
      <c r="AB252" s="26">
        <v>5112</v>
      </c>
      <c r="AC252" s="26">
        <v>145</v>
      </c>
      <c r="AD252" s="26">
        <v>335</v>
      </c>
      <c r="AE252" s="27">
        <v>121747</v>
      </c>
      <c r="AF252" s="27">
        <v>3445</v>
      </c>
      <c r="AG252" s="28"/>
      <c r="AH252" s="28"/>
      <c r="AI252" s="17">
        <v>2017</v>
      </c>
      <c r="AJ252" s="17">
        <v>1</v>
      </c>
      <c r="AK252" s="17">
        <v>0</v>
      </c>
      <c r="AM252" s="73"/>
    </row>
    <row r="253" spans="1:39" ht="12.75" customHeight="1">
      <c r="A253" s="70" t="s">
        <v>309</v>
      </c>
      <c r="B253" s="19" t="s">
        <v>304</v>
      </c>
      <c r="C253" s="17">
        <v>30</v>
      </c>
      <c r="D253" s="20" t="s">
        <v>196</v>
      </c>
      <c r="E253" s="19">
        <v>0</v>
      </c>
      <c r="F253" s="33" t="s">
        <v>285</v>
      </c>
      <c r="G253" s="19" t="s">
        <v>286</v>
      </c>
      <c r="H253" s="19" t="s">
        <v>263</v>
      </c>
      <c r="I253" s="17" t="b">
        <v>0</v>
      </c>
      <c r="J253" s="17" t="s">
        <v>43</v>
      </c>
      <c r="K253" s="21" t="str">
        <f t="shared" si="3"/>
        <v>https://version2.ice-d.org/antarctica/sample/JS2017-MK-08/</v>
      </c>
      <c r="L253" s="70" t="s">
        <v>305</v>
      </c>
      <c r="M253" s="155"/>
      <c r="O253" s="17" t="s">
        <v>287</v>
      </c>
      <c r="P253" s="22">
        <v>-74.992239999999995</v>
      </c>
      <c r="Q253" s="22">
        <v>157.92631</v>
      </c>
      <c r="R253" s="22"/>
      <c r="S253" s="22">
        <v>1681.5</v>
      </c>
      <c r="T253" s="17">
        <v>1615</v>
      </c>
      <c r="U253" s="23">
        <v>230</v>
      </c>
      <c r="V253" s="24" t="s">
        <v>2083</v>
      </c>
      <c r="W253" s="44" t="s">
        <v>2354</v>
      </c>
      <c r="X253" s="22">
        <f t="shared" si="8"/>
        <v>66.5</v>
      </c>
      <c r="Y253" s="22">
        <v>5.98</v>
      </c>
      <c r="Z253" s="22">
        <v>2.2999999999999998</v>
      </c>
      <c r="AA253" s="17" t="s">
        <v>84</v>
      </c>
      <c r="AB253" s="26">
        <v>5830</v>
      </c>
      <c r="AC253" s="26">
        <v>167</v>
      </c>
      <c r="AD253" s="26">
        <v>383</v>
      </c>
      <c r="AE253" s="27">
        <v>142811</v>
      </c>
      <c r="AF253" s="27">
        <v>4091</v>
      </c>
      <c r="AG253" s="28"/>
      <c r="AH253" s="28"/>
      <c r="AI253" s="17">
        <v>2017</v>
      </c>
      <c r="AJ253" s="17">
        <v>1</v>
      </c>
      <c r="AK253" s="17">
        <v>0</v>
      </c>
      <c r="AM253" s="73"/>
    </row>
    <row r="254" spans="1:39" ht="12.75" customHeight="1">
      <c r="A254" s="70" t="s">
        <v>310</v>
      </c>
      <c r="B254" s="19" t="s">
        <v>304</v>
      </c>
      <c r="C254" s="17">
        <v>30</v>
      </c>
      <c r="D254" s="20" t="s">
        <v>196</v>
      </c>
      <c r="E254" s="19">
        <v>0</v>
      </c>
      <c r="F254" s="33" t="s">
        <v>285</v>
      </c>
      <c r="G254" s="19" t="s">
        <v>286</v>
      </c>
      <c r="H254" s="19" t="s">
        <v>263</v>
      </c>
      <c r="I254" s="17" t="b">
        <v>0</v>
      </c>
      <c r="J254" s="17" t="s">
        <v>43</v>
      </c>
      <c r="K254" s="21" t="str">
        <f t="shared" si="3"/>
        <v>https://version2.ice-d.org/antarctica/sample/JS2017-MK-15/</v>
      </c>
      <c r="L254" s="70" t="s">
        <v>305</v>
      </c>
      <c r="M254" s="155"/>
      <c r="O254" s="17" t="s">
        <v>287</v>
      </c>
      <c r="P254" s="22">
        <v>-74.989379999999997</v>
      </c>
      <c r="Q254" s="22">
        <v>157.91283999999999</v>
      </c>
      <c r="R254" s="22"/>
      <c r="S254" s="22">
        <v>1787.4</v>
      </c>
      <c r="T254" s="17">
        <v>1615</v>
      </c>
      <c r="U254" s="23">
        <v>230</v>
      </c>
      <c r="V254" s="24" t="s">
        <v>2084</v>
      </c>
      <c r="W254" s="44" t="s">
        <v>2354</v>
      </c>
      <c r="X254" s="22">
        <f t="shared" si="8"/>
        <v>172.40000000000009</v>
      </c>
      <c r="Y254" s="22">
        <v>4.08</v>
      </c>
      <c r="Z254" s="22">
        <v>2.2999999999999998</v>
      </c>
      <c r="AA254" s="17" t="s">
        <v>84</v>
      </c>
      <c r="AB254" s="26">
        <v>6788</v>
      </c>
      <c r="AC254" s="26">
        <v>202</v>
      </c>
      <c r="AD254" s="26">
        <v>449</v>
      </c>
      <c r="AE254" s="27">
        <v>169140</v>
      </c>
      <c r="AF254" s="27">
        <v>5018</v>
      </c>
      <c r="AG254" s="28"/>
      <c r="AH254" s="28"/>
      <c r="AI254" s="17">
        <v>2017</v>
      </c>
      <c r="AJ254" s="17">
        <v>1</v>
      </c>
      <c r="AK254" s="17">
        <v>0</v>
      </c>
      <c r="AM254" s="73"/>
    </row>
    <row r="255" spans="1:39" ht="12.75" customHeight="1">
      <c r="A255" s="70" t="s">
        <v>310</v>
      </c>
      <c r="B255" s="19" t="s">
        <v>304</v>
      </c>
      <c r="C255" s="17">
        <v>31</v>
      </c>
      <c r="D255" s="20" t="s">
        <v>196</v>
      </c>
      <c r="E255" s="19">
        <v>0</v>
      </c>
      <c r="F255" s="33" t="s">
        <v>285</v>
      </c>
      <c r="G255" s="19" t="s">
        <v>286</v>
      </c>
      <c r="H255" s="19" t="s">
        <v>263</v>
      </c>
      <c r="I255" s="17" t="b">
        <v>0</v>
      </c>
      <c r="J255" s="17" t="s">
        <v>247</v>
      </c>
      <c r="K255" s="21" t="str">
        <f t="shared" si="3"/>
        <v>https://version2.ice-d.org/antarctica/sample/JS2017-MK-15/</v>
      </c>
      <c r="L255" s="70" t="s">
        <v>305</v>
      </c>
      <c r="M255" s="155"/>
      <c r="O255" s="17" t="s">
        <v>287</v>
      </c>
      <c r="P255" s="22">
        <v>-74.989379999999997</v>
      </c>
      <c r="Q255" s="22">
        <v>157.91283999999999</v>
      </c>
      <c r="R255" s="22"/>
      <c r="S255" s="22">
        <v>1787.4</v>
      </c>
      <c r="T255" s="17">
        <v>1615</v>
      </c>
      <c r="U255" s="23">
        <v>230</v>
      </c>
      <c r="V255" s="24" t="s">
        <v>2085</v>
      </c>
      <c r="W255" s="44" t="s">
        <v>2354</v>
      </c>
      <c r="X255" s="22">
        <f t="shared" si="8"/>
        <v>172.40000000000009</v>
      </c>
      <c r="Y255" s="22">
        <v>4.08</v>
      </c>
      <c r="Z255" s="22">
        <v>2.2999999999999998</v>
      </c>
      <c r="AA255" s="17" t="s">
        <v>84</v>
      </c>
      <c r="AB255" s="26">
        <v>14616</v>
      </c>
      <c r="AC255" s="26">
        <v>780</v>
      </c>
      <c r="AD255" s="26">
        <v>2155</v>
      </c>
      <c r="AE255" s="27">
        <v>169140</v>
      </c>
      <c r="AF255" s="27">
        <v>5018</v>
      </c>
      <c r="AG255" s="28"/>
      <c r="AH255" s="28"/>
      <c r="AI255" s="17">
        <v>2017</v>
      </c>
      <c r="AJ255" s="17">
        <v>1</v>
      </c>
      <c r="AK255" s="17">
        <v>0</v>
      </c>
      <c r="AM255" s="73"/>
    </row>
    <row r="256" spans="1:39" ht="12.75" customHeight="1">
      <c r="A256" s="70" t="s">
        <v>303</v>
      </c>
      <c r="B256" s="19" t="s">
        <v>304</v>
      </c>
      <c r="C256" s="17">
        <v>30</v>
      </c>
      <c r="D256" s="20" t="s">
        <v>196</v>
      </c>
      <c r="E256" s="19">
        <v>0</v>
      </c>
      <c r="F256" s="33" t="s">
        <v>285</v>
      </c>
      <c r="G256" s="19" t="s">
        <v>286</v>
      </c>
      <c r="H256" s="19" t="s">
        <v>263</v>
      </c>
      <c r="I256" s="17" t="b">
        <v>0</v>
      </c>
      <c r="J256" s="17" t="s">
        <v>43</v>
      </c>
      <c r="K256" s="21" t="str">
        <f t="shared" si="3"/>
        <v>https://version2.ice-d.org/antarctica/sample/JS2017-MK-16/</v>
      </c>
      <c r="L256" s="70" t="s">
        <v>305</v>
      </c>
      <c r="M256" s="155"/>
      <c r="O256" s="17" t="s">
        <v>287</v>
      </c>
      <c r="P256" s="22">
        <v>-74.989559999999997</v>
      </c>
      <c r="Q256" s="22">
        <v>157.91515000000001</v>
      </c>
      <c r="R256" s="22"/>
      <c r="S256" s="22">
        <v>1764.8</v>
      </c>
      <c r="T256" s="17">
        <v>1615</v>
      </c>
      <c r="U256" s="23">
        <v>230</v>
      </c>
      <c r="V256" s="24" t="s">
        <v>2086</v>
      </c>
      <c r="W256" s="44" t="s">
        <v>2354</v>
      </c>
      <c r="X256" s="22">
        <f t="shared" si="8"/>
        <v>149.79999999999995</v>
      </c>
      <c r="Y256" s="22">
        <v>2.19</v>
      </c>
      <c r="Z256" s="22">
        <v>2.2999999999999998</v>
      </c>
      <c r="AA256" s="17" t="s">
        <v>84</v>
      </c>
      <c r="AB256" s="26">
        <v>6551</v>
      </c>
      <c r="AC256" s="26">
        <v>209</v>
      </c>
      <c r="AD256" s="26">
        <v>440</v>
      </c>
      <c r="AE256" s="27">
        <v>164373</v>
      </c>
      <c r="AF256" s="27">
        <v>5245</v>
      </c>
      <c r="AG256" s="28"/>
      <c r="AH256" s="28"/>
      <c r="AI256" s="17">
        <v>2017</v>
      </c>
      <c r="AJ256" s="17">
        <v>1</v>
      </c>
      <c r="AK256" s="17">
        <v>0</v>
      </c>
      <c r="AM256" s="73"/>
    </row>
    <row r="257" spans="1:39" ht="12.75" customHeight="1">
      <c r="A257" s="70" t="s">
        <v>311</v>
      </c>
      <c r="B257" s="19" t="s">
        <v>304</v>
      </c>
      <c r="C257" s="17">
        <v>30</v>
      </c>
      <c r="D257" s="20" t="s">
        <v>196</v>
      </c>
      <c r="E257" s="19">
        <v>0</v>
      </c>
      <c r="F257" s="33" t="s">
        <v>285</v>
      </c>
      <c r="G257" s="19" t="s">
        <v>286</v>
      </c>
      <c r="H257" s="19" t="s">
        <v>263</v>
      </c>
      <c r="I257" s="17" t="b">
        <v>0</v>
      </c>
      <c r="J257" s="17" t="s">
        <v>43</v>
      </c>
      <c r="K257" s="21" t="str">
        <f t="shared" si="3"/>
        <v>https://version2.ice-d.org/antarctica/sample/JS2017-MK-21/</v>
      </c>
      <c r="L257" s="70" t="s">
        <v>305</v>
      </c>
      <c r="M257" s="155"/>
      <c r="O257" s="17" t="s">
        <v>287</v>
      </c>
      <c r="P257" s="22">
        <v>-74.989890000000003</v>
      </c>
      <c r="Q257" s="22">
        <v>157.91875999999999</v>
      </c>
      <c r="R257" s="22"/>
      <c r="S257" s="22">
        <v>1738.9</v>
      </c>
      <c r="T257" s="17">
        <v>1615</v>
      </c>
      <c r="U257" s="23">
        <v>230</v>
      </c>
      <c r="V257" s="24" t="s">
        <v>2087</v>
      </c>
      <c r="W257" s="44" t="s">
        <v>2354</v>
      </c>
      <c r="X257" s="22">
        <f t="shared" si="8"/>
        <v>123.90000000000009</v>
      </c>
      <c r="Y257" s="22">
        <v>3.27</v>
      </c>
      <c r="Z257" s="22">
        <v>2.2999999999999998</v>
      </c>
      <c r="AA257" s="17" t="s">
        <v>84</v>
      </c>
      <c r="AB257" s="26">
        <v>5944</v>
      </c>
      <c r="AC257" s="26">
        <v>152</v>
      </c>
      <c r="AD257" s="26">
        <v>383</v>
      </c>
      <c r="AE257" s="27">
        <v>155281</v>
      </c>
      <c r="AF257" s="27">
        <v>3968</v>
      </c>
      <c r="AG257" s="28"/>
      <c r="AH257" s="28"/>
      <c r="AI257" s="17">
        <v>2017</v>
      </c>
      <c r="AJ257" s="17">
        <v>1</v>
      </c>
      <c r="AK257" s="17">
        <v>0</v>
      </c>
      <c r="AM257" s="73"/>
    </row>
    <row r="258" spans="1:39" ht="12.75" customHeight="1">
      <c r="A258" s="70" t="s">
        <v>311</v>
      </c>
      <c r="B258" s="19" t="s">
        <v>304</v>
      </c>
      <c r="C258" s="17">
        <v>31</v>
      </c>
      <c r="D258" s="20" t="s">
        <v>196</v>
      </c>
      <c r="E258" s="19">
        <v>0</v>
      </c>
      <c r="F258" s="33" t="s">
        <v>285</v>
      </c>
      <c r="G258" s="19" t="s">
        <v>286</v>
      </c>
      <c r="H258" s="19" t="s">
        <v>263</v>
      </c>
      <c r="I258" s="17" t="b">
        <v>0</v>
      </c>
      <c r="J258" s="17" t="s">
        <v>247</v>
      </c>
      <c r="K258" s="21" t="str">
        <f t="shared" si="3"/>
        <v>https://version2.ice-d.org/antarctica/sample/JS2017-MK-21/</v>
      </c>
      <c r="L258" s="70" t="s">
        <v>305</v>
      </c>
      <c r="M258" s="155"/>
      <c r="O258" s="17" t="s">
        <v>287</v>
      </c>
      <c r="P258" s="22">
        <v>-74.989890000000003</v>
      </c>
      <c r="Q258" s="22">
        <v>157.91875999999999</v>
      </c>
      <c r="R258" s="22"/>
      <c r="S258" s="22">
        <v>1738.9</v>
      </c>
      <c r="T258" s="17">
        <v>1615</v>
      </c>
      <c r="U258" s="23">
        <v>230</v>
      </c>
      <c r="V258" s="24" t="s">
        <v>2088</v>
      </c>
      <c r="W258" s="44" t="s">
        <v>2354</v>
      </c>
      <c r="X258" s="22">
        <f t="shared" si="8"/>
        <v>123.90000000000009</v>
      </c>
      <c r="Y258" s="22">
        <v>3.27</v>
      </c>
      <c r="Z258" s="22">
        <v>2.2999999999999998</v>
      </c>
      <c r="AA258" s="17" t="s">
        <v>84</v>
      </c>
      <c r="AB258" s="26">
        <v>9635</v>
      </c>
      <c r="AC258" s="26">
        <v>368</v>
      </c>
      <c r="AD258" s="26">
        <v>984</v>
      </c>
      <c r="AE258" s="27">
        <v>155281</v>
      </c>
      <c r="AF258" s="27">
        <v>3968</v>
      </c>
      <c r="AG258" s="28"/>
      <c r="AH258" s="28"/>
      <c r="AI258" s="17">
        <v>2017</v>
      </c>
      <c r="AJ258" s="17">
        <v>1</v>
      </c>
      <c r="AK258" s="17">
        <v>0</v>
      </c>
      <c r="AM258" s="73"/>
    </row>
    <row r="259" spans="1:39" ht="12.75" customHeight="1">
      <c r="A259" s="57" t="s">
        <v>312</v>
      </c>
      <c r="B259" s="33"/>
      <c r="C259" s="27">
        <v>32</v>
      </c>
      <c r="D259" s="20" t="s">
        <v>196</v>
      </c>
      <c r="E259" s="33"/>
      <c r="F259" s="33" t="s">
        <v>313</v>
      </c>
      <c r="G259" s="33" t="s">
        <v>314</v>
      </c>
      <c r="H259" s="19" t="s">
        <v>263</v>
      </c>
      <c r="I259" s="17" t="b">
        <v>0</v>
      </c>
      <c r="K259" s="21" t="str">
        <f t="shared" si="3"/>
        <v>https://version2.ice-d.org/antarctica/sample/L2008-DALT07/</v>
      </c>
      <c r="L259" s="57" t="s">
        <v>39</v>
      </c>
      <c r="M259" s="203" t="s">
        <v>44</v>
      </c>
      <c r="O259" s="17" t="s">
        <v>315</v>
      </c>
      <c r="P259" s="22">
        <v>-73.684700000000007</v>
      </c>
      <c r="Q259" s="22">
        <v>68.472800000000007</v>
      </c>
      <c r="R259" s="22"/>
      <c r="S259" s="22">
        <v>1017</v>
      </c>
      <c r="T259" s="17">
        <v>943</v>
      </c>
      <c r="U259" s="23">
        <v>700</v>
      </c>
      <c r="V259" s="24" t="s">
        <v>2243</v>
      </c>
      <c r="W259" s="44" t="s">
        <v>2447</v>
      </c>
      <c r="X259" s="22">
        <f t="shared" si="8"/>
        <v>74</v>
      </c>
      <c r="Y259" s="22">
        <v>3</v>
      </c>
      <c r="Z259" s="22">
        <v>2.65</v>
      </c>
      <c r="AA259" s="17" t="s">
        <v>73</v>
      </c>
      <c r="AB259" s="26">
        <v>11587</v>
      </c>
      <c r="AC259" s="26">
        <v>1306</v>
      </c>
      <c r="AD259" s="26">
        <v>1646</v>
      </c>
      <c r="AE259" s="27">
        <v>190000</v>
      </c>
      <c r="AF259" s="27">
        <v>10000</v>
      </c>
      <c r="AG259" s="27">
        <v>1160000</v>
      </c>
      <c r="AH259" s="27">
        <v>130000</v>
      </c>
      <c r="AI259" s="17">
        <v>2003</v>
      </c>
      <c r="AJ259" s="17">
        <v>1</v>
      </c>
      <c r="AK259" s="17">
        <v>1</v>
      </c>
      <c r="AL259" s="17" t="s">
        <v>316</v>
      </c>
    </row>
    <row r="260" spans="1:39" ht="12.75" customHeight="1">
      <c r="A260" s="57" t="s">
        <v>312</v>
      </c>
      <c r="B260" s="33"/>
      <c r="C260" s="27">
        <v>32</v>
      </c>
      <c r="D260" s="20" t="s">
        <v>196</v>
      </c>
      <c r="E260" s="33"/>
      <c r="F260" s="33" t="s">
        <v>313</v>
      </c>
      <c r="G260" s="33" t="s">
        <v>314</v>
      </c>
      <c r="H260" s="19" t="s">
        <v>263</v>
      </c>
      <c r="I260" s="17" t="b">
        <v>0</v>
      </c>
      <c r="K260" s="21" t="str">
        <f t="shared" si="3"/>
        <v>https://version2.ice-d.org/antarctica/sample/L2008-DALT07/</v>
      </c>
      <c r="L260" s="57" t="s">
        <v>39</v>
      </c>
      <c r="M260" s="155"/>
      <c r="O260" s="17" t="s">
        <v>315</v>
      </c>
      <c r="P260" s="22">
        <v>-73.684700000000007</v>
      </c>
      <c r="Q260" s="22">
        <v>68.472800000000007</v>
      </c>
      <c r="R260" s="22"/>
      <c r="S260" s="22">
        <v>1017</v>
      </c>
      <c r="T260" s="17">
        <v>943</v>
      </c>
      <c r="U260" s="23">
        <v>700</v>
      </c>
      <c r="V260" s="24" t="s">
        <v>2244</v>
      </c>
      <c r="W260" s="44" t="s">
        <v>2447</v>
      </c>
      <c r="X260" s="22">
        <f t="shared" si="8"/>
        <v>74</v>
      </c>
      <c r="Y260" s="22">
        <v>3</v>
      </c>
      <c r="Z260" s="22">
        <v>2.65</v>
      </c>
      <c r="AA260" s="17" t="s">
        <v>73</v>
      </c>
      <c r="AB260" s="26">
        <v>12376</v>
      </c>
      <c r="AC260" s="26">
        <v>653</v>
      </c>
      <c r="AD260" s="26">
        <v>982</v>
      </c>
      <c r="AE260" s="27">
        <v>190000</v>
      </c>
      <c r="AF260" s="27">
        <v>10000</v>
      </c>
      <c r="AG260" s="27">
        <v>1160000</v>
      </c>
      <c r="AH260" s="27">
        <v>130000</v>
      </c>
      <c r="AI260" s="17">
        <v>2003</v>
      </c>
      <c r="AJ260" s="17">
        <v>1</v>
      </c>
      <c r="AK260" s="17">
        <v>1</v>
      </c>
      <c r="AL260" s="17" t="s">
        <v>316</v>
      </c>
    </row>
    <row r="261" spans="1:39" ht="12.75" customHeight="1">
      <c r="A261" s="57" t="s">
        <v>312</v>
      </c>
      <c r="B261" s="33"/>
      <c r="C261" s="27">
        <v>32</v>
      </c>
      <c r="D261" s="20" t="s">
        <v>196</v>
      </c>
      <c r="E261" s="33"/>
      <c r="F261" s="33" t="s">
        <v>313</v>
      </c>
      <c r="G261" s="33" t="s">
        <v>314</v>
      </c>
      <c r="H261" s="19" t="s">
        <v>263</v>
      </c>
      <c r="I261" s="17" t="b">
        <v>0</v>
      </c>
      <c r="K261" s="21" t="str">
        <f t="shared" si="3"/>
        <v>https://version2.ice-d.org/antarctica/sample/L2008-DALT07/</v>
      </c>
      <c r="L261" s="57" t="s">
        <v>39</v>
      </c>
      <c r="M261" s="155"/>
      <c r="O261" s="17" t="s">
        <v>315</v>
      </c>
      <c r="P261" s="22">
        <v>-73.684700000000007</v>
      </c>
      <c r="Q261" s="22">
        <v>68.472800000000007</v>
      </c>
      <c r="R261" s="22"/>
      <c r="S261" s="22">
        <v>1017</v>
      </c>
      <c r="T261" s="17">
        <v>943</v>
      </c>
      <c r="U261" s="23">
        <v>700</v>
      </c>
      <c r="V261" s="24" t="s">
        <v>2245</v>
      </c>
      <c r="W261" s="44" t="s">
        <v>2447</v>
      </c>
      <c r="X261" s="22">
        <f t="shared" si="8"/>
        <v>74</v>
      </c>
      <c r="Y261" s="22">
        <v>3</v>
      </c>
      <c r="Z261" s="22">
        <v>2.65</v>
      </c>
      <c r="AA261" s="17" t="s">
        <v>73</v>
      </c>
      <c r="AB261" s="26">
        <v>13711</v>
      </c>
      <c r="AC261" s="26">
        <v>1814</v>
      </c>
      <c r="AD261" s="26">
        <v>2168</v>
      </c>
      <c r="AE261" s="27">
        <v>190000</v>
      </c>
      <c r="AF261" s="27">
        <v>10000</v>
      </c>
      <c r="AG261" s="27">
        <v>1160000</v>
      </c>
      <c r="AH261" s="27">
        <v>130000</v>
      </c>
      <c r="AI261" s="17">
        <v>2003</v>
      </c>
      <c r="AJ261" s="17">
        <v>1</v>
      </c>
      <c r="AK261" s="17">
        <v>1</v>
      </c>
      <c r="AL261" s="17" t="s">
        <v>316</v>
      </c>
    </row>
    <row r="262" spans="1:39" ht="12.75" customHeight="1">
      <c r="A262" s="57" t="s">
        <v>312</v>
      </c>
      <c r="B262" s="33"/>
      <c r="C262" s="27">
        <v>32</v>
      </c>
      <c r="D262" s="20" t="s">
        <v>196</v>
      </c>
      <c r="E262" s="33"/>
      <c r="F262" s="33" t="s">
        <v>313</v>
      </c>
      <c r="G262" s="33" t="s">
        <v>314</v>
      </c>
      <c r="H262" s="19" t="s">
        <v>263</v>
      </c>
      <c r="I262" s="17" t="b">
        <v>0</v>
      </c>
      <c r="K262" s="21" t="str">
        <f t="shared" si="3"/>
        <v>https://version2.ice-d.org/antarctica/sample/L2008-DALT07/</v>
      </c>
      <c r="L262" s="57" t="s">
        <v>39</v>
      </c>
      <c r="M262" s="155"/>
      <c r="O262" s="17" t="s">
        <v>315</v>
      </c>
      <c r="P262" s="22">
        <v>-73.684700000000007</v>
      </c>
      <c r="Q262" s="22">
        <v>68.472800000000007</v>
      </c>
      <c r="R262" s="22"/>
      <c r="S262" s="22">
        <v>1017</v>
      </c>
      <c r="T262" s="17">
        <v>943</v>
      </c>
      <c r="U262" s="23">
        <v>700</v>
      </c>
      <c r="V262" s="24" t="s">
        <v>2245</v>
      </c>
      <c r="W262" s="44" t="s">
        <v>2447</v>
      </c>
      <c r="X262" s="22">
        <f t="shared" si="8"/>
        <v>74</v>
      </c>
      <c r="Y262" s="22">
        <v>3</v>
      </c>
      <c r="Z262" s="22">
        <v>2.65</v>
      </c>
      <c r="AA262" s="17" t="s">
        <v>73</v>
      </c>
      <c r="AB262" s="26">
        <v>14349</v>
      </c>
      <c r="AC262" s="26">
        <v>655</v>
      </c>
      <c r="AD262" s="26">
        <v>1073</v>
      </c>
      <c r="AE262" s="27">
        <v>190000</v>
      </c>
      <c r="AF262" s="27">
        <v>10000</v>
      </c>
      <c r="AG262" s="27">
        <v>1160000</v>
      </c>
      <c r="AH262" s="27">
        <v>130000</v>
      </c>
      <c r="AI262" s="17">
        <v>2003</v>
      </c>
      <c r="AJ262" s="17">
        <v>1</v>
      </c>
      <c r="AK262" s="17">
        <v>1</v>
      </c>
      <c r="AL262" s="17" t="s">
        <v>316</v>
      </c>
    </row>
    <row r="263" spans="1:39" ht="15.75" customHeight="1">
      <c r="A263" s="64" t="s">
        <v>317</v>
      </c>
      <c r="B263" s="19" t="s">
        <v>318</v>
      </c>
      <c r="C263" s="17">
        <v>33</v>
      </c>
      <c r="D263" s="20" t="s">
        <v>196</v>
      </c>
      <c r="E263" s="19">
        <v>0</v>
      </c>
      <c r="F263" s="19" t="s">
        <v>319</v>
      </c>
      <c r="G263" s="19" t="s">
        <v>320</v>
      </c>
      <c r="H263" s="19" t="s">
        <v>263</v>
      </c>
      <c r="I263" s="17" t="b">
        <v>1</v>
      </c>
      <c r="J263" s="17" t="s">
        <v>43</v>
      </c>
      <c r="K263" s="21" t="str">
        <f t="shared" si="3"/>
        <v>https://version2.ice-d.org/antarctica/sample/JS2022-GPS01A/</v>
      </c>
      <c r="L263" s="64" t="s">
        <v>39</v>
      </c>
      <c r="M263" s="64" t="s">
        <v>44</v>
      </c>
      <c r="O263" s="17" t="s">
        <v>321</v>
      </c>
      <c r="P263" s="22">
        <v>-81.346045000000004</v>
      </c>
      <c r="Q263" s="22">
        <v>152.72950700000001</v>
      </c>
      <c r="R263" s="22"/>
      <c r="S263" s="22">
        <v>1594.664</v>
      </c>
      <c r="T263" s="22" t="e">
        <f t="shared" ref="T263" si="9">S263-V263</f>
        <v>#VALUE!</v>
      </c>
      <c r="U263" s="23">
        <v>400</v>
      </c>
      <c r="V263" s="147" t="s">
        <v>2422</v>
      </c>
      <c r="W263" s="44" t="s">
        <v>2421</v>
      </c>
      <c r="X263" s="17">
        <v>114.664</v>
      </c>
      <c r="Y263" s="22">
        <v>2.75</v>
      </c>
      <c r="Z263" s="22">
        <v>2.2999999999999998</v>
      </c>
      <c r="AA263" s="17" t="s">
        <v>73</v>
      </c>
      <c r="AB263" s="26">
        <v>3598</v>
      </c>
      <c r="AC263" s="26">
        <v>100</v>
      </c>
      <c r="AD263" s="26">
        <v>235</v>
      </c>
      <c r="AE263" s="27">
        <v>84493.222650668395</v>
      </c>
      <c r="AF263" s="27">
        <v>2353.8580726298401</v>
      </c>
      <c r="AG263" s="28"/>
      <c r="AH263" s="28"/>
      <c r="AI263" s="17">
        <v>2020</v>
      </c>
      <c r="AJ263" s="17">
        <v>1</v>
      </c>
      <c r="AK263" s="17">
        <v>0</v>
      </c>
    </row>
    <row r="264" spans="1:39" ht="15.75" customHeight="1">
      <c r="A264" s="64" t="s">
        <v>322</v>
      </c>
      <c r="B264" s="19" t="s">
        <v>318</v>
      </c>
      <c r="C264" s="17">
        <v>33</v>
      </c>
      <c r="D264" s="20" t="s">
        <v>196</v>
      </c>
      <c r="E264" s="19">
        <v>0</v>
      </c>
      <c r="F264" s="19" t="s">
        <v>319</v>
      </c>
      <c r="G264" s="19" t="s">
        <v>320</v>
      </c>
      <c r="H264" s="19" t="s">
        <v>263</v>
      </c>
      <c r="I264" s="17" t="b">
        <v>1</v>
      </c>
      <c r="J264" s="17" t="s">
        <v>43</v>
      </c>
      <c r="K264" s="21" t="str">
        <f t="shared" si="3"/>
        <v>https://version2.ice-d.org/antarctica/sample/JS2022-GPS03C/</v>
      </c>
      <c r="L264" s="64" t="s">
        <v>39</v>
      </c>
      <c r="M264" s="64"/>
      <c r="O264" s="17" t="s">
        <v>321</v>
      </c>
      <c r="P264" s="22">
        <v>-81.345982000000006</v>
      </c>
      <c r="Q264" s="22">
        <v>152.731101</v>
      </c>
      <c r="R264" s="22"/>
      <c r="S264" s="22">
        <v>1585.117</v>
      </c>
      <c r="T264" s="22" t="e">
        <f>S264-#REF!</f>
        <v>#REF!</v>
      </c>
      <c r="U264" s="23">
        <v>400</v>
      </c>
      <c r="V264" s="147" t="s">
        <v>2422</v>
      </c>
      <c r="W264" s="44" t="s">
        <v>2421</v>
      </c>
      <c r="X264" s="17">
        <v>105.117</v>
      </c>
      <c r="Y264" s="22">
        <v>2.5</v>
      </c>
      <c r="Z264" s="22">
        <v>2.2999999999999998</v>
      </c>
      <c r="AA264" s="17" t="s">
        <v>73</v>
      </c>
      <c r="AB264" s="26">
        <v>7029</v>
      </c>
      <c r="AC264" s="26">
        <v>179</v>
      </c>
      <c r="AD264" s="26">
        <v>452</v>
      </c>
      <c r="AE264" s="27">
        <v>161953.746218938</v>
      </c>
      <c r="AF264" s="27">
        <v>4118.3968628795001</v>
      </c>
      <c r="AG264" s="28"/>
      <c r="AH264" s="28"/>
      <c r="AI264" s="17">
        <v>2020</v>
      </c>
      <c r="AJ264" s="17">
        <v>1</v>
      </c>
      <c r="AK264" s="17">
        <v>0</v>
      </c>
    </row>
    <row r="265" spans="1:39" ht="15.75" customHeight="1">
      <c r="A265" s="70" t="s">
        <v>323</v>
      </c>
      <c r="B265" s="19" t="s">
        <v>324</v>
      </c>
      <c r="C265" s="17">
        <v>33</v>
      </c>
      <c r="D265" s="20" t="s">
        <v>196</v>
      </c>
      <c r="E265" s="19">
        <v>0</v>
      </c>
      <c r="F265" s="19" t="s">
        <v>319</v>
      </c>
      <c r="G265" s="19" t="s">
        <v>320</v>
      </c>
      <c r="H265" s="19" t="s">
        <v>263</v>
      </c>
      <c r="I265" s="17" t="b">
        <v>1</v>
      </c>
      <c r="J265" s="17" t="s">
        <v>43</v>
      </c>
      <c r="K265" s="21" t="str">
        <f t="shared" si="3"/>
        <v>https://version2.ice-d.org/antarctica/sample/JS2022-LW2Ro/</v>
      </c>
      <c r="L265" s="70" t="s">
        <v>39</v>
      </c>
      <c r="M265" s="70" t="s">
        <v>44</v>
      </c>
      <c r="O265" s="17" t="s">
        <v>321</v>
      </c>
      <c r="P265" s="22">
        <v>-81.340999999999994</v>
      </c>
      <c r="Q265" s="22">
        <v>152.679</v>
      </c>
      <c r="R265" s="22"/>
      <c r="S265" s="22">
        <v>1487</v>
      </c>
      <c r="T265" s="17">
        <v>1480</v>
      </c>
      <c r="U265" s="23">
        <v>400</v>
      </c>
      <c r="V265" s="147" t="s">
        <v>2422</v>
      </c>
      <c r="W265" s="44" t="s">
        <v>2421</v>
      </c>
      <c r="X265" s="17">
        <v>7</v>
      </c>
      <c r="Y265" s="22">
        <v>3.516</v>
      </c>
      <c r="Z265" s="22">
        <v>2.7</v>
      </c>
      <c r="AA265" s="17" t="s">
        <v>84</v>
      </c>
      <c r="AB265" s="26">
        <v>2558</v>
      </c>
      <c r="AC265" s="26">
        <v>91</v>
      </c>
      <c r="AD265" s="26">
        <v>176</v>
      </c>
      <c r="AE265" s="27">
        <v>51396.295729232901</v>
      </c>
      <c r="AF265" s="27">
        <v>1830.86124916429</v>
      </c>
      <c r="AG265" s="28"/>
      <c r="AH265" s="28"/>
      <c r="AI265" s="17">
        <v>2005</v>
      </c>
      <c r="AJ265" s="17">
        <v>1</v>
      </c>
      <c r="AK265" s="17">
        <v>0</v>
      </c>
    </row>
    <row r="266" spans="1:39" ht="15.75" customHeight="1">
      <c r="A266" s="57" t="s">
        <v>325</v>
      </c>
      <c r="B266" s="19" t="s">
        <v>326</v>
      </c>
      <c r="C266" s="17">
        <v>33</v>
      </c>
      <c r="D266" s="20" t="s">
        <v>196</v>
      </c>
      <c r="E266" s="19">
        <v>0</v>
      </c>
      <c r="F266" s="19" t="s">
        <v>319</v>
      </c>
      <c r="G266" s="19" t="s">
        <v>320</v>
      </c>
      <c r="H266" s="19" t="s">
        <v>263</v>
      </c>
      <c r="I266" s="17" t="b">
        <v>1</v>
      </c>
      <c r="J266" s="17" t="s">
        <v>43</v>
      </c>
      <c r="K266" s="21" t="str">
        <f t="shared" si="3"/>
        <v>https://version2.ice-d.org/antarctica/sample/JS2022-T01A/</v>
      </c>
      <c r="L266" s="57" t="s">
        <v>39</v>
      </c>
      <c r="M266" s="57" t="s">
        <v>44</v>
      </c>
      <c r="O266" s="17" t="s">
        <v>321</v>
      </c>
      <c r="P266" s="22">
        <v>-81.357061000000002</v>
      </c>
      <c r="Q266" s="22">
        <v>152.760153</v>
      </c>
      <c r="R266" s="22"/>
      <c r="S266" s="22">
        <v>1671.72</v>
      </c>
      <c r="T266" s="17">
        <v>1480</v>
      </c>
      <c r="U266" s="23">
        <v>400</v>
      </c>
      <c r="V266" s="147" t="s">
        <v>2422</v>
      </c>
      <c r="W266" s="44" t="s">
        <v>2421</v>
      </c>
      <c r="X266" s="17">
        <v>191.72</v>
      </c>
      <c r="Y266" s="22">
        <v>1.5</v>
      </c>
      <c r="Z266" s="22">
        <v>2.2999999999999998</v>
      </c>
      <c r="AA266" s="17" t="s">
        <v>73</v>
      </c>
      <c r="AB266" s="26">
        <v>15018</v>
      </c>
      <c r="AC266" s="26">
        <v>396</v>
      </c>
      <c r="AD266" s="26">
        <v>974</v>
      </c>
      <c r="AE266" s="27">
        <v>373347.70854993101</v>
      </c>
      <c r="AF266" s="27">
        <v>9803.9446085041709</v>
      </c>
      <c r="AG266" s="28"/>
      <c r="AH266" s="28"/>
      <c r="AI266" s="17">
        <v>2020</v>
      </c>
      <c r="AJ266" s="17">
        <v>1</v>
      </c>
      <c r="AK266" s="17">
        <v>0</v>
      </c>
    </row>
    <row r="267" spans="1:39" ht="15.75" customHeight="1">
      <c r="A267" s="57" t="s">
        <v>327</v>
      </c>
      <c r="B267" s="19" t="s">
        <v>326</v>
      </c>
      <c r="C267" s="17">
        <v>33</v>
      </c>
      <c r="D267" s="20" t="s">
        <v>196</v>
      </c>
      <c r="E267" s="19">
        <v>0</v>
      </c>
      <c r="F267" s="19" t="s">
        <v>319</v>
      </c>
      <c r="G267" s="19" t="s">
        <v>320</v>
      </c>
      <c r="H267" s="19" t="s">
        <v>263</v>
      </c>
      <c r="I267" s="17" t="b">
        <v>1</v>
      </c>
      <c r="J267" s="17" t="s">
        <v>43</v>
      </c>
      <c r="K267" s="21" t="str">
        <f t="shared" si="3"/>
        <v>https://version2.ice-d.org/antarctica/sample/JS2022-T01C/</v>
      </c>
      <c r="L267" s="57" t="s">
        <v>39</v>
      </c>
      <c r="M267" s="57"/>
      <c r="O267" s="17" t="s">
        <v>321</v>
      </c>
      <c r="P267" s="22">
        <v>-81.357061000000002</v>
      </c>
      <c r="Q267" s="22">
        <v>152.760153</v>
      </c>
      <c r="R267" s="22"/>
      <c r="S267" s="22">
        <v>1671.72</v>
      </c>
      <c r="T267" s="17">
        <v>1480</v>
      </c>
      <c r="U267" s="23">
        <v>400</v>
      </c>
      <c r="V267" s="147" t="s">
        <v>2422</v>
      </c>
      <c r="W267" s="44" t="s">
        <v>2421</v>
      </c>
      <c r="X267" s="17">
        <v>191.72</v>
      </c>
      <c r="Y267" s="22">
        <v>3.5</v>
      </c>
      <c r="Z267" s="22">
        <v>2.2999999999999998</v>
      </c>
      <c r="AA267" s="17" t="s">
        <v>73</v>
      </c>
      <c r="AB267" s="26">
        <v>14803</v>
      </c>
      <c r="AC267" s="26">
        <v>610</v>
      </c>
      <c r="AD267" s="26">
        <v>1068</v>
      </c>
      <c r="AE267" s="27">
        <v>359246.87427930598</v>
      </c>
      <c r="AF267" s="27">
        <v>14754.7196620216</v>
      </c>
      <c r="AG267" s="28"/>
      <c r="AH267" s="28"/>
      <c r="AI267" s="17">
        <v>2020</v>
      </c>
      <c r="AJ267" s="17">
        <v>1</v>
      </c>
      <c r="AK267" s="17">
        <v>0</v>
      </c>
    </row>
    <row r="268" spans="1:39" ht="15.75" customHeight="1">
      <c r="A268" s="57" t="s">
        <v>328</v>
      </c>
      <c r="B268" s="19" t="s">
        <v>326</v>
      </c>
      <c r="C268" s="17">
        <v>33</v>
      </c>
      <c r="D268" s="20" t="s">
        <v>196</v>
      </c>
      <c r="E268" s="19">
        <v>0</v>
      </c>
      <c r="F268" s="19" t="s">
        <v>319</v>
      </c>
      <c r="G268" s="19" t="s">
        <v>320</v>
      </c>
      <c r="H268" s="19" t="s">
        <v>263</v>
      </c>
      <c r="I268" s="17" t="b">
        <v>1</v>
      </c>
      <c r="J268" s="17" t="s">
        <v>43</v>
      </c>
      <c r="K268" s="21" t="str">
        <f t="shared" si="3"/>
        <v>https://version2.ice-d.org/antarctica/sample/JS2022-T01D/</v>
      </c>
      <c r="L268" s="57" t="s">
        <v>39</v>
      </c>
      <c r="M268" s="57"/>
      <c r="O268" s="17" t="s">
        <v>321</v>
      </c>
      <c r="P268" s="22">
        <v>-81.357061000000002</v>
      </c>
      <c r="Q268" s="22">
        <v>152.760153</v>
      </c>
      <c r="R268" s="22"/>
      <c r="S268" s="22">
        <v>1671.72</v>
      </c>
      <c r="T268" s="17">
        <v>1480</v>
      </c>
      <c r="U268" s="23">
        <v>400</v>
      </c>
      <c r="V268" s="147" t="s">
        <v>2422</v>
      </c>
      <c r="W268" s="44" t="s">
        <v>2421</v>
      </c>
      <c r="X268" s="17">
        <v>191.72</v>
      </c>
      <c r="Y268" s="22">
        <v>3.5</v>
      </c>
      <c r="Z268" s="22">
        <v>2.7</v>
      </c>
      <c r="AA268" s="17" t="s">
        <v>73</v>
      </c>
      <c r="AB268" s="26">
        <v>15923</v>
      </c>
      <c r="AC268" s="26">
        <v>658</v>
      </c>
      <c r="AD268" s="26">
        <v>1150</v>
      </c>
      <c r="AE268" s="27">
        <v>384464.798656617</v>
      </c>
      <c r="AF268" s="27">
        <v>15820.9235512009</v>
      </c>
      <c r="AG268" s="28"/>
      <c r="AH268" s="28"/>
      <c r="AI268" s="17">
        <v>2020</v>
      </c>
      <c r="AJ268" s="17">
        <v>1</v>
      </c>
      <c r="AK268" s="17">
        <v>0</v>
      </c>
    </row>
    <row r="269" spans="1:39" ht="15.75" customHeight="1">
      <c r="A269" s="57" t="s">
        <v>329</v>
      </c>
      <c r="B269" s="19" t="s">
        <v>326</v>
      </c>
      <c r="C269" s="17">
        <v>33</v>
      </c>
      <c r="D269" s="20" t="s">
        <v>196</v>
      </c>
      <c r="E269" s="19">
        <v>0</v>
      </c>
      <c r="F269" s="19" t="s">
        <v>319</v>
      </c>
      <c r="G269" s="19" t="s">
        <v>320</v>
      </c>
      <c r="H269" s="19" t="s">
        <v>263</v>
      </c>
      <c r="I269" s="17" t="b">
        <v>1</v>
      </c>
      <c r="J269" s="17" t="s">
        <v>43</v>
      </c>
      <c r="K269" s="21" t="str">
        <f t="shared" si="3"/>
        <v>https://version2.ice-d.org/antarctica/sample/JS2022-T02/</v>
      </c>
      <c r="L269" s="57" t="s">
        <v>39</v>
      </c>
      <c r="M269" s="57"/>
      <c r="O269" s="17" t="s">
        <v>321</v>
      </c>
      <c r="P269" s="22">
        <v>-81.355037999999993</v>
      </c>
      <c r="Q269" s="22">
        <v>152.75666000000001</v>
      </c>
      <c r="R269" s="22"/>
      <c r="S269" s="22">
        <v>1663.72</v>
      </c>
      <c r="T269" s="22" t="e">
        <f>S269-V269</f>
        <v>#VALUE!</v>
      </c>
      <c r="U269" s="23">
        <v>400</v>
      </c>
      <c r="V269" s="147" t="s">
        <v>2422</v>
      </c>
      <c r="W269" s="44" t="s">
        <v>2421</v>
      </c>
      <c r="X269" s="17">
        <v>183.72</v>
      </c>
      <c r="Y269" s="22">
        <v>2.75</v>
      </c>
      <c r="Z269" s="22">
        <v>2.7</v>
      </c>
      <c r="AA269" s="17" t="s">
        <v>73</v>
      </c>
      <c r="AB269" s="26">
        <v>5587</v>
      </c>
      <c r="AC269" s="26">
        <v>158</v>
      </c>
      <c r="AD269" s="26">
        <v>366</v>
      </c>
      <c r="AE269" s="27">
        <v>136328.228709861</v>
      </c>
      <c r="AF269" s="27">
        <v>3849.6845820936101</v>
      </c>
      <c r="AG269" s="28"/>
      <c r="AH269" s="28"/>
      <c r="AI269" s="17">
        <v>2020</v>
      </c>
      <c r="AJ269" s="17">
        <v>1</v>
      </c>
      <c r="AK269" s="17">
        <v>0</v>
      </c>
    </row>
    <row r="270" spans="1:39" ht="15.75" customHeight="1">
      <c r="A270" s="58" t="s">
        <v>330</v>
      </c>
      <c r="B270" s="19" t="s">
        <v>331</v>
      </c>
      <c r="C270" s="17">
        <v>34</v>
      </c>
      <c r="D270" s="20" t="s">
        <v>196</v>
      </c>
      <c r="E270" s="19">
        <v>0</v>
      </c>
      <c r="F270" s="19" t="s">
        <v>319</v>
      </c>
      <c r="G270" s="19" t="s">
        <v>320</v>
      </c>
      <c r="H270" s="19" t="s">
        <v>263</v>
      </c>
      <c r="I270" s="17" t="b">
        <v>1</v>
      </c>
      <c r="J270" s="17" t="s">
        <v>43</v>
      </c>
      <c r="K270" s="21" t="str">
        <f t="shared" si="3"/>
        <v>https://version2.ice-d.org/antarctica/sample/JS2022-OT01/</v>
      </c>
      <c r="L270" s="58" t="s">
        <v>39</v>
      </c>
      <c r="M270" s="58" t="s">
        <v>44</v>
      </c>
      <c r="O270" s="17" t="s">
        <v>321</v>
      </c>
      <c r="P270" s="22">
        <v>-81.285307000000003</v>
      </c>
      <c r="Q270" s="22">
        <v>153.22508500000001</v>
      </c>
      <c r="R270" s="22"/>
      <c r="S270" s="22">
        <v>1634.7139999999999</v>
      </c>
      <c r="T270" s="17">
        <v>1365</v>
      </c>
      <c r="U270" s="23">
        <v>400</v>
      </c>
      <c r="V270" s="147" t="s">
        <v>2422</v>
      </c>
      <c r="W270" s="44" t="s">
        <v>2421</v>
      </c>
      <c r="X270" s="22">
        <v>269.714</v>
      </c>
      <c r="Y270" s="22">
        <v>1.91</v>
      </c>
      <c r="Z270" s="22">
        <v>2.2999999999999998</v>
      </c>
      <c r="AA270" s="17" t="s">
        <v>73</v>
      </c>
      <c r="AB270" s="26">
        <v>7085</v>
      </c>
      <c r="AC270" s="26">
        <v>178</v>
      </c>
      <c r="AD270" s="26">
        <v>455</v>
      </c>
      <c r="AE270" s="27">
        <v>171225.305650836</v>
      </c>
      <c r="AF270" s="27">
        <v>4301.6489574186498</v>
      </c>
      <c r="AG270" s="28"/>
      <c r="AH270" s="28"/>
      <c r="AI270" s="17">
        <v>2020</v>
      </c>
      <c r="AJ270" s="17">
        <v>1</v>
      </c>
      <c r="AK270" s="17">
        <v>0</v>
      </c>
    </row>
    <row r="271" spans="1:39" ht="15.75" customHeight="1">
      <c r="A271" s="58" t="s">
        <v>332</v>
      </c>
      <c r="B271" s="19" t="s">
        <v>331</v>
      </c>
      <c r="C271" s="17">
        <v>34</v>
      </c>
      <c r="D271" s="20" t="s">
        <v>196</v>
      </c>
      <c r="E271" s="19">
        <v>0</v>
      </c>
      <c r="F271" s="19" t="s">
        <v>319</v>
      </c>
      <c r="G271" s="19" t="s">
        <v>320</v>
      </c>
      <c r="H271" s="19" t="s">
        <v>263</v>
      </c>
      <c r="I271" s="17" t="b">
        <v>1</v>
      </c>
      <c r="J271" s="17" t="s">
        <v>43</v>
      </c>
      <c r="K271" s="21" t="str">
        <f t="shared" si="3"/>
        <v>https://version2.ice-d.org/antarctica/sample/JS2022-OT02/</v>
      </c>
      <c r="L271" s="58" t="s">
        <v>39</v>
      </c>
      <c r="M271" s="58"/>
      <c r="O271" s="17" t="s">
        <v>321</v>
      </c>
      <c r="P271" s="22">
        <v>-81.285371999999995</v>
      </c>
      <c r="Q271" s="22">
        <v>153.22502700000001</v>
      </c>
      <c r="R271" s="22"/>
      <c r="S271" s="22">
        <v>1632.385</v>
      </c>
      <c r="T271" s="17">
        <v>1365</v>
      </c>
      <c r="U271" s="23">
        <v>400</v>
      </c>
      <c r="V271" s="147" t="s">
        <v>2422</v>
      </c>
      <c r="W271" s="44" t="s">
        <v>2421</v>
      </c>
      <c r="X271" s="17">
        <v>267.38499999999999</v>
      </c>
      <c r="Y271" s="22">
        <v>3.5</v>
      </c>
      <c r="Z271" s="22">
        <v>2.7</v>
      </c>
      <c r="AA271" s="17" t="s">
        <v>73</v>
      </c>
      <c r="AB271" s="26">
        <v>8039</v>
      </c>
      <c r="AC271" s="26">
        <v>250</v>
      </c>
      <c r="AD271" s="26">
        <v>537</v>
      </c>
      <c r="AE271" s="27">
        <v>189873.07905859101</v>
      </c>
      <c r="AF271" s="27">
        <v>5899.1394670019599</v>
      </c>
      <c r="AG271" s="28"/>
      <c r="AH271" s="28"/>
      <c r="AI271" s="17">
        <v>2020</v>
      </c>
      <c r="AJ271" s="17">
        <v>1</v>
      </c>
      <c r="AK271" s="17">
        <v>0</v>
      </c>
    </row>
    <row r="272" spans="1:39" ht="15.75" customHeight="1">
      <c r="A272" s="58" t="s">
        <v>333</v>
      </c>
      <c r="B272" s="19" t="s">
        <v>331</v>
      </c>
      <c r="C272" s="17">
        <v>34</v>
      </c>
      <c r="D272" s="20" t="s">
        <v>196</v>
      </c>
      <c r="E272" s="19">
        <v>0</v>
      </c>
      <c r="F272" s="19" t="s">
        <v>319</v>
      </c>
      <c r="G272" s="19" t="s">
        <v>320</v>
      </c>
      <c r="H272" s="19" t="s">
        <v>263</v>
      </c>
      <c r="I272" s="17" t="b">
        <v>1</v>
      </c>
      <c r="J272" s="17" t="s">
        <v>43</v>
      </c>
      <c r="K272" s="21" t="str">
        <f t="shared" si="3"/>
        <v>https://version2.ice-d.org/antarctica/sample/JS2022-OT03/</v>
      </c>
      <c r="L272" s="58" t="s">
        <v>39</v>
      </c>
      <c r="M272" s="58"/>
      <c r="O272" s="17" t="s">
        <v>321</v>
      </c>
      <c r="P272" s="22">
        <v>-81.285362000000006</v>
      </c>
      <c r="Q272" s="22">
        <v>153.22566499999999</v>
      </c>
      <c r="R272" s="22"/>
      <c r="S272" s="22">
        <v>1634.338</v>
      </c>
      <c r="T272" s="17">
        <v>1365</v>
      </c>
      <c r="U272" s="23">
        <v>400</v>
      </c>
      <c r="V272" s="147" t="s">
        <v>2422</v>
      </c>
      <c r="W272" s="44" t="s">
        <v>2421</v>
      </c>
      <c r="X272" s="17">
        <v>269.33800000000002</v>
      </c>
      <c r="Y272" s="22">
        <v>3.5</v>
      </c>
      <c r="Z272" s="22">
        <v>2.2999999999999998</v>
      </c>
      <c r="AA272" s="17" t="s">
        <v>73</v>
      </c>
      <c r="AB272" s="26">
        <v>8442</v>
      </c>
      <c r="AC272" s="26">
        <v>227</v>
      </c>
      <c r="AD272" s="26">
        <v>548</v>
      </c>
      <c r="AE272" s="27">
        <v>200630.015738177</v>
      </c>
      <c r="AF272" s="27">
        <v>5381.5027930893802</v>
      </c>
      <c r="AG272" s="28"/>
      <c r="AH272" s="28"/>
      <c r="AI272" s="17">
        <v>2020</v>
      </c>
      <c r="AJ272" s="17">
        <v>1</v>
      </c>
      <c r="AK272" s="17">
        <v>0</v>
      </c>
    </row>
    <row r="273" spans="1:38" ht="15.75" customHeight="1">
      <c r="A273" s="58" t="s">
        <v>334</v>
      </c>
      <c r="B273" s="19" t="s">
        <v>331</v>
      </c>
      <c r="C273" s="17">
        <v>34</v>
      </c>
      <c r="D273" s="20" t="s">
        <v>196</v>
      </c>
      <c r="E273" s="19">
        <v>0</v>
      </c>
      <c r="F273" s="19" t="s">
        <v>319</v>
      </c>
      <c r="G273" s="19" t="s">
        <v>320</v>
      </c>
      <c r="H273" s="19" t="s">
        <v>263</v>
      </c>
      <c r="I273" s="17" t="b">
        <v>1</v>
      </c>
      <c r="J273" s="17" t="s">
        <v>43</v>
      </c>
      <c r="K273" s="21" t="str">
        <f t="shared" si="3"/>
        <v>https://version2.ice-d.org/antarctica/sample/JS2022-OT04A/</v>
      </c>
      <c r="L273" s="58" t="s">
        <v>39</v>
      </c>
      <c r="M273" s="58"/>
      <c r="O273" s="17" t="s">
        <v>321</v>
      </c>
      <c r="P273" s="22">
        <v>-81.285210000000006</v>
      </c>
      <c r="Q273" s="22">
        <v>153.22190699999999</v>
      </c>
      <c r="R273" s="22"/>
      <c r="S273" s="22">
        <v>1629.1079999999999</v>
      </c>
      <c r="T273" s="17">
        <v>1365</v>
      </c>
      <c r="U273" s="23">
        <v>400</v>
      </c>
      <c r="V273" s="147" t="s">
        <v>2422</v>
      </c>
      <c r="W273" s="44" t="s">
        <v>2421</v>
      </c>
      <c r="X273" s="17">
        <v>264.108</v>
      </c>
      <c r="Y273" s="22">
        <v>3.5</v>
      </c>
      <c r="Z273" s="22">
        <v>2.7</v>
      </c>
      <c r="AA273" s="17" t="s">
        <v>73</v>
      </c>
      <c r="AB273" s="26">
        <v>8048</v>
      </c>
      <c r="AC273" s="26">
        <v>205</v>
      </c>
      <c r="AD273" s="26">
        <v>518</v>
      </c>
      <c r="AE273" s="27">
        <v>189591.16516912999</v>
      </c>
      <c r="AF273" s="27">
        <v>4824.04118508389</v>
      </c>
      <c r="AG273" s="28"/>
      <c r="AH273" s="28"/>
      <c r="AI273" s="17">
        <v>2020</v>
      </c>
      <c r="AJ273" s="17">
        <v>1</v>
      </c>
      <c r="AK273" s="17">
        <v>0</v>
      </c>
    </row>
    <row r="274" spans="1:38" ht="15.75" customHeight="1">
      <c r="A274" s="58" t="s">
        <v>335</v>
      </c>
      <c r="B274" s="19" t="s">
        <v>331</v>
      </c>
      <c r="C274" s="17">
        <v>34</v>
      </c>
      <c r="D274" s="20" t="s">
        <v>196</v>
      </c>
      <c r="E274" s="19">
        <v>0</v>
      </c>
      <c r="F274" s="19" t="s">
        <v>319</v>
      </c>
      <c r="G274" s="19" t="s">
        <v>320</v>
      </c>
      <c r="H274" s="19" t="s">
        <v>263</v>
      </c>
      <c r="I274" s="17" t="b">
        <v>1</v>
      </c>
      <c r="J274" s="17" t="s">
        <v>43</v>
      </c>
      <c r="K274" s="21" t="str">
        <f t="shared" si="3"/>
        <v>https://version2.ice-d.org/antarctica/sample/JS2022-OT05A/</v>
      </c>
      <c r="L274" s="58" t="s">
        <v>39</v>
      </c>
      <c r="M274" s="58"/>
      <c r="O274" s="17" t="s">
        <v>321</v>
      </c>
      <c r="P274" s="22">
        <v>-81.284099999999995</v>
      </c>
      <c r="Q274" s="22">
        <v>153.223108</v>
      </c>
      <c r="R274" s="22"/>
      <c r="S274" s="22">
        <v>1611.366</v>
      </c>
      <c r="T274" s="17">
        <v>1365</v>
      </c>
      <c r="U274" s="23">
        <v>400</v>
      </c>
      <c r="V274" s="147" t="s">
        <v>2422</v>
      </c>
      <c r="W274" s="44" t="s">
        <v>2421</v>
      </c>
      <c r="X274" s="17">
        <v>246.36600000000001</v>
      </c>
      <c r="Y274" s="22">
        <v>2.4433333333333298</v>
      </c>
      <c r="Z274" s="22">
        <v>2.2999999999999998</v>
      </c>
      <c r="AA274" s="17" t="s">
        <v>73</v>
      </c>
      <c r="AB274" s="26">
        <v>7000</v>
      </c>
      <c r="AC274" s="26">
        <v>174</v>
      </c>
      <c r="AD274" s="26">
        <v>449</v>
      </c>
      <c r="AE274" s="27">
        <v>165275.61483531201</v>
      </c>
      <c r="AF274" s="27">
        <v>4112.4018339178801</v>
      </c>
      <c r="AG274" s="28"/>
      <c r="AH274" s="28"/>
      <c r="AI274" s="17">
        <v>2020</v>
      </c>
      <c r="AJ274" s="17">
        <v>1</v>
      </c>
      <c r="AK274" s="17">
        <v>0</v>
      </c>
    </row>
    <row r="275" spans="1:38" ht="12.75" customHeight="1">
      <c r="A275" s="58" t="s">
        <v>336</v>
      </c>
      <c r="B275" s="19" t="s">
        <v>331</v>
      </c>
      <c r="C275" s="17">
        <v>34</v>
      </c>
      <c r="D275" s="20" t="s">
        <v>196</v>
      </c>
      <c r="E275" s="19">
        <v>0</v>
      </c>
      <c r="F275" s="19" t="s">
        <v>319</v>
      </c>
      <c r="G275" s="19" t="s">
        <v>320</v>
      </c>
      <c r="H275" s="19" t="s">
        <v>263</v>
      </c>
      <c r="I275" s="17" t="b">
        <v>1</v>
      </c>
      <c r="J275" s="17" t="s">
        <v>43</v>
      </c>
      <c r="K275" s="21" t="str">
        <f t="shared" si="3"/>
        <v>https://version2.ice-d.org/antarctica/sample/JS2022-OT05c/</v>
      </c>
      <c r="L275" s="58" t="s">
        <v>39</v>
      </c>
      <c r="M275" s="58"/>
      <c r="O275" s="17" t="s">
        <v>321</v>
      </c>
      <c r="P275" s="22">
        <v>-81.284099999999995</v>
      </c>
      <c r="Q275" s="22">
        <v>153.223108</v>
      </c>
      <c r="R275" s="22"/>
      <c r="S275" s="22">
        <v>1611.366</v>
      </c>
      <c r="T275" s="17">
        <v>1365</v>
      </c>
      <c r="U275" s="23">
        <v>400</v>
      </c>
      <c r="V275" s="147" t="s">
        <v>2422</v>
      </c>
      <c r="W275" s="44" t="s">
        <v>2421</v>
      </c>
      <c r="X275" s="17">
        <v>246.36600000000001</v>
      </c>
      <c r="Y275" s="22">
        <v>3.5</v>
      </c>
      <c r="Z275" s="22">
        <v>2.2999999999999998</v>
      </c>
      <c r="AA275" s="17" t="s">
        <v>73</v>
      </c>
      <c r="AB275" s="26">
        <v>7588</v>
      </c>
      <c r="AC275" s="26">
        <v>194</v>
      </c>
      <c r="AD275" s="26">
        <v>489</v>
      </c>
      <c r="AE275" s="27">
        <v>176630.57085680001</v>
      </c>
      <c r="AF275" s="27">
        <v>4498.79602192333</v>
      </c>
      <c r="AG275" s="28"/>
      <c r="AH275" s="28"/>
      <c r="AI275" s="17">
        <v>2020</v>
      </c>
      <c r="AJ275" s="17">
        <v>1</v>
      </c>
      <c r="AK275" s="17">
        <v>0</v>
      </c>
    </row>
    <row r="276" spans="1:38" ht="12.75" customHeight="1">
      <c r="A276" s="58" t="s">
        <v>337</v>
      </c>
      <c r="B276" s="19" t="s">
        <v>331</v>
      </c>
      <c r="C276" s="17">
        <v>34</v>
      </c>
      <c r="D276" s="20" t="s">
        <v>196</v>
      </c>
      <c r="E276" s="19">
        <v>0</v>
      </c>
      <c r="F276" s="19" t="s">
        <v>319</v>
      </c>
      <c r="G276" s="19" t="s">
        <v>320</v>
      </c>
      <c r="H276" s="19" t="s">
        <v>263</v>
      </c>
      <c r="I276" s="17" t="b">
        <v>1</v>
      </c>
      <c r="J276" s="17" t="s">
        <v>43</v>
      </c>
      <c r="K276" s="21" t="str">
        <f t="shared" si="3"/>
        <v>https://version2.ice-d.org/antarctica/sample/JS2022-OT07/</v>
      </c>
      <c r="L276" s="58" t="s">
        <v>39</v>
      </c>
      <c r="M276" s="58"/>
      <c r="O276" s="17" t="s">
        <v>321</v>
      </c>
      <c r="P276" s="22">
        <v>-81.283113</v>
      </c>
      <c r="Q276" s="22">
        <v>153.221711</v>
      </c>
      <c r="R276" s="22"/>
      <c r="S276" s="22">
        <v>1602.6969999999999</v>
      </c>
      <c r="T276" s="17">
        <v>1365</v>
      </c>
      <c r="U276" s="23">
        <v>400</v>
      </c>
      <c r="V276" s="147" t="s">
        <v>2422</v>
      </c>
      <c r="W276" s="44" t="s">
        <v>2421</v>
      </c>
      <c r="X276" s="17">
        <v>237.697</v>
      </c>
      <c r="Y276" s="22">
        <v>1.98</v>
      </c>
      <c r="Z276" s="22">
        <v>2.2999999999999998</v>
      </c>
      <c r="AA276" s="17" t="s">
        <v>73</v>
      </c>
      <c r="AB276" s="26">
        <v>6943</v>
      </c>
      <c r="AC276" s="26">
        <v>170</v>
      </c>
      <c r="AD276" s="26">
        <v>444</v>
      </c>
      <c r="AE276" s="27">
        <v>163295.33694065301</v>
      </c>
      <c r="AF276" s="27">
        <v>3986.1648280780801</v>
      </c>
      <c r="AG276" s="28"/>
      <c r="AH276" s="28"/>
      <c r="AI276" s="17">
        <v>2020</v>
      </c>
      <c r="AJ276" s="17">
        <v>1</v>
      </c>
      <c r="AK276" s="17">
        <v>0</v>
      </c>
    </row>
    <row r="277" spans="1:38" ht="15.75" customHeight="1">
      <c r="A277" s="58" t="s">
        <v>338</v>
      </c>
      <c r="B277" s="19" t="s">
        <v>331</v>
      </c>
      <c r="C277" s="17">
        <v>34</v>
      </c>
      <c r="D277" s="20" t="s">
        <v>196</v>
      </c>
      <c r="E277" s="19">
        <v>0</v>
      </c>
      <c r="F277" s="19" t="s">
        <v>319</v>
      </c>
      <c r="G277" s="19" t="s">
        <v>320</v>
      </c>
      <c r="H277" s="19" t="s">
        <v>263</v>
      </c>
      <c r="I277" s="17" t="b">
        <v>1</v>
      </c>
      <c r="J277" s="17" t="s">
        <v>43</v>
      </c>
      <c r="K277" s="21" t="str">
        <f t="shared" si="3"/>
        <v>https://version2.ice-d.org/antarctica/sample/JS2022-OT09/</v>
      </c>
      <c r="L277" s="58" t="s">
        <v>39</v>
      </c>
      <c r="M277" s="58"/>
      <c r="O277" s="17" t="s">
        <v>321</v>
      </c>
      <c r="P277" s="22">
        <v>-81.282709999999994</v>
      </c>
      <c r="Q277" s="22">
        <v>153.22425799999999</v>
      </c>
      <c r="R277" s="22"/>
      <c r="S277" s="22">
        <v>1579.55</v>
      </c>
      <c r="T277" s="17">
        <v>1365</v>
      </c>
      <c r="U277" s="23">
        <v>400</v>
      </c>
      <c r="V277" s="147" t="s">
        <v>2422</v>
      </c>
      <c r="W277" s="44" t="s">
        <v>2421</v>
      </c>
      <c r="X277" s="17">
        <v>214.55</v>
      </c>
      <c r="Y277" s="22">
        <v>3.5</v>
      </c>
      <c r="Z277" s="22">
        <v>2.2999999999999998</v>
      </c>
      <c r="AA277" s="17" t="s">
        <v>73</v>
      </c>
      <c r="AB277" s="26">
        <v>7702</v>
      </c>
      <c r="AC277" s="26">
        <v>208</v>
      </c>
      <c r="AD277" s="26">
        <v>500</v>
      </c>
      <c r="AE277" s="27">
        <v>174763.225848506</v>
      </c>
      <c r="AF277" s="27">
        <v>4699.98533625861</v>
      </c>
      <c r="AG277" s="28"/>
      <c r="AH277" s="28"/>
      <c r="AI277" s="17">
        <v>2020</v>
      </c>
      <c r="AJ277" s="17">
        <v>1</v>
      </c>
      <c r="AK277" s="17">
        <v>0</v>
      </c>
    </row>
    <row r="278" spans="1:38" ht="15.75" customHeight="1">
      <c r="A278" s="58" t="s">
        <v>339</v>
      </c>
      <c r="B278" s="19" t="s">
        <v>331</v>
      </c>
      <c r="C278" s="17">
        <v>34</v>
      </c>
      <c r="D278" s="20" t="s">
        <v>196</v>
      </c>
      <c r="E278" s="19">
        <v>0</v>
      </c>
      <c r="F278" s="19" t="s">
        <v>319</v>
      </c>
      <c r="G278" s="19" t="s">
        <v>320</v>
      </c>
      <c r="H278" s="19" t="s">
        <v>263</v>
      </c>
      <c r="I278" s="17" t="b">
        <v>1</v>
      </c>
      <c r="J278" s="17" t="s">
        <v>43</v>
      </c>
      <c r="K278" s="21" t="str">
        <f t="shared" si="3"/>
        <v>https://version2.ice-d.org/antarctica/sample/JS2022-OT10/</v>
      </c>
      <c r="L278" s="58" t="s">
        <v>39</v>
      </c>
      <c r="M278" s="58"/>
      <c r="O278" s="17" t="s">
        <v>321</v>
      </c>
      <c r="P278" s="22">
        <v>-81.282584</v>
      </c>
      <c r="Q278" s="22">
        <v>153.22512900000001</v>
      </c>
      <c r="R278" s="22"/>
      <c r="S278" s="22">
        <v>1569.2809999999999</v>
      </c>
      <c r="T278" s="17">
        <v>1365</v>
      </c>
      <c r="U278" s="23">
        <v>400</v>
      </c>
      <c r="V278" s="147" t="s">
        <v>2422</v>
      </c>
      <c r="W278" s="44" t="s">
        <v>2421</v>
      </c>
      <c r="X278" s="17">
        <v>204.28100000000001</v>
      </c>
      <c r="Y278" s="22">
        <v>4.3499999999999996</v>
      </c>
      <c r="Z278" s="22">
        <v>2.7</v>
      </c>
      <c r="AA278" s="17" t="s">
        <v>73</v>
      </c>
      <c r="AB278" s="26">
        <v>8114</v>
      </c>
      <c r="AC278" s="26">
        <v>224</v>
      </c>
      <c r="AD278" s="26">
        <v>529</v>
      </c>
      <c r="AE278" s="27">
        <v>183021.81499931801</v>
      </c>
      <c r="AF278" s="27">
        <v>5042.74545342069</v>
      </c>
      <c r="AG278" s="28"/>
      <c r="AH278" s="28"/>
      <c r="AI278" s="17">
        <v>2020</v>
      </c>
      <c r="AJ278" s="17">
        <v>1</v>
      </c>
      <c r="AK278" s="17">
        <v>0</v>
      </c>
    </row>
    <row r="279" spans="1:38" ht="15.75" customHeight="1">
      <c r="A279" s="58" t="s">
        <v>340</v>
      </c>
      <c r="B279" s="19" t="s">
        <v>331</v>
      </c>
      <c r="C279" s="17">
        <v>34</v>
      </c>
      <c r="D279" s="20" t="s">
        <v>196</v>
      </c>
      <c r="E279" s="19">
        <v>0</v>
      </c>
      <c r="F279" s="19" t="s">
        <v>319</v>
      </c>
      <c r="G279" s="19" t="s">
        <v>320</v>
      </c>
      <c r="H279" s="19" t="s">
        <v>263</v>
      </c>
      <c r="I279" s="17" t="b">
        <v>1</v>
      </c>
      <c r="J279" s="17" t="s">
        <v>43</v>
      </c>
      <c r="K279" s="21" t="str">
        <f t="shared" si="3"/>
        <v>https://version2.ice-d.org/antarctica/sample/JS2022-OT14A/</v>
      </c>
      <c r="L279" s="58" t="s">
        <v>39</v>
      </c>
      <c r="M279" s="58"/>
      <c r="O279" s="17" t="s">
        <v>321</v>
      </c>
      <c r="P279" s="22">
        <v>-81.281456000000006</v>
      </c>
      <c r="Q279" s="22">
        <v>153.233126</v>
      </c>
      <c r="R279" s="22"/>
      <c r="S279" s="22">
        <v>1484.729</v>
      </c>
      <c r="T279" s="17">
        <v>1365</v>
      </c>
      <c r="U279" s="23">
        <v>400</v>
      </c>
      <c r="V279" s="147" t="s">
        <v>2422</v>
      </c>
      <c r="W279" s="44" t="s">
        <v>2421</v>
      </c>
      <c r="X279" s="22">
        <v>119.729</v>
      </c>
      <c r="Y279" s="22">
        <v>3.78</v>
      </c>
      <c r="Z279" s="22">
        <v>2.2999999999999998</v>
      </c>
      <c r="AA279" s="17" t="s">
        <v>73</v>
      </c>
      <c r="AB279" s="26">
        <v>6410</v>
      </c>
      <c r="AC279" s="26">
        <v>176</v>
      </c>
      <c r="AD279" s="26">
        <v>418</v>
      </c>
      <c r="AE279" s="27">
        <v>134896.895194741</v>
      </c>
      <c r="AF279" s="27">
        <v>3693.1354544033102</v>
      </c>
      <c r="AG279" s="28"/>
      <c r="AH279" s="28"/>
      <c r="AI279" s="17">
        <v>2020</v>
      </c>
      <c r="AJ279" s="17">
        <v>1</v>
      </c>
      <c r="AK279" s="17">
        <v>0</v>
      </c>
    </row>
    <row r="280" spans="1:38" ht="15.75" customHeight="1">
      <c r="A280" s="58" t="s">
        <v>341</v>
      </c>
      <c r="B280" s="19" t="s">
        <v>331</v>
      </c>
      <c r="C280" s="17">
        <v>34</v>
      </c>
      <c r="D280" s="20" t="s">
        <v>196</v>
      </c>
      <c r="E280" s="19">
        <v>0</v>
      </c>
      <c r="F280" s="19" t="s">
        <v>319</v>
      </c>
      <c r="G280" s="19" t="s">
        <v>320</v>
      </c>
      <c r="H280" s="19" t="s">
        <v>263</v>
      </c>
      <c r="I280" s="17" t="b">
        <v>1</v>
      </c>
      <c r="J280" s="17" t="s">
        <v>43</v>
      </c>
      <c r="K280" s="21" t="str">
        <f t="shared" si="3"/>
        <v>https://version2.ice-d.org/antarctica/sample/JS2022-OT15/</v>
      </c>
      <c r="L280" s="58" t="s">
        <v>39</v>
      </c>
      <c r="M280" s="58"/>
      <c r="O280" s="17" t="s">
        <v>321</v>
      </c>
      <c r="P280" s="22">
        <v>-81.281141000000005</v>
      </c>
      <c r="Q280" s="22">
        <v>153.23575399999999</v>
      </c>
      <c r="R280" s="22"/>
      <c r="S280" s="22">
        <v>1460.355</v>
      </c>
      <c r="T280" s="17">
        <v>1365</v>
      </c>
      <c r="U280" s="23">
        <v>400</v>
      </c>
      <c r="V280" s="147" t="s">
        <v>2422</v>
      </c>
      <c r="W280" s="44" t="s">
        <v>2421</v>
      </c>
      <c r="X280" s="17">
        <v>95.355000000000004</v>
      </c>
      <c r="Y280" s="22">
        <v>3.6266666666666598</v>
      </c>
      <c r="Z280" s="22">
        <v>2.7</v>
      </c>
      <c r="AA280" s="17" t="s">
        <v>73</v>
      </c>
      <c r="AB280" s="26">
        <v>6277</v>
      </c>
      <c r="AC280" s="26">
        <v>175</v>
      </c>
      <c r="AD280" s="26">
        <v>410</v>
      </c>
      <c r="AE280" s="27">
        <v>128907.911370409</v>
      </c>
      <c r="AF280" s="27">
        <v>3580.1096050188298</v>
      </c>
      <c r="AG280" s="28"/>
      <c r="AH280" s="28"/>
      <c r="AI280" s="17">
        <v>2020</v>
      </c>
      <c r="AJ280" s="17">
        <v>1</v>
      </c>
      <c r="AK280" s="17">
        <v>0</v>
      </c>
    </row>
    <row r="281" spans="1:38" ht="12.75" customHeight="1">
      <c r="A281" s="58" t="s">
        <v>342</v>
      </c>
      <c r="B281" s="19" t="s">
        <v>331</v>
      </c>
      <c r="C281" s="17">
        <v>34</v>
      </c>
      <c r="D281" s="20" t="s">
        <v>196</v>
      </c>
      <c r="E281" s="19">
        <v>0</v>
      </c>
      <c r="F281" s="19" t="s">
        <v>319</v>
      </c>
      <c r="G281" s="19" t="s">
        <v>320</v>
      </c>
      <c r="H281" s="19" t="s">
        <v>263</v>
      </c>
      <c r="I281" s="17" t="b">
        <v>1</v>
      </c>
      <c r="J281" s="17" t="s">
        <v>43</v>
      </c>
      <c r="K281" s="21" t="str">
        <f t="shared" si="3"/>
        <v>https://version2.ice-d.org/antarctica/sample/JS2022-OT17/</v>
      </c>
      <c r="L281" s="58" t="s">
        <v>39</v>
      </c>
      <c r="M281" s="58"/>
      <c r="O281" s="17" t="s">
        <v>321</v>
      </c>
      <c r="P281" s="22">
        <v>-81.280697900000007</v>
      </c>
      <c r="Q281" s="22">
        <v>153.2424714</v>
      </c>
      <c r="R281" s="22"/>
      <c r="S281" s="22">
        <v>1418</v>
      </c>
      <c r="T281" s="17">
        <v>1365</v>
      </c>
      <c r="U281" s="23">
        <v>400</v>
      </c>
      <c r="V281" s="147" t="s">
        <v>2422</v>
      </c>
      <c r="W281" s="44" t="s">
        <v>2421</v>
      </c>
      <c r="X281" s="17">
        <v>53</v>
      </c>
      <c r="Y281" s="22">
        <v>2.2200000000000002</v>
      </c>
      <c r="Z281" s="22">
        <v>2.2999999999999998</v>
      </c>
      <c r="AA281" s="17" t="s">
        <v>73</v>
      </c>
      <c r="AB281" s="26">
        <v>5495</v>
      </c>
      <c r="AC281" s="26">
        <v>157</v>
      </c>
      <c r="AD281" s="26">
        <v>361</v>
      </c>
      <c r="AE281" s="27">
        <v>110331.6702412</v>
      </c>
      <c r="AF281" s="27">
        <v>3145.90793069448</v>
      </c>
      <c r="AG281" s="28"/>
      <c r="AH281" s="28"/>
      <c r="AI281" s="17">
        <v>2020</v>
      </c>
      <c r="AJ281" s="17">
        <v>1</v>
      </c>
      <c r="AK281" s="17">
        <v>0</v>
      </c>
    </row>
    <row r="282" spans="1:38" ht="12.75" customHeight="1">
      <c r="A282" s="74" t="s">
        <v>343</v>
      </c>
      <c r="B282" s="19" t="s">
        <v>344</v>
      </c>
      <c r="C282" s="17">
        <v>35</v>
      </c>
      <c r="D282" s="20" t="s">
        <v>196</v>
      </c>
      <c r="E282" s="19">
        <v>0</v>
      </c>
      <c r="F282" s="19" t="s">
        <v>319</v>
      </c>
      <c r="G282" s="19" t="s">
        <v>320</v>
      </c>
      <c r="H282" s="19" t="s">
        <v>263</v>
      </c>
      <c r="I282" s="17" t="b">
        <v>1</v>
      </c>
      <c r="J282" s="17" t="s">
        <v>43</v>
      </c>
      <c r="K282" s="21" t="str">
        <f t="shared" si="3"/>
        <v>https://version2.ice-d.org/antarctica/sample/JS2022-R3-6/</v>
      </c>
      <c r="L282" s="74" t="s">
        <v>148</v>
      </c>
      <c r="M282" s="75" t="s">
        <v>345</v>
      </c>
      <c r="O282" s="17" t="s">
        <v>321</v>
      </c>
      <c r="P282" s="22">
        <v>-80.501827489999997</v>
      </c>
      <c r="Q282" s="22">
        <v>158.72931976000001</v>
      </c>
      <c r="R282" s="22"/>
      <c r="S282" s="22">
        <v>306</v>
      </c>
      <c r="T282" s="17">
        <v>45</v>
      </c>
      <c r="U282" s="23">
        <v>400</v>
      </c>
      <c r="V282" s="147" t="s">
        <v>2422</v>
      </c>
      <c r="W282" s="44" t="s">
        <v>2421</v>
      </c>
      <c r="X282" s="17">
        <v>261</v>
      </c>
      <c r="Y282" s="22">
        <v>5.4</v>
      </c>
      <c r="Z282" s="22">
        <v>2.7</v>
      </c>
      <c r="AA282" s="17" t="s">
        <v>84</v>
      </c>
      <c r="AB282" s="26">
        <v>7918</v>
      </c>
      <c r="AC282" s="26">
        <v>351</v>
      </c>
      <c r="AD282" s="26">
        <v>585</v>
      </c>
      <c r="AE282" s="27">
        <v>55920.211219261597</v>
      </c>
      <c r="AF282" s="27">
        <v>2470.4386879066901</v>
      </c>
      <c r="AG282" s="28"/>
      <c r="AH282" s="28"/>
      <c r="AI282" s="17">
        <v>2010</v>
      </c>
      <c r="AJ282" s="17">
        <v>1</v>
      </c>
      <c r="AK282" s="17">
        <v>0</v>
      </c>
    </row>
    <row r="283" spans="1:38" ht="15.75" customHeight="1">
      <c r="A283" s="40" t="s">
        <v>346</v>
      </c>
      <c r="B283" s="19" t="s">
        <v>347</v>
      </c>
      <c r="C283" s="27">
        <v>36</v>
      </c>
      <c r="D283" s="20" t="s">
        <v>196</v>
      </c>
      <c r="E283" s="19">
        <v>0</v>
      </c>
      <c r="F283" s="19" t="s">
        <v>348</v>
      </c>
      <c r="G283" s="19" t="s">
        <v>349</v>
      </c>
      <c r="H283" s="33" t="s">
        <v>263</v>
      </c>
      <c r="I283" s="17" t="b">
        <v>0</v>
      </c>
      <c r="J283" s="17" t="s">
        <v>43</v>
      </c>
      <c r="K283" s="21" t="str">
        <f t="shared" si="3"/>
        <v>https://version2.ice-d.org/antarctica/sample/JA2019-EP01H03/</v>
      </c>
      <c r="L283" s="40" t="s">
        <v>148</v>
      </c>
      <c r="M283" s="161" t="s">
        <v>350</v>
      </c>
      <c r="O283" s="17" t="s">
        <v>351</v>
      </c>
      <c r="P283" s="22">
        <v>-78.591319999999996</v>
      </c>
      <c r="Q283" s="22">
        <v>159.51526999999999</v>
      </c>
      <c r="R283" s="22"/>
      <c r="S283" s="22">
        <v>1257</v>
      </c>
      <c r="T283" s="22"/>
      <c r="U283" s="23">
        <v>120</v>
      </c>
      <c r="V283" s="24" t="s">
        <v>2105</v>
      </c>
      <c r="W283" s="148" t="s">
        <v>2423</v>
      </c>
      <c r="X283" s="22"/>
      <c r="Y283" s="22">
        <v>3</v>
      </c>
      <c r="Z283" s="22">
        <v>2.65</v>
      </c>
      <c r="AA283" s="17" t="s">
        <v>51</v>
      </c>
      <c r="AB283" s="26">
        <v>3300</v>
      </c>
      <c r="AC283" s="26">
        <v>124</v>
      </c>
      <c r="AD283" s="26">
        <v>231</v>
      </c>
      <c r="AE283" s="27">
        <v>58600</v>
      </c>
      <c r="AF283" s="27">
        <v>2200</v>
      </c>
      <c r="AG283" s="28"/>
      <c r="AH283" s="28"/>
      <c r="AI283" s="17">
        <v>2018</v>
      </c>
      <c r="AJ283" s="17">
        <v>0</v>
      </c>
      <c r="AK283" s="17">
        <v>1</v>
      </c>
      <c r="AL283" s="17" t="s">
        <v>352</v>
      </c>
    </row>
    <row r="284" spans="1:38" ht="15.75" customHeight="1">
      <c r="A284" s="40" t="s">
        <v>353</v>
      </c>
      <c r="B284" s="19" t="s">
        <v>347</v>
      </c>
      <c r="C284" s="27">
        <v>36</v>
      </c>
      <c r="D284" s="20" t="s">
        <v>196</v>
      </c>
      <c r="E284" s="19">
        <v>0</v>
      </c>
      <c r="F284" s="19" t="s">
        <v>348</v>
      </c>
      <c r="G284" s="19" t="s">
        <v>349</v>
      </c>
      <c r="H284" s="33" t="s">
        <v>263</v>
      </c>
      <c r="I284" s="17" t="b">
        <v>0</v>
      </c>
      <c r="J284" s="17" t="s">
        <v>43</v>
      </c>
      <c r="K284" s="21" t="s">
        <v>354</v>
      </c>
      <c r="L284" s="40" t="s">
        <v>148</v>
      </c>
      <c r="M284" s="155"/>
      <c r="O284" s="17" t="s">
        <v>351</v>
      </c>
      <c r="P284" s="22">
        <v>-78.591319999999996</v>
      </c>
      <c r="Q284" s="22">
        <v>159.51526999999999</v>
      </c>
      <c r="R284" s="22"/>
      <c r="S284" s="22">
        <v>1257</v>
      </c>
      <c r="T284" s="22"/>
      <c r="U284" s="23">
        <v>120</v>
      </c>
      <c r="V284" s="24" t="s">
        <v>2105</v>
      </c>
      <c r="W284" s="148" t="s">
        <v>2423</v>
      </c>
      <c r="X284" s="22"/>
      <c r="Y284" s="22">
        <v>5</v>
      </c>
      <c r="Z284" s="22">
        <v>2.65</v>
      </c>
      <c r="AA284" s="17" t="s">
        <v>73</v>
      </c>
      <c r="AB284" s="26">
        <v>3245</v>
      </c>
      <c r="AC284" s="26">
        <v>120</v>
      </c>
      <c r="AD284" s="26">
        <v>226</v>
      </c>
      <c r="AE284" s="27">
        <v>56700</v>
      </c>
      <c r="AF284" s="27">
        <v>2100</v>
      </c>
      <c r="AG284" s="28"/>
      <c r="AH284" s="28"/>
      <c r="AI284" s="17">
        <v>2018</v>
      </c>
      <c r="AJ284" s="17">
        <v>0</v>
      </c>
      <c r="AK284" s="17">
        <v>1</v>
      </c>
      <c r="AL284" s="17" t="s">
        <v>352</v>
      </c>
    </row>
    <row r="285" spans="1:38" ht="15.75" customHeight="1">
      <c r="A285" s="40" t="s">
        <v>355</v>
      </c>
      <c r="B285" s="19" t="s">
        <v>347</v>
      </c>
      <c r="C285" s="27">
        <v>36</v>
      </c>
      <c r="D285" s="20" t="s">
        <v>196</v>
      </c>
      <c r="E285" s="19">
        <v>0</v>
      </c>
      <c r="F285" s="19" t="s">
        <v>348</v>
      </c>
      <c r="G285" s="19" t="s">
        <v>349</v>
      </c>
      <c r="H285" s="33" t="s">
        <v>263</v>
      </c>
      <c r="I285" s="17" t="b">
        <v>0</v>
      </c>
      <c r="J285" s="17" t="s">
        <v>43</v>
      </c>
      <c r="K285" s="21" t="str">
        <f t="shared" ref="K285:K385" si="10">CONCATENATE("https://version2.ice-d.org/antarctica/sample/", A285, "/")</f>
        <v>https://version2.ice-d.org/antarctica/sample/JA2019-EP01P02/</v>
      </c>
      <c r="L285" s="40" t="s">
        <v>148</v>
      </c>
      <c r="M285" s="155"/>
      <c r="O285" s="17" t="s">
        <v>351</v>
      </c>
      <c r="P285" s="22">
        <v>-78.591319999999996</v>
      </c>
      <c r="Q285" s="22">
        <v>159.51526999999999</v>
      </c>
      <c r="R285" s="22"/>
      <c r="S285" s="22">
        <v>1257</v>
      </c>
      <c r="T285" s="22"/>
      <c r="U285" s="23">
        <v>120</v>
      </c>
      <c r="V285" s="24" t="s">
        <v>2105</v>
      </c>
      <c r="W285" s="148" t="s">
        <v>2423</v>
      </c>
      <c r="X285" s="22"/>
      <c r="Y285" s="22">
        <v>3.5</v>
      </c>
      <c r="Z285" s="22">
        <v>2.65</v>
      </c>
      <c r="AA285" s="17" t="s">
        <v>73</v>
      </c>
      <c r="AB285" s="26">
        <v>14079</v>
      </c>
      <c r="AC285" s="26">
        <v>393</v>
      </c>
      <c r="AD285" s="26">
        <v>922</v>
      </c>
      <c r="AE285" s="27">
        <v>244600</v>
      </c>
      <c r="AF285" s="27">
        <v>6800</v>
      </c>
      <c r="AG285" s="28"/>
      <c r="AH285" s="28"/>
      <c r="AI285" s="17">
        <v>2018</v>
      </c>
      <c r="AJ285" s="17">
        <v>0</v>
      </c>
      <c r="AK285" s="17">
        <v>1</v>
      </c>
      <c r="AL285" s="17" t="s">
        <v>352</v>
      </c>
    </row>
    <row r="286" spans="1:38" ht="15.75" customHeight="1">
      <c r="A286" s="40" t="s">
        <v>356</v>
      </c>
      <c r="B286" s="19" t="s">
        <v>347</v>
      </c>
      <c r="C286" s="27">
        <v>36</v>
      </c>
      <c r="D286" s="20" t="s">
        <v>196</v>
      </c>
      <c r="E286" s="19">
        <v>0</v>
      </c>
      <c r="F286" s="19" t="s">
        <v>348</v>
      </c>
      <c r="G286" s="19" t="s">
        <v>349</v>
      </c>
      <c r="H286" s="33" t="s">
        <v>263</v>
      </c>
      <c r="I286" s="17" t="b">
        <v>0</v>
      </c>
      <c r="J286" s="17" t="s">
        <v>43</v>
      </c>
      <c r="K286" s="21" t="str">
        <f t="shared" si="10"/>
        <v>https://version2.ice-d.org/antarctica/sample/JA2019-EP02H04/</v>
      </c>
      <c r="L286" s="40" t="s">
        <v>148</v>
      </c>
      <c r="M286" s="155"/>
      <c r="O286" s="17" t="s">
        <v>351</v>
      </c>
      <c r="P286" s="22">
        <v>-78.595619999999997</v>
      </c>
      <c r="Q286" s="22">
        <v>159.50967</v>
      </c>
      <c r="R286" s="22"/>
      <c r="S286" s="22">
        <v>1257</v>
      </c>
      <c r="T286" s="22"/>
      <c r="U286" s="23">
        <v>120</v>
      </c>
      <c r="V286" s="24" t="s">
        <v>2105</v>
      </c>
      <c r="W286" s="148" t="s">
        <v>2423</v>
      </c>
      <c r="X286" s="22"/>
      <c r="Y286" s="22">
        <v>2</v>
      </c>
      <c r="Z286" s="22">
        <v>2.65</v>
      </c>
      <c r="AA286" s="17" t="s">
        <v>51</v>
      </c>
      <c r="AB286" s="26">
        <v>2070</v>
      </c>
      <c r="AC286" s="26">
        <v>83</v>
      </c>
      <c r="AD286" s="26">
        <v>148</v>
      </c>
      <c r="AE286" s="27">
        <v>37600</v>
      </c>
      <c r="AF286" s="27">
        <v>1500</v>
      </c>
      <c r="AG286" s="28"/>
      <c r="AH286" s="28"/>
      <c r="AI286" s="17">
        <v>2018</v>
      </c>
      <c r="AJ286" s="17">
        <v>0</v>
      </c>
      <c r="AK286" s="17">
        <v>1</v>
      </c>
      <c r="AL286" s="17" t="s">
        <v>352</v>
      </c>
    </row>
    <row r="287" spans="1:38" ht="15.75" customHeight="1">
      <c r="A287" s="40" t="s">
        <v>357</v>
      </c>
      <c r="B287" s="19" t="s">
        <v>347</v>
      </c>
      <c r="C287" s="27">
        <v>36</v>
      </c>
      <c r="D287" s="20" t="s">
        <v>196</v>
      </c>
      <c r="E287" s="19">
        <v>0</v>
      </c>
      <c r="F287" s="19" t="s">
        <v>348</v>
      </c>
      <c r="G287" s="19" t="s">
        <v>349</v>
      </c>
      <c r="H287" s="33" t="s">
        <v>263</v>
      </c>
      <c r="I287" s="17" t="b">
        <v>0</v>
      </c>
      <c r="J287" s="17" t="s">
        <v>43</v>
      </c>
      <c r="K287" s="21" t="str">
        <f t="shared" si="10"/>
        <v>https://version2.ice-d.org/antarctica/sample/JA2019-EP02P05/</v>
      </c>
      <c r="L287" s="40" t="s">
        <v>148</v>
      </c>
      <c r="M287" s="155"/>
      <c r="O287" s="17" t="s">
        <v>351</v>
      </c>
      <c r="P287" s="22">
        <v>-78.595619999999997</v>
      </c>
      <c r="Q287" s="22">
        <v>159.50967</v>
      </c>
      <c r="R287" s="22"/>
      <c r="S287" s="22">
        <v>1257</v>
      </c>
      <c r="T287" s="22"/>
      <c r="U287" s="23">
        <v>120</v>
      </c>
      <c r="V287" s="24" t="s">
        <v>2105</v>
      </c>
      <c r="W287" s="148" t="s">
        <v>2423</v>
      </c>
      <c r="X287" s="22"/>
      <c r="Y287" s="22">
        <v>3</v>
      </c>
      <c r="Z287" s="22">
        <v>2.65</v>
      </c>
      <c r="AA287" s="17" t="s">
        <v>73</v>
      </c>
      <c r="AB287" s="26">
        <v>17792</v>
      </c>
      <c r="AC287" s="26">
        <v>601</v>
      </c>
      <c r="AD287" s="26">
        <v>1214</v>
      </c>
      <c r="AE287" s="27">
        <v>309000</v>
      </c>
      <c r="AF287" s="27">
        <v>10400</v>
      </c>
      <c r="AG287" s="28"/>
      <c r="AH287" s="28"/>
      <c r="AI287" s="17">
        <v>2018</v>
      </c>
      <c r="AJ287" s="17">
        <v>0</v>
      </c>
      <c r="AK287" s="17">
        <v>1</v>
      </c>
      <c r="AL287" s="17" t="s">
        <v>352</v>
      </c>
    </row>
    <row r="288" spans="1:38" ht="15.75" customHeight="1">
      <c r="A288" s="40" t="s">
        <v>358</v>
      </c>
      <c r="B288" s="19" t="s">
        <v>347</v>
      </c>
      <c r="C288" s="27">
        <v>36</v>
      </c>
      <c r="D288" s="20" t="s">
        <v>196</v>
      </c>
      <c r="E288" s="19">
        <v>0</v>
      </c>
      <c r="F288" s="19" t="s">
        <v>348</v>
      </c>
      <c r="G288" s="19" t="s">
        <v>349</v>
      </c>
      <c r="H288" s="33" t="s">
        <v>263</v>
      </c>
      <c r="I288" s="17" t="b">
        <v>0</v>
      </c>
      <c r="J288" s="17" t="s">
        <v>43</v>
      </c>
      <c r="K288" s="21" t="str">
        <f t="shared" si="10"/>
        <v>https://version2.ice-d.org/antarctica/sample/JA2019-EP02P06/</v>
      </c>
      <c r="L288" s="40" t="s">
        <v>148</v>
      </c>
      <c r="M288" s="155"/>
      <c r="O288" s="17" t="s">
        <v>351</v>
      </c>
      <c r="P288" s="22">
        <v>-78.595619999999997</v>
      </c>
      <c r="Q288" s="22">
        <v>159.50967</v>
      </c>
      <c r="R288" s="22"/>
      <c r="S288" s="22">
        <v>1257</v>
      </c>
      <c r="T288" s="22"/>
      <c r="U288" s="23">
        <v>120</v>
      </c>
      <c r="V288" s="24" t="s">
        <v>2105</v>
      </c>
      <c r="W288" s="148" t="s">
        <v>2423</v>
      </c>
      <c r="X288" s="22"/>
      <c r="Y288" s="22">
        <v>5</v>
      </c>
      <c r="Z288" s="22">
        <v>2.65</v>
      </c>
      <c r="AA288" s="17" t="s">
        <v>73</v>
      </c>
      <c r="AB288" s="26">
        <v>15785</v>
      </c>
      <c r="AC288" s="26">
        <v>458</v>
      </c>
      <c r="AD288" s="26">
        <v>1041</v>
      </c>
      <c r="AE288" s="27">
        <v>270000</v>
      </c>
      <c r="AF288" s="27">
        <v>7800</v>
      </c>
      <c r="AG288" s="28"/>
      <c r="AH288" s="28"/>
      <c r="AI288" s="17">
        <v>2018</v>
      </c>
      <c r="AJ288" s="17">
        <v>0</v>
      </c>
      <c r="AK288" s="17">
        <v>1</v>
      </c>
      <c r="AL288" s="17" t="s">
        <v>352</v>
      </c>
    </row>
    <row r="289" spans="1:46" ht="15.75" customHeight="1">
      <c r="A289" s="40" t="s">
        <v>359</v>
      </c>
      <c r="B289" s="19" t="s">
        <v>347</v>
      </c>
      <c r="C289" s="27">
        <v>36</v>
      </c>
      <c r="D289" s="20" t="s">
        <v>196</v>
      </c>
      <c r="E289" s="19">
        <v>0</v>
      </c>
      <c r="F289" s="19" t="s">
        <v>348</v>
      </c>
      <c r="G289" s="19" t="s">
        <v>349</v>
      </c>
      <c r="H289" s="33" t="s">
        <v>263</v>
      </c>
      <c r="I289" s="17" t="b">
        <v>0</v>
      </c>
      <c r="J289" s="17" t="s">
        <v>43</v>
      </c>
      <c r="K289" s="21" t="str">
        <f t="shared" si="10"/>
        <v>https://version2.ice-d.org/antarctica/sample/JA2019-EP04P09/</v>
      </c>
      <c r="L289" s="40" t="s">
        <v>148</v>
      </c>
      <c r="M289" s="155"/>
      <c r="O289" s="17" t="s">
        <v>351</v>
      </c>
      <c r="P289" s="22">
        <v>-78.592550000000003</v>
      </c>
      <c r="Q289" s="22">
        <v>159.51747</v>
      </c>
      <c r="R289" s="22"/>
      <c r="S289" s="22">
        <v>1259</v>
      </c>
      <c r="T289" s="22"/>
      <c r="U289" s="23">
        <v>120</v>
      </c>
      <c r="V289" s="24" t="s">
        <v>2105</v>
      </c>
      <c r="W289" s="148" t="s">
        <v>2423</v>
      </c>
      <c r="X289" s="22"/>
      <c r="Y289" s="22">
        <v>5</v>
      </c>
      <c r="Z289" s="22">
        <v>2.65</v>
      </c>
      <c r="AA289" s="17" t="s">
        <v>73</v>
      </c>
      <c r="AB289" s="26">
        <v>8953</v>
      </c>
      <c r="AC289" s="26">
        <v>267</v>
      </c>
      <c r="AD289" s="26">
        <v>593</v>
      </c>
      <c r="AE289" s="27">
        <v>154300</v>
      </c>
      <c r="AF289" s="27">
        <v>4600</v>
      </c>
      <c r="AG289" s="28"/>
      <c r="AH289" s="28"/>
      <c r="AI289" s="17">
        <v>2018</v>
      </c>
      <c r="AJ289" s="17">
        <v>0</v>
      </c>
      <c r="AK289" s="17">
        <v>1</v>
      </c>
      <c r="AL289" s="17" t="s">
        <v>352</v>
      </c>
    </row>
    <row r="290" spans="1:46" ht="18" customHeight="1">
      <c r="A290" s="40" t="s">
        <v>360</v>
      </c>
      <c r="B290" s="19" t="s">
        <v>347</v>
      </c>
      <c r="C290" s="27">
        <v>36</v>
      </c>
      <c r="D290" s="20" t="s">
        <v>196</v>
      </c>
      <c r="E290" s="19">
        <v>0</v>
      </c>
      <c r="F290" s="19" t="s">
        <v>348</v>
      </c>
      <c r="G290" s="19" t="s">
        <v>349</v>
      </c>
      <c r="H290" s="33" t="s">
        <v>263</v>
      </c>
      <c r="I290" s="17" t="b">
        <v>0</v>
      </c>
      <c r="J290" s="17" t="s">
        <v>43</v>
      </c>
      <c r="K290" s="21" t="str">
        <f t="shared" si="10"/>
        <v>https://version2.ice-d.org/antarctica/sample/JA2019-EP07P14/</v>
      </c>
      <c r="L290" s="40" t="s">
        <v>148</v>
      </c>
      <c r="M290" s="155"/>
      <c r="O290" s="17" t="s">
        <v>351</v>
      </c>
      <c r="P290" s="22">
        <v>-78.583399999999997</v>
      </c>
      <c r="Q290" s="22">
        <v>159.54512</v>
      </c>
      <c r="R290" s="22"/>
      <c r="S290" s="22">
        <v>1307</v>
      </c>
      <c r="T290" s="22"/>
      <c r="U290" s="23">
        <v>120</v>
      </c>
      <c r="V290" s="24" t="s">
        <v>2105</v>
      </c>
      <c r="W290" s="148" t="s">
        <v>2423</v>
      </c>
      <c r="X290" s="22"/>
      <c r="Y290" s="22">
        <v>6</v>
      </c>
      <c r="Z290" s="22">
        <v>2.65</v>
      </c>
      <c r="AA290" s="17" t="s">
        <v>51</v>
      </c>
      <c r="AB290" s="26">
        <v>13728</v>
      </c>
      <c r="AC290" s="26">
        <v>384</v>
      </c>
      <c r="AD290" s="26">
        <v>899</v>
      </c>
      <c r="AE290" s="27">
        <v>243900</v>
      </c>
      <c r="AF290" s="27">
        <v>6800</v>
      </c>
      <c r="AG290" s="28"/>
      <c r="AH290" s="28"/>
      <c r="AI290" s="17">
        <v>2018</v>
      </c>
      <c r="AJ290" s="17">
        <v>0</v>
      </c>
      <c r="AK290" s="17">
        <v>1</v>
      </c>
      <c r="AL290" s="17" t="s">
        <v>352</v>
      </c>
    </row>
    <row r="291" spans="1:46" ht="18" customHeight="1">
      <c r="A291" s="40" t="s">
        <v>361</v>
      </c>
      <c r="B291" s="19" t="s">
        <v>347</v>
      </c>
      <c r="C291" s="27">
        <v>36</v>
      </c>
      <c r="D291" s="20" t="s">
        <v>196</v>
      </c>
      <c r="E291" s="19">
        <v>0</v>
      </c>
      <c r="F291" s="19" t="s">
        <v>348</v>
      </c>
      <c r="G291" s="19" t="s">
        <v>349</v>
      </c>
      <c r="H291" s="33" t="s">
        <v>263</v>
      </c>
      <c r="I291" s="17" t="b">
        <v>0</v>
      </c>
      <c r="J291" s="17" t="s">
        <v>43</v>
      </c>
      <c r="K291" s="21" t="str">
        <f t="shared" si="10"/>
        <v>https://version2.ice-d.org/antarctica/sample/JA2019-EP09P18/</v>
      </c>
      <c r="L291" s="40" t="s">
        <v>148</v>
      </c>
      <c r="M291" s="155"/>
      <c r="O291" s="17" t="s">
        <v>351</v>
      </c>
      <c r="P291" s="22">
        <v>-78.583420000000004</v>
      </c>
      <c r="Q291" s="22">
        <v>159.54785000000001</v>
      </c>
      <c r="R291" s="22"/>
      <c r="S291" s="22">
        <v>1310</v>
      </c>
      <c r="T291" s="22"/>
      <c r="U291" s="23">
        <v>120</v>
      </c>
      <c r="V291" s="24" t="s">
        <v>2105</v>
      </c>
      <c r="W291" s="148" t="s">
        <v>2423</v>
      </c>
      <c r="X291" s="22"/>
      <c r="Y291" s="22">
        <v>5</v>
      </c>
      <c r="Z291" s="22">
        <v>2.65</v>
      </c>
      <c r="AA291" s="17" t="s">
        <v>51</v>
      </c>
      <c r="AB291" s="26">
        <v>14193</v>
      </c>
      <c r="AC291" s="26">
        <v>375</v>
      </c>
      <c r="AD291" s="26">
        <v>920</v>
      </c>
      <c r="AE291" s="27">
        <v>254800</v>
      </c>
      <c r="AF291" s="27">
        <v>6700</v>
      </c>
      <c r="AG291" s="28"/>
      <c r="AH291" s="28"/>
      <c r="AI291" s="17">
        <v>2018</v>
      </c>
      <c r="AJ291" s="17">
        <v>0</v>
      </c>
      <c r="AK291" s="17">
        <v>1</v>
      </c>
      <c r="AL291" s="17" t="s">
        <v>352</v>
      </c>
    </row>
    <row r="292" spans="1:46" ht="18" customHeight="1">
      <c r="A292" s="40" t="s">
        <v>362</v>
      </c>
      <c r="B292" s="19" t="s">
        <v>347</v>
      </c>
      <c r="C292" s="27">
        <v>36</v>
      </c>
      <c r="D292" s="20" t="s">
        <v>196</v>
      </c>
      <c r="E292" s="19">
        <v>0</v>
      </c>
      <c r="F292" s="19" t="s">
        <v>348</v>
      </c>
      <c r="G292" s="19" t="s">
        <v>349</v>
      </c>
      <c r="H292" s="33" t="s">
        <v>263</v>
      </c>
      <c r="I292" s="17" t="b">
        <v>0</v>
      </c>
      <c r="J292" s="17" t="s">
        <v>43</v>
      </c>
      <c r="K292" s="21" t="str">
        <f t="shared" si="10"/>
        <v>https://version2.ice-d.org/antarctica/sample/JA2019-EP17H28/</v>
      </c>
      <c r="L292" s="40" t="s">
        <v>148</v>
      </c>
      <c r="M292" s="155"/>
      <c r="O292" s="17" t="s">
        <v>351</v>
      </c>
      <c r="P292" s="22">
        <v>-78.595380000000006</v>
      </c>
      <c r="Q292" s="22">
        <v>159.49021999999999</v>
      </c>
      <c r="R292" s="22"/>
      <c r="S292" s="22">
        <v>1244</v>
      </c>
      <c r="T292" s="22"/>
      <c r="U292" s="23">
        <v>120</v>
      </c>
      <c r="V292" s="24" t="s">
        <v>2105</v>
      </c>
      <c r="W292" s="148" t="s">
        <v>2423</v>
      </c>
      <c r="X292" s="22"/>
      <c r="Y292" s="22">
        <v>6</v>
      </c>
      <c r="Z292" s="22">
        <v>2.65</v>
      </c>
      <c r="AA292" s="17" t="s">
        <v>51</v>
      </c>
      <c r="AB292" s="26">
        <v>11120</v>
      </c>
      <c r="AC292" s="26">
        <v>330</v>
      </c>
      <c r="AD292" s="26">
        <v>736</v>
      </c>
      <c r="AE292" s="27">
        <v>185600</v>
      </c>
      <c r="AF292" s="27">
        <v>5500</v>
      </c>
      <c r="AG292" s="28"/>
      <c r="AH292" s="28"/>
      <c r="AI292" s="17">
        <v>2018</v>
      </c>
      <c r="AJ292" s="17">
        <v>0</v>
      </c>
      <c r="AK292" s="17">
        <v>1</v>
      </c>
      <c r="AL292" s="17" t="s">
        <v>352</v>
      </c>
    </row>
    <row r="293" spans="1:46" ht="12.75" customHeight="1">
      <c r="A293" s="76" t="s">
        <v>363</v>
      </c>
      <c r="B293" s="33" t="s">
        <v>364</v>
      </c>
      <c r="C293" s="27">
        <v>36</v>
      </c>
      <c r="D293" s="20" t="s">
        <v>196</v>
      </c>
      <c r="E293" s="19">
        <v>0</v>
      </c>
      <c r="F293" s="19" t="s">
        <v>348</v>
      </c>
      <c r="G293" s="19" t="s">
        <v>349</v>
      </c>
      <c r="H293" s="33" t="s">
        <v>263</v>
      </c>
      <c r="I293" s="17" t="b">
        <v>0</v>
      </c>
      <c r="J293" s="17" t="s">
        <v>43</v>
      </c>
      <c r="K293" s="21" t="str">
        <f t="shared" si="10"/>
        <v>https://version2.ice-d.org/antarctica/sample/J2015-HN36/</v>
      </c>
      <c r="L293" s="76" t="s">
        <v>39</v>
      </c>
      <c r="M293" s="76" t="s">
        <v>44</v>
      </c>
      <c r="O293" s="17" t="s">
        <v>365</v>
      </c>
      <c r="P293" s="22">
        <v>-78.424300000000002</v>
      </c>
      <c r="Q293" s="22">
        <v>161.05009999999999</v>
      </c>
      <c r="R293" s="22"/>
      <c r="S293" s="22">
        <v>886</v>
      </c>
      <c r="T293" s="22">
        <v>876</v>
      </c>
      <c r="U293" s="23">
        <v>120</v>
      </c>
      <c r="V293" s="24" t="s">
        <v>2105</v>
      </c>
      <c r="W293" s="148" t="s">
        <v>2423</v>
      </c>
      <c r="X293" s="22">
        <v>10</v>
      </c>
      <c r="Y293" s="22">
        <v>5</v>
      </c>
      <c r="Z293" s="22">
        <v>2.2000000000000002</v>
      </c>
      <c r="AA293" s="17" t="s">
        <v>51</v>
      </c>
      <c r="AB293" s="26">
        <v>5981</v>
      </c>
      <c r="AC293" s="26">
        <v>609</v>
      </c>
      <c r="AD293" s="26">
        <v>704</v>
      </c>
      <c r="AE293" s="27">
        <v>74700</v>
      </c>
      <c r="AF293" s="27">
        <v>7600</v>
      </c>
      <c r="AG293" s="28"/>
      <c r="AH293" s="28"/>
      <c r="AI293" s="17">
        <v>2011</v>
      </c>
      <c r="AJ293" s="17">
        <v>1</v>
      </c>
      <c r="AK293" s="17">
        <v>0</v>
      </c>
    </row>
    <row r="294" spans="1:46" ht="15.75" customHeight="1">
      <c r="A294" s="61" t="s">
        <v>366</v>
      </c>
      <c r="B294" s="19" t="s">
        <v>367</v>
      </c>
      <c r="C294" s="17">
        <v>37</v>
      </c>
      <c r="D294" s="20" t="s">
        <v>196</v>
      </c>
      <c r="E294" s="19">
        <v>0</v>
      </c>
      <c r="F294" s="33" t="s">
        <v>368</v>
      </c>
      <c r="G294" s="33" t="s">
        <v>369</v>
      </c>
      <c r="H294" s="33" t="s">
        <v>263</v>
      </c>
      <c r="I294" s="17" t="b">
        <v>0</v>
      </c>
      <c r="J294" s="17" t="s">
        <v>43</v>
      </c>
      <c r="K294" s="21" t="str">
        <f t="shared" si="10"/>
        <v>https://version2.ice-d.org/antarctica/sample/JA2016-A005/</v>
      </c>
      <c r="L294" s="61" t="s">
        <v>39</v>
      </c>
      <c r="M294" s="206" t="s">
        <v>44</v>
      </c>
      <c r="O294" s="17" t="s">
        <v>370</v>
      </c>
      <c r="P294" s="22">
        <v>-78.296700000000001</v>
      </c>
      <c r="Q294" s="22">
        <v>165.55674999999999</v>
      </c>
      <c r="R294" s="22"/>
      <c r="S294" s="22">
        <v>205</v>
      </c>
      <c r="T294" s="22">
        <v>10</v>
      </c>
      <c r="U294" s="23">
        <v>520</v>
      </c>
      <c r="V294" s="149" t="s">
        <v>2425</v>
      </c>
      <c r="W294" s="44" t="s">
        <v>2424</v>
      </c>
      <c r="X294" s="22">
        <f t="shared" ref="X294:X384" si="11">S294-T294</f>
        <v>195</v>
      </c>
      <c r="Y294" s="22">
        <v>3</v>
      </c>
      <c r="Z294" s="22">
        <v>2.4</v>
      </c>
      <c r="AA294" s="17" t="s">
        <v>73</v>
      </c>
      <c r="AB294" s="26">
        <v>7215</v>
      </c>
      <c r="AC294" s="26">
        <v>303</v>
      </c>
      <c r="AD294" s="26">
        <v>523</v>
      </c>
      <c r="AE294" s="27">
        <v>47870</v>
      </c>
      <c r="AF294" s="27">
        <v>2010</v>
      </c>
      <c r="AG294" s="28"/>
      <c r="AH294" s="28"/>
      <c r="AI294" s="17">
        <v>2012</v>
      </c>
      <c r="AJ294" s="17">
        <v>0</v>
      </c>
      <c r="AK294" s="17">
        <v>1</v>
      </c>
      <c r="AL294" s="17" t="s">
        <v>371</v>
      </c>
      <c r="AN294" s="21"/>
      <c r="AT294" s="21"/>
    </row>
    <row r="295" spans="1:46" ht="15.75" customHeight="1">
      <c r="A295" s="61" t="s">
        <v>372</v>
      </c>
      <c r="B295" s="19" t="s">
        <v>367</v>
      </c>
      <c r="C295" s="17">
        <v>37</v>
      </c>
      <c r="D295" s="20" t="s">
        <v>196</v>
      </c>
      <c r="E295" s="19">
        <v>0</v>
      </c>
      <c r="F295" s="33" t="s">
        <v>368</v>
      </c>
      <c r="G295" s="33" t="s">
        <v>369</v>
      </c>
      <c r="H295" s="33" t="s">
        <v>263</v>
      </c>
      <c r="I295" s="17" t="b">
        <v>0</v>
      </c>
      <c r="J295" s="17" t="s">
        <v>43</v>
      </c>
      <c r="K295" s="21" t="str">
        <f t="shared" si="10"/>
        <v>https://version2.ice-d.org/antarctica/sample/JA2016-E100/</v>
      </c>
      <c r="L295" s="61" t="s">
        <v>39</v>
      </c>
      <c r="M295" s="155"/>
      <c r="O295" s="17" t="s">
        <v>370</v>
      </c>
      <c r="P295" s="22">
        <v>-78.272329999999997</v>
      </c>
      <c r="Q295" s="22">
        <v>165.62033</v>
      </c>
      <c r="R295" s="22"/>
      <c r="S295" s="22">
        <v>60</v>
      </c>
      <c r="T295" s="22">
        <v>10</v>
      </c>
      <c r="U295" s="23">
        <v>520</v>
      </c>
      <c r="V295" s="147" t="s">
        <v>2425</v>
      </c>
      <c r="W295" s="44" t="s">
        <v>2424</v>
      </c>
      <c r="X295" s="22">
        <f t="shared" si="11"/>
        <v>50</v>
      </c>
      <c r="Y295" s="22">
        <v>4</v>
      </c>
      <c r="Z295" s="22">
        <v>2.4</v>
      </c>
      <c r="AA295" s="17" t="s">
        <v>51</v>
      </c>
      <c r="AB295" s="26">
        <v>2896</v>
      </c>
      <c r="AC295" s="26">
        <v>199</v>
      </c>
      <c r="AD295" s="26">
        <v>262</v>
      </c>
      <c r="AE295" s="27">
        <v>16780</v>
      </c>
      <c r="AF295" s="27">
        <v>1153</v>
      </c>
      <c r="AG295" s="28"/>
      <c r="AH295" s="28"/>
      <c r="AI295" s="17">
        <v>2014</v>
      </c>
      <c r="AJ295" s="17">
        <v>0</v>
      </c>
      <c r="AK295" s="17">
        <v>1</v>
      </c>
      <c r="AL295" s="17" t="s">
        <v>371</v>
      </c>
      <c r="AN295" s="21"/>
      <c r="AT295" s="21"/>
    </row>
    <row r="296" spans="1:46" ht="15.75" customHeight="1">
      <c r="A296" s="61" t="s">
        <v>373</v>
      </c>
      <c r="B296" s="19" t="s">
        <v>367</v>
      </c>
      <c r="C296" s="17">
        <v>37</v>
      </c>
      <c r="D296" s="20" t="s">
        <v>196</v>
      </c>
      <c r="E296" s="19">
        <v>0</v>
      </c>
      <c r="F296" s="33" t="s">
        <v>368</v>
      </c>
      <c r="G296" s="33" t="s">
        <v>369</v>
      </c>
      <c r="H296" s="33" t="s">
        <v>263</v>
      </c>
      <c r="I296" s="17" t="b">
        <v>0</v>
      </c>
      <c r="J296" s="17" t="s">
        <v>43</v>
      </c>
      <c r="K296" s="21" t="str">
        <f t="shared" si="10"/>
        <v>https://version2.ice-d.org/antarctica/sample/JA2016-H004/</v>
      </c>
      <c r="L296" s="61" t="s">
        <v>39</v>
      </c>
      <c r="M296" s="155"/>
      <c r="O296" s="17" t="s">
        <v>370</v>
      </c>
      <c r="P296" s="22">
        <v>-78.272779999999997</v>
      </c>
      <c r="Q296" s="22">
        <v>165.46453</v>
      </c>
      <c r="R296" s="22"/>
      <c r="S296" s="22">
        <v>138</v>
      </c>
      <c r="T296" s="17">
        <v>10</v>
      </c>
      <c r="U296" s="23">
        <v>520</v>
      </c>
      <c r="V296" s="147" t="s">
        <v>2425</v>
      </c>
      <c r="W296" s="44" t="s">
        <v>2424</v>
      </c>
      <c r="X296" s="22">
        <f t="shared" si="11"/>
        <v>128</v>
      </c>
      <c r="Y296" s="22">
        <v>3</v>
      </c>
      <c r="Z296" s="22">
        <v>2.7</v>
      </c>
      <c r="AA296" s="17" t="s">
        <v>51</v>
      </c>
      <c r="AB296" s="26">
        <v>7473</v>
      </c>
      <c r="AC296" s="26">
        <v>282</v>
      </c>
      <c r="AD296" s="26">
        <v>524</v>
      </c>
      <c r="AE296" s="27">
        <v>46358</v>
      </c>
      <c r="AF296" s="27">
        <v>1745</v>
      </c>
      <c r="AG296" s="28"/>
      <c r="AH296" s="28"/>
      <c r="AI296" s="17">
        <v>2014</v>
      </c>
      <c r="AJ296" s="17">
        <v>0</v>
      </c>
      <c r="AK296" s="17">
        <v>1</v>
      </c>
      <c r="AL296" s="17" t="s">
        <v>374</v>
      </c>
      <c r="AN296" s="21"/>
      <c r="AT296" s="21"/>
    </row>
    <row r="297" spans="1:46" ht="15.75" customHeight="1">
      <c r="A297" s="61" t="s">
        <v>375</v>
      </c>
      <c r="B297" s="19" t="s">
        <v>367</v>
      </c>
      <c r="C297" s="17">
        <v>37</v>
      </c>
      <c r="D297" s="20" t="s">
        <v>196</v>
      </c>
      <c r="E297" s="19">
        <v>0</v>
      </c>
      <c r="F297" s="33" t="s">
        <v>368</v>
      </c>
      <c r="G297" s="33" t="s">
        <v>369</v>
      </c>
      <c r="H297" s="33" t="s">
        <v>263</v>
      </c>
      <c r="I297" s="17" t="b">
        <v>0</v>
      </c>
      <c r="J297" s="17" t="s">
        <v>43</v>
      </c>
      <c r="K297" s="21" t="str">
        <f t="shared" si="10"/>
        <v>https://version2.ice-d.org/antarctica/sample/JA2016-A004/</v>
      </c>
      <c r="L297" s="61" t="s">
        <v>39</v>
      </c>
      <c r="M297" s="155"/>
      <c r="O297" s="17" t="s">
        <v>370</v>
      </c>
      <c r="P297" s="22">
        <v>-78.29813</v>
      </c>
      <c r="Q297" s="22">
        <v>165.55052000000001</v>
      </c>
      <c r="R297" s="22"/>
      <c r="S297" s="22">
        <v>234</v>
      </c>
      <c r="T297" s="22">
        <v>10</v>
      </c>
      <c r="U297" s="23">
        <v>520</v>
      </c>
      <c r="V297" s="147" t="s">
        <v>2425</v>
      </c>
      <c r="W297" s="44" t="s">
        <v>2424</v>
      </c>
      <c r="X297" s="22">
        <f t="shared" si="11"/>
        <v>224</v>
      </c>
      <c r="Y297" s="22">
        <v>5</v>
      </c>
      <c r="Z297" s="22">
        <v>2.7</v>
      </c>
      <c r="AA297" s="17" t="s">
        <v>73</v>
      </c>
      <c r="AB297" s="26">
        <v>9719</v>
      </c>
      <c r="AC297" s="26">
        <v>370</v>
      </c>
      <c r="AD297" s="26">
        <v>684</v>
      </c>
      <c r="AE297" s="27">
        <v>65271</v>
      </c>
      <c r="AF297" s="27">
        <v>2482</v>
      </c>
      <c r="AG297" s="28"/>
      <c r="AH297" s="28"/>
      <c r="AI297" s="17">
        <v>2012</v>
      </c>
      <c r="AJ297" s="17">
        <v>0</v>
      </c>
      <c r="AK297" s="17">
        <v>0</v>
      </c>
      <c r="AN297" s="21"/>
      <c r="AT297" s="21"/>
    </row>
    <row r="298" spans="1:46" ht="15.75" customHeight="1">
      <c r="A298" s="61" t="s">
        <v>376</v>
      </c>
      <c r="B298" s="19" t="s">
        <v>367</v>
      </c>
      <c r="C298" s="17">
        <v>37</v>
      </c>
      <c r="D298" s="20" t="s">
        <v>196</v>
      </c>
      <c r="E298" s="19">
        <v>0</v>
      </c>
      <c r="F298" s="33" t="s">
        <v>368</v>
      </c>
      <c r="G298" s="33" t="s">
        <v>369</v>
      </c>
      <c r="H298" s="33" t="s">
        <v>263</v>
      </c>
      <c r="I298" s="17" t="b">
        <v>0</v>
      </c>
      <c r="J298" s="17" t="s">
        <v>43</v>
      </c>
      <c r="K298" s="21" t="str">
        <f t="shared" si="10"/>
        <v>https://version2.ice-d.org/antarctica/sample/JA2016-D180/</v>
      </c>
      <c r="L298" s="61" t="s">
        <v>39</v>
      </c>
      <c r="M298" s="155"/>
      <c r="O298" s="17" t="s">
        <v>370</v>
      </c>
      <c r="P298" s="22">
        <v>-78.296700000000001</v>
      </c>
      <c r="Q298" s="22">
        <v>165.55674999999999</v>
      </c>
      <c r="R298" s="22"/>
      <c r="S298" s="22">
        <v>205</v>
      </c>
      <c r="T298" s="22">
        <v>10</v>
      </c>
      <c r="U298" s="23">
        <v>520</v>
      </c>
      <c r="V298" s="147" t="s">
        <v>2425</v>
      </c>
      <c r="W298" s="44" t="s">
        <v>2424</v>
      </c>
      <c r="X298" s="22">
        <f t="shared" si="11"/>
        <v>195</v>
      </c>
      <c r="Y298" s="22">
        <v>6</v>
      </c>
      <c r="Z298" s="22">
        <v>2.7</v>
      </c>
      <c r="AA298" s="17" t="s">
        <v>51</v>
      </c>
      <c r="AB298" s="26">
        <v>9297</v>
      </c>
      <c r="AC298" s="26">
        <v>330</v>
      </c>
      <c r="AD298" s="26">
        <v>641</v>
      </c>
      <c r="AE298" s="27">
        <v>60174</v>
      </c>
      <c r="AF298" s="27">
        <v>2134</v>
      </c>
      <c r="AG298" s="28"/>
      <c r="AH298" s="28"/>
      <c r="AI298" s="17">
        <v>2014</v>
      </c>
      <c r="AJ298" s="17">
        <v>0</v>
      </c>
      <c r="AK298" s="17">
        <v>0</v>
      </c>
      <c r="AN298" s="21"/>
      <c r="AT298" s="21"/>
    </row>
    <row r="299" spans="1:46" ht="15.75" customHeight="1">
      <c r="A299" s="61" t="s">
        <v>377</v>
      </c>
      <c r="B299" s="19" t="s">
        <v>367</v>
      </c>
      <c r="C299" s="17">
        <v>37</v>
      </c>
      <c r="D299" s="20" t="s">
        <v>196</v>
      </c>
      <c r="E299" s="19">
        <v>0</v>
      </c>
      <c r="F299" s="33" t="s">
        <v>368</v>
      </c>
      <c r="G299" s="33" t="s">
        <v>369</v>
      </c>
      <c r="H299" s="33" t="s">
        <v>263</v>
      </c>
      <c r="I299" s="17" t="b">
        <v>0</v>
      </c>
      <c r="J299" s="17" t="s">
        <v>43</v>
      </c>
      <c r="K299" s="21" t="str">
        <f t="shared" si="10"/>
        <v>https://version2.ice-d.org/antarctica/sample/JA2016-D183/</v>
      </c>
      <c r="L299" s="61" t="s">
        <v>39</v>
      </c>
      <c r="M299" s="155"/>
      <c r="O299" s="17" t="s">
        <v>370</v>
      </c>
      <c r="P299" s="22">
        <v>-78.333529999999996</v>
      </c>
      <c r="Q299" s="22">
        <v>165.51472000000001</v>
      </c>
      <c r="R299" s="22"/>
      <c r="S299" s="22">
        <v>526</v>
      </c>
      <c r="T299" s="22">
        <v>10</v>
      </c>
      <c r="U299" s="23">
        <v>520</v>
      </c>
      <c r="V299" s="147" t="s">
        <v>2425</v>
      </c>
      <c r="W299" s="44" t="s">
        <v>2424</v>
      </c>
      <c r="X299" s="22">
        <f t="shared" si="11"/>
        <v>516</v>
      </c>
      <c r="Y299" s="22">
        <v>2</v>
      </c>
      <c r="Z299" s="22">
        <v>2.7</v>
      </c>
      <c r="AA299" s="17" t="s">
        <v>51</v>
      </c>
      <c r="AB299" s="26">
        <v>13309</v>
      </c>
      <c r="AC299" s="26">
        <v>450</v>
      </c>
      <c r="AD299" s="26">
        <v>907</v>
      </c>
      <c r="AE299" s="27">
        <v>121055</v>
      </c>
      <c r="AF299" s="27">
        <v>4078</v>
      </c>
      <c r="AG299" s="28"/>
      <c r="AH299" s="28"/>
      <c r="AI299" s="17">
        <v>2014</v>
      </c>
      <c r="AJ299" s="17">
        <v>0</v>
      </c>
      <c r="AK299" s="17">
        <v>0</v>
      </c>
      <c r="AN299" s="21"/>
      <c r="AT299" s="21"/>
    </row>
    <row r="300" spans="1:46" ht="15.75" customHeight="1">
      <c r="A300" s="61" t="s">
        <v>378</v>
      </c>
      <c r="B300" s="19" t="s">
        <v>367</v>
      </c>
      <c r="C300" s="17">
        <v>37</v>
      </c>
      <c r="D300" s="20" t="s">
        <v>196</v>
      </c>
      <c r="E300" s="19">
        <v>0</v>
      </c>
      <c r="F300" s="33" t="s">
        <v>368</v>
      </c>
      <c r="G300" s="33" t="s">
        <v>369</v>
      </c>
      <c r="H300" s="33" t="s">
        <v>263</v>
      </c>
      <c r="I300" s="17" t="b">
        <v>0</v>
      </c>
      <c r="J300" s="17" t="s">
        <v>43</v>
      </c>
      <c r="K300" s="21" t="str">
        <f t="shared" si="10"/>
        <v>https://version2.ice-d.org/antarctica/sample/JA2016-D186/</v>
      </c>
      <c r="L300" s="61" t="s">
        <v>39</v>
      </c>
      <c r="M300" s="155"/>
      <c r="O300" s="17" t="s">
        <v>370</v>
      </c>
      <c r="P300" s="22">
        <v>-78.334450000000004</v>
      </c>
      <c r="Q300" s="22">
        <v>165.51113000000001</v>
      </c>
      <c r="R300" s="22"/>
      <c r="S300" s="22">
        <v>514</v>
      </c>
      <c r="T300" s="22">
        <v>10</v>
      </c>
      <c r="U300" s="23">
        <v>520</v>
      </c>
      <c r="V300" s="147" t="s">
        <v>2425</v>
      </c>
      <c r="W300" s="44" t="s">
        <v>2424</v>
      </c>
      <c r="X300" s="22">
        <f t="shared" si="11"/>
        <v>504</v>
      </c>
      <c r="Y300" s="22">
        <v>4</v>
      </c>
      <c r="Z300" s="22">
        <v>2.7</v>
      </c>
      <c r="AA300" s="17" t="s">
        <v>51</v>
      </c>
      <c r="AB300" s="26">
        <v>14323</v>
      </c>
      <c r="AC300" s="26">
        <v>463</v>
      </c>
      <c r="AD300" s="26">
        <v>966</v>
      </c>
      <c r="AE300" s="27">
        <v>126608</v>
      </c>
      <c r="AF300" s="27">
        <v>4074</v>
      </c>
      <c r="AG300" s="28"/>
      <c r="AH300" s="28"/>
      <c r="AI300" s="17">
        <v>2014</v>
      </c>
      <c r="AJ300" s="17">
        <v>0</v>
      </c>
      <c r="AK300" s="17">
        <v>0</v>
      </c>
      <c r="AN300" s="21"/>
      <c r="AT300" s="21"/>
    </row>
    <row r="301" spans="1:46" ht="15.75" customHeight="1">
      <c r="A301" s="61" t="s">
        <v>379</v>
      </c>
      <c r="B301" s="19" t="s">
        <v>367</v>
      </c>
      <c r="C301" s="17">
        <v>37</v>
      </c>
      <c r="D301" s="20" t="s">
        <v>196</v>
      </c>
      <c r="E301" s="19">
        <v>0</v>
      </c>
      <c r="F301" s="33" t="s">
        <v>368</v>
      </c>
      <c r="G301" s="33" t="s">
        <v>369</v>
      </c>
      <c r="H301" s="33" t="s">
        <v>263</v>
      </c>
      <c r="I301" s="17" t="b">
        <v>0</v>
      </c>
      <c r="J301" s="17" t="s">
        <v>43</v>
      </c>
      <c r="K301" s="21" t="str">
        <f t="shared" si="10"/>
        <v>https://version2.ice-d.org/antarctica/sample/JA2016-D193/</v>
      </c>
      <c r="L301" s="61" t="s">
        <v>39</v>
      </c>
      <c r="M301" s="155"/>
      <c r="O301" s="17" t="s">
        <v>370</v>
      </c>
      <c r="P301" s="22">
        <v>-78.291830000000004</v>
      </c>
      <c r="Q301" s="22">
        <v>165.57717</v>
      </c>
      <c r="R301" s="22"/>
      <c r="S301" s="22">
        <v>146</v>
      </c>
      <c r="T301" s="22">
        <v>10</v>
      </c>
      <c r="U301" s="23">
        <v>520</v>
      </c>
      <c r="V301" s="147" t="s">
        <v>2425</v>
      </c>
      <c r="W301" s="44" t="s">
        <v>2424</v>
      </c>
      <c r="X301" s="22">
        <f t="shared" si="11"/>
        <v>136</v>
      </c>
      <c r="Y301" s="22">
        <v>5</v>
      </c>
      <c r="Z301" s="22">
        <v>2.7</v>
      </c>
      <c r="AA301" s="17" t="s">
        <v>51</v>
      </c>
      <c r="AB301" s="26">
        <v>9121</v>
      </c>
      <c r="AC301" s="26">
        <v>437</v>
      </c>
      <c r="AD301" s="26">
        <v>694</v>
      </c>
      <c r="AE301" s="27">
        <v>56112</v>
      </c>
      <c r="AF301" s="27">
        <v>2685</v>
      </c>
      <c r="AG301" s="28"/>
      <c r="AH301" s="28"/>
      <c r="AI301" s="17">
        <v>2014</v>
      </c>
      <c r="AJ301" s="17">
        <v>0</v>
      </c>
      <c r="AK301" s="17">
        <v>0</v>
      </c>
      <c r="AN301" s="21"/>
      <c r="AT301" s="21"/>
    </row>
    <row r="302" spans="1:46" ht="15.75" customHeight="1">
      <c r="A302" s="61" t="s">
        <v>380</v>
      </c>
      <c r="B302" s="19" t="s">
        <v>367</v>
      </c>
      <c r="C302" s="17">
        <v>37</v>
      </c>
      <c r="D302" s="20" t="s">
        <v>196</v>
      </c>
      <c r="E302" s="19">
        <v>0</v>
      </c>
      <c r="F302" s="33" t="s">
        <v>368</v>
      </c>
      <c r="G302" s="33" t="s">
        <v>369</v>
      </c>
      <c r="H302" s="33" t="s">
        <v>263</v>
      </c>
      <c r="I302" s="17" t="b">
        <v>0</v>
      </c>
      <c r="J302" s="17" t="s">
        <v>43</v>
      </c>
      <c r="K302" s="21" t="str">
        <f t="shared" si="10"/>
        <v>https://version2.ice-d.org/antarctica/sample/JA2016-D195/</v>
      </c>
      <c r="L302" s="61" t="s">
        <v>39</v>
      </c>
      <c r="M302" s="155"/>
      <c r="O302" s="17" t="s">
        <v>370</v>
      </c>
      <c r="P302" s="22">
        <v>-78.290369999999996</v>
      </c>
      <c r="Q302" s="22">
        <v>165.60831999999999</v>
      </c>
      <c r="R302" s="22"/>
      <c r="S302" s="22">
        <v>65</v>
      </c>
      <c r="T302" s="22">
        <v>10</v>
      </c>
      <c r="U302" s="23">
        <v>520</v>
      </c>
      <c r="V302" s="147" t="s">
        <v>2425</v>
      </c>
      <c r="W302" s="44" t="s">
        <v>2424</v>
      </c>
      <c r="X302" s="22">
        <f t="shared" si="11"/>
        <v>55</v>
      </c>
      <c r="Y302" s="22">
        <v>5</v>
      </c>
      <c r="Z302" s="22">
        <v>2.7</v>
      </c>
      <c r="AA302" s="17" t="s">
        <v>51</v>
      </c>
      <c r="AB302" s="26">
        <v>8653</v>
      </c>
      <c r="AC302" s="26">
        <v>393</v>
      </c>
      <c r="AD302" s="26">
        <v>645</v>
      </c>
      <c r="AE302" s="27">
        <v>49140</v>
      </c>
      <c r="AF302" s="27">
        <v>2227</v>
      </c>
      <c r="AG302" s="28"/>
      <c r="AH302" s="28"/>
      <c r="AI302" s="17">
        <v>2014</v>
      </c>
      <c r="AJ302" s="17">
        <v>0</v>
      </c>
      <c r="AK302" s="17">
        <v>0</v>
      </c>
      <c r="AN302" s="21"/>
      <c r="AT302" s="21"/>
    </row>
    <row r="303" spans="1:46" ht="15.75" customHeight="1">
      <c r="A303" s="61" t="s">
        <v>381</v>
      </c>
      <c r="B303" s="19" t="s">
        <v>367</v>
      </c>
      <c r="C303" s="17">
        <v>37</v>
      </c>
      <c r="D303" s="20" t="s">
        <v>196</v>
      </c>
      <c r="E303" s="19">
        <v>0</v>
      </c>
      <c r="F303" s="33" t="s">
        <v>368</v>
      </c>
      <c r="G303" s="33" t="s">
        <v>369</v>
      </c>
      <c r="H303" s="33" t="s">
        <v>263</v>
      </c>
      <c r="I303" s="17" t="b">
        <v>0</v>
      </c>
      <c r="J303" s="17" t="s">
        <v>43</v>
      </c>
      <c r="K303" s="21" t="str">
        <f t="shared" si="10"/>
        <v>https://version2.ice-d.org/antarctica/sample/JA2016-E121/</v>
      </c>
      <c r="L303" s="61" t="s">
        <v>39</v>
      </c>
      <c r="M303" s="155"/>
      <c r="O303" s="17" t="s">
        <v>370</v>
      </c>
      <c r="P303" s="22">
        <v>-78.286670000000001</v>
      </c>
      <c r="Q303" s="22">
        <v>165.62049999999999</v>
      </c>
      <c r="R303" s="22"/>
      <c r="S303" s="22">
        <v>60</v>
      </c>
      <c r="T303" s="22">
        <v>10</v>
      </c>
      <c r="U303" s="23">
        <v>520</v>
      </c>
      <c r="V303" s="147" t="s">
        <v>2425</v>
      </c>
      <c r="W303" s="44" t="s">
        <v>2424</v>
      </c>
      <c r="X303" s="22">
        <f t="shared" si="11"/>
        <v>50</v>
      </c>
      <c r="Y303" s="22">
        <v>3</v>
      </c>
      <c r="Z303" s="22">
        <v>2.4</v>
      </c>
      <c r="AA303" s="17" t="s">
        <v>51</v>
      </c>
      <c r="AB303" s="26">
        <v>8444</v>
      </c>
      <c r="AC303" s="26">
        <v>410</v>
      </c>
      <c r="AD303" s="26">
        <v>646</v>
      </c>
      <c r="AE303" s="27">
        <v>48702</v>
      </c>
      <c r="AF303" s="27">
        <v>2357</v>
      </c>
      <c r="AG303" s="28"/>
      <c r="AH303" s="28"/>
      <c r="AI303" s="17">
        <v>2014</v>
      </c>
      <c r="AJ303" s="17">
        <v>0</v>
      </c>
      <c r="AK303" s="17">
        <v>0</v>
      </c>
      <c r="AN303" s="21"/>
      <c r="AT303" s="21"/>
    </row>
    <row r="304" spans="1:46" ht="15.75" customHeight="1">
      <c r="A304" s="61" t="s">
        <v>382</v>
      </c>
      <c r="B304" s="19" t="s">
        <v>367</v>
      </c>
      <c r="C304" s="17">
        <v>37</v>
      </c>
      <c r="D304" s="20" t="s">
        <v>196</v>
      </c>
      <c r="E304" s="19">
        <v>0</v>
      </c>
      <c r="F304" s="33" t="s">
        <v>368</v>
      </c>
      <c r="G304" s="33" t="s">
        <v>369</v>
      </c>
      <c r="H304" s="33" t="s">
        <v>263</v>
      </c>
      <c r="I304" s="17" t="b">
        <v>0</v>
      </c>
      <c r="J304" s="17" t="s">
        <v>43</v>
      </c>
      <c r="K304" s="21" t="str">
        <f t="shared" si="10"/>
        <v>https://version2.ice-d.org/antarctica/sample/JA2016-E122/</v>
      </c>
      <c r="L304" s="61" t="s">
        <v>39</v>
      </c>
      <c r="M304" s="155"/>
      <c r="O304" s="17" t="s">
        <v>370</v>
      </c>
      <c r="P304" s="22">
        <v>-78.286670000000001</v>
      </c>
      <c r="Q304" s="22">
        <v>165.62049999999999</v>
      </c>
      <c r="R304" s="22"/>
      <c r="S304" s="22">
        <v>60</v>
      </c>
      <c r="T304" s="22">
        <v>10</v>
      </c>
      <c r="U304" s="23">
        <v>520</v>
      </c>
      <c r="V304" s="147" t="s">
        <v>2425</v>
      </c>
      <c r="W304" s="44" t="s">
        <v>2424</v>
      </c>
      <c r="X304" s="22">
        <f t="shared" si="11"/>
        <v>50</v>
      </c>
      <c r="Y304" s="22">
        <v>5</v>
      </c>
      <c r="Z304" s="22">
        <v>2.4</v>
      </c>
      <c r="AA304" s="17" t="s">
        <v>51</v>
      </c>
      <c r="AB304" s="26">
        <v>7724</v>
      </c>
      <c r="AC304" s="26">
        <v>365</v>
      </c>
      <c r="AD304" s="26">
        <v>585</v>
      </c>
      <c r="AE304" s="27">
        <v>43863</v>
      </c>
      <c r="AF304" s="27">
        <v>2069</v>
      </c>
      <c r="AG304" s="28"/>
      <c r="AH304" s="28"/>
      <c r="AI304" s="17">
        <v>2014</v>
      </c>
      <c r="AJ304" s="17">
        <v>0</v>
      </c>
      <c r="AK304" s="17">
        <v>0</v>
      </c>
      <c r="AN304" s="21"/>
      <c r="AT304" s="21"/>
    </row>
    <row r="305" spans="1:46" ht="15.75" customHeight="1">
      <c r="A305" s="63" t="s">
        <v>383</v>
      </c>
      <c r="B305" s="19" t="s">
        <v>384</v>
      </c>
      <c r="C305" s="17">
        <v>38</v>
      </c>
      <c r="D305" s="20" t="s">
        <v>196</v>
      </c>
      <c r="E305" s="19">
        <v>0</v>
      </c>
      <c r="F305" s="33" t="s">
        <v>368</v>
      </c>
      <c r="G305" s="33" t="s">
        <v>369</v>
      </c>
      <c r="H305" s="33" t="s">
        <v>263</v>
      </c>
      <c r="I305" s="17" t="b">
        <v>0</v>
      </c>
      <c r="J305" s="17" t="s">
        <v>43</v>
      </c>
      <c r="K305" s="21" t="str">
        <f t="shared" si="10"/>
        <v>https://version2.ice-d.org/antarctica/sample/JA2016-BI10/</v>
      </c>
      <c r="L305" s="63" t="s">
        <v>39</v>
      </c>
      <c r="M305" s="196" t="s">
        <v>44</v>
      </c>
      <c r="O305" s="17" t="s">
        <v>370</v>
      </c>
      <c r="P305" s="22">
        <v>-78.150999999999996</v>
      </c>
      <c r="Q305" s="22">
        <v>166.28800000000001</v>
      </c>
      <c r="R305" s="22"/>
      <c r="S305" s="22">
        <v>130</v>
      </c>
      <c r="T305" s="22">
        <v>10</v>
      </c>
      <c r="U305" s="23">
        <v>520</v>
      </c>
      <c r="V305" s="147" t="s">
        <v>2425</v>
      </c>
      <c r="W305" s="44" t="s">
        <v>2424</v>
      </c>
      <c r="X305" s="22">
        <f t="shared" si="11"/>
        <v>120</v>
      </c>
      <c r="Y305" s="22">
        <v>4</v>
      </c>
      <c r="Z305" s="22">
        <v>2.4</v>
      </c>
      <c r="AA305" s="17" t="s">
        <v>51</v>
      </c>
      <c r="AB305" s="26">
        <v>7853</v>
      </c>
      <c r="AC305" s="26">
        <v>419</v>
      </c>
      <c r="AD305" s="26">
        <v>625</v>
      </c>
      <c r="AE305" s="27">
        <v>48228</v>
      </c>
      <c r="AF305" s="27">
        <v>2565</v>
      </c>
      <c r="AG305" s="28"/>
      <c r="AH305" s="28"/>
      <c r="AI305" s="17">
        <v>2014</v>
      </c>
      <c r="AJ305" s="17">
        <v>0</v>
      </c>
      <c r="AK305" s="17">
        <v>0</v>
      </c>
      <c r="AN305" s="21"/>
      <c r="AT305" s="21"/>
    </row>
    <row r="306" spans="1:46" ht="15.75" customHeight="1">
      <c r="A306" s="63" t="s">
        <v>385</v>
      </c>
      <c r="B306" s="19" t="s">
        <v>384</v>
      </c>
      <c r="C306" s="17">
        <v>38</v>
      </c>
      <c r="D306" s="20" t="s">
        <v>196</v>
      </c>
      <c r="E306" s="19">
        <v>0</v>
      </c>
      <c r="F306" s="33" t="s">
        <v>368</v>
      </c>
      <c r="G306" s="33" t="s">
        <v>369</v>
      </c>
      <c r="H306" s="33" t="s">
        <v>263</v>
      </c>
      <c r="I306" s="17" t="b">
        <v>0</v>
      </c>
      <c r="J306" s="17" t="s">
        <v>43</v>
      </c>
      <c r="K306" s="21" t="str">
        <f t="shared" si="10"/>
        <v>https://version2.ice-d.org/antarctica/sample/JA2016-BI20/</v>
      </c>
      <c r="L306" s="63" t="s">
        <v>39</v>
      </c>
      <c r="M306" s="155"/>
      <c r="O306" s="17" t="s">
        <v>370</v>
      </c>
      <c r="P306" s="22">
        <v>-78.150999999999996</v>
      </c>
      <c r="Q306" s="22">
        <v>166.28800000000001</v>
      </c>
      <c r="R306" s="22"/>
      <c r="S306" s="22">
        <v>130</v>
      </c>
      <c r="T306" s="22">
        <v>10</v>
      </c>
      <c r="U306" s="23">
        <v>520</v>
      </c>
      <c r="V306" s="147" t="s">
        <v>2425</v>
      </c>
      <c r="W306" s="44" t="s">
        <v>2424</v>
      </c>
      <c r="X306" s="22">
        <f t="shared" si="11"/>
        <v>120</v>
      </c>
      <c r="Y306" s="22">
        <v>3</v>
      </c>
      <c r="Z306" s="22">
        <v>2.4</v>
      </c>
      <c r="AA306" s="17" t="s">
        <v>51</v>
      </c>
      <c r="AB306" s="26">
        <v>6850</v>
      </c>
      <c r="AC306" s="26">
        <v>416</v>
      </c>
      <c r="AD306" s="26">
        <v>581</v>
      </c>
      <c r="AE306" s="27">
        <v>42096</v>
      </c>
      <c r="AF306" s="27">
        <v>2554</v>
      </c>
      <c r="AG306" s="28"/>
      <c r="AH306" s="28"/>
      <c r="AI306" s="17">
        <v>2014</v>
      </c>
      <c r="AJ306" s="17">
        <v>0</v>
      </c>
      <c r="AK306" s="17">
        <v>0</v>
      </c>
      <c r="AN306" s="21"/>
      <c r="AT306" s="21"/>
    </row>
    <row r="307" spans="1:46" ht="12.75" customHeight="1">
      <c r="A307" s="32" t="s">
        <v>386</v>
      </c>
      <c r="B307" s="33" t="s">
        <v>387</v>
      </c>
      <c r="C307" s="27">
        <v>39</v>
      </c>
      <c r="D307" s="33" t="s">
        <v>196</v>
      </c>
      <c r="E307" s="33">
        <v>0</v>
      </c>
      <c r="F307" s="33" t="s">
        <v>388</v>
      </c>
      <c r="G307" s="33" t="s">
        <v>389</v>
      </c>
      <c r="H307" s="33" t="s">
        <v>390</v>
      </c>
      <c r="I307" s="17" t="b">
        <v>0</v>
      </c>
      <c r="K307" s="21" t="str">
        <f t="shared" si="10"/>
        <v>https://version2.ice-d.org/antarctica/sample/W2011-Ruk-235C/</v>
      </c>
      <c r="L307" s="32" t="s">
        <v>148</v>
      </c>
      <c r="M307" s="32">
        <v>0</v>
      </c>
      <c r="N307" s="17" t="s">
        <v>39</v>
      </c>
      <c r="O307" s="17" t="s">
        <v>391</v>
      </c>
      <c r="P307" s="22">
        <v>-73.624399999999994</v>
      </c>
      <c r="Q307" s="22">
        <v>64.190100000000001</v>
      </c>
      <c r="R307" s="22"/>
      <c r="S307" s="22">
        <v>1370</v>
      </c>
      <c r="T307" s="17">
        <v>1230</v>
      </c>
      <c r="U307" s="67">
        <v>160</v>
      </c>
      <c r="V307" s="67" t="s">
        <v>2106</v>
      </c>
      <c r="W307" s="69" t="s">
        <v>2450</v>
      </c>
      <c r="X307" s="22">
        <f t="shared" si="11"/>
        <v>140</v>
      </c>
      <c r="Y307" s="22">
        <v>4.5</v>
      </c>
      <c r="Z307" s="22">
        <v>2.7</v>
      </c>
      <c r="AA307" s="17" t="s">
        <v>58</v>
      </c>
      <c r="AB307" s="26">
        <v>16184</v>
      </c>
      <c r="AC307" s="26">
        <v>1132</v>
      </c>
      <c r="AD307" s="26">
        <v>1803</v>
      </c>
      <c r="AE307" s="27">
        <v>328000</v>
      </c>
      <c r="AF307" s="27">
        <v>11100</v>
      </c>
      <c r="AG307" s="27">
        <v>2147000</v>
      </c>
      <c r="AH307" s="27">
        <v>149000</v>
      </c>
      <c r="AI307" s="27">
        <v>2009</v>
      </c>
      <c r="AJ307" s="17">
        <v>0</v>
      </c>
      <c r="AK307" s="17">
        <v>1</v>
      </c>
      <c r="AL307" s="17" t="s">
        <v>392</v>
      </c>
    </row>
    <row r="308" spans="1:46" ht="12.75" customHeight="1">
      <c r="A308" s="32" t="s">
        <v>386</v>
      </c>
      <c r="B308" s="33" t="s">
        <v>387</v>
      </c>
      <c r="C308" s="27">
        <v>39</v>
      </c>
      <c r="D308" s="33" t="s">
        <v>196</v>
      </c>
      <c r="E308" s="33">
        <v>0</v>
      </c>
      <c r="F308" s="33" t="s">
        <v>388</v>
      </c>
      <c r="G308" s="33" t="s">
        <v>389</v>
      </c>
      <c r="H308" s="33" t="s">
        <v>390</v>
      </c>
      <c r="I308" s="17" t="b">
        <v>0</v>
      </c>
      <c r="K308" s="21" t="str">
        <f t="shared" si="10"/>
        <v>https://version2.ice-d.org/antarctica/sample/W2011-Ruk-235C/</v>
      </c>
      <c r="L308" s="32" t="s">
        <v>148</v>
      </c>
      <c r="M308" s="32"/>
      <c r="N308" s="17" t="s">
        <v>39</v>
      </c>
      <c r="O308" s="17" t="s">
        <v>391</v>
      </c>
      <c r="P308" s="22">
        <v>-73.624399999999994</v>
      </c>
      <c r="Q308" s="22">
        <v>64.190100000000001</v>
      </c>
      <c r="R308" s="22"/>
      <c r="S308" s="22">
        <v>1370</v>
      </c>
      <c r="T308" s="17">
        <v>1230</v>
      </c>
      <c r="U308" s="67">
        <v>160</v>
      </c>
      <c r="V308" s="67" t="s">
        <v>2106</v>
      </c>
      <c r="W308" s="69" t="s">
        <v>2450</v>
      </c>
      <c r="X308" s="22">
        <f t="shared" si="11"/>
        <v>140</v>
      </c>
      <c r="Y308" s="22">
        <v>4.5</v>
      </c>
      <c r="Z308" s="22">
        <v>2.7</v>
      </c>
      <c r="AA308" s="17" t="s">
        <v>58</v>
      </c>
      <c r="AB308" s="26">
        <v>17347</v>
      </c>
      <c r="AC308" s="26">
        <v>590</v>
      </c>
      <c r="AD308" s="26">
        <v>1185</v>
      </c>
      <c r="AE308" s="27">
        <v>328000</v>
      </c>
      <c r="AF308" s="27">
        <v>11100</v>
      </c>
      <c r="AG308" s="27">
        <v>2147000</v>
      </c>
      <c r="AH308" s="27">
        <v>149000</v>
      </c>
      <c r="AI308" s="27">
        <v>2009</v>
      </c>
      <c r="AJ308" s="17">
        <v>0</v>
      </c>
      <c r="AK308" s="17">
        <v>1</v>
      </c>
      <c r="AL308" s="17" t="s">
        <v>392</v>
      </c>
    </row>
    <row r="309" spans="1:46" ht="12.75" customHeight="1">
      <c r="A309" s="32" t="s">
        <v>393</v>
      </c>
      <c r="B309" s="33" t="s">
        <v>387</v>
      </c>
      <c r="C309" s="27">
        <v>39</v>
      </c>
      <c r="D309" s="33" t="s">
        <v>196</v>
      </c>
      <c r="E309" s="33">
        <v>0</v>
      </c>
      <c r="F309" s="33" t="s">
        <v>388</v>
      </c>
      <c r="G309" s="33" t="s">
        <v>389</v>
      </c>
      <c r="H309" s="33" t="s">
        <v>390</v>
      </c>
      <c r="I309" s="17" t="b">
        <v>0</v>
      </c>
      <c r="J309" s="17" t="s">
        <v>64</v>
      </c>
      <c r="K309" s="21" t="str">
        <f t="shared" si="10"/>
        <v>https://version2.ice-d.org/antarctica/sample/W2011-Ruk-199A/</v>
      </c>
      <c r="L309" s="32" t="s">
        <v>148</v>
      </c>
      <c r="M309" s="32"/>
      <c r="N309" s="17" t="s">
        <v>39</v>
      </c>
      <c r="O309" s="17" t="s">
        <v>391</v>
      </c>
      <c r="P309" s="22">
        <v>-73.613699999999994</v>
      </c>
      <c r="Q309" s="22">
        <v>64.275800000000004</v>
      </c>
      <c r="R309" s="22"/>
      <c r="S309" s="22">
        <v>1340</v>
      </c>
      <c r="T309" s="17">
        <v>1190</v>
      </c>
      <c r="U309" s="67">
        <v>160</v>
      </c>
      <c r="V309" s="67" t="s">
        <v>2106</v>
      </c>
      <c r="W309" s="69" t="s">
        <v>2450</v>
      </c>
      <c r="X309" s="22">
        <f t="shared" si="11"/>
        <v>150</v>
      </c>
      <c r="Y309" s="22">
        <v>4.5</v>
      </c>
      <c r="Z309" s="22">
        <v>2.7</v>
      </c>
      <c r="AA309" s="17" t="s">
        <v>46</v>
      </c>
      <c r="AB309" s="26">
        <v>14191</v>
      </c>
      <c r="AC309" s="26">
        <v>956</v>
      </c>
      <c r="AD309" s="26">
        <v>1157</v>
      </c>
      <c r="AE309" s="27">
        <v>260200</v>
      </c>
      <c r="AF309" s="27">
        <v>8000</v>
      </c>
      <c r="AG309" s="27">
        <v>1793000</v>
      </c>
      <c r="AH309" s="27">
        <v>120000</v>
      </c>
      <c r="AI309" s="27">
        <v>2009</v>
      </c>
      <c r="AJ309" s="17">
        <v>0</v>
      </c>
      <c r="AK309" s="34">
        <v>0</v>
      </c>
    </row>
    <row r="310" spans="1:46" ht="12.75" customHeight="1">
      <c r="A310" s="32" t="s">
        <v>393</v>
      </c>
      <c r="B310" s="33" t="s">
        <v>387</v>
      </c>
      <c r="C310" s="27">
        <v>39</v>
      </c>
      <c r="D310" s="33" t="s">
        <v>196</v>
      </c>
      <c r="E310" s="33">
        <v>0</v>
      </c>
      <c r="F310" s="33" t="s">
        <v>388</v>
      </c>
      <c r="G310" s="33" t="s">
        <v>389</v>
      </c>
      <c r="H310" s="33" t="s">
        <v>390</v>
      </c>
      <c r="I310" s="17" t="b">
        <v>0</v>
      </c>
      <c r="J310" s="17" t="s">
        <v>43</v>
      </c>
      <c r="K310" s="21" t="str">
        <f t="shared" si="10"/>
        <v>https://version2.ice-d.org/antarctica/sample/W2011-Ruk-199A/</v>
      </c>
      <c r="L310" s="32" t="s">
        <v>148</v>
      </c>
      <c r="M310" s="32"/>
      <c r="N310" s="17" t="s">
        <v>39</v>
      </c>
      <c r="O310" s="17" t="s">
        <v>391</v>
      </c>
      <c r="P310" s="22">
        <v>-73.613699999999994</v>
      </c>
      <c r="Q310" s="22">
        <v>64.275800000000004</v>
      </c>
      <c r="R310" s="22"/>
      <c r="S310" s="22">
        <v>1340</v>
      </c>
      <c r="T310" s="17">
        <v>1190</v>
      </c>
      <c r="U310" s="67">
        <v>160</v>
      </c>
      <c r="V310" s="67" t="s">
        <v>2106</v>
      </c>
      <c r="W310" s="69" t="s">
        <v>2450</v>
      </c>
      <c r="X310" s="22">
        <f t="shared" si="11"/>
        <v>150</v>
      </c>
      <c r="Y310" s="22">
        <v>4.5</v>
      </c>
      <c r="Z310" s="22">
        <v>2.7</v>
      </c>
      <c r="AA310" s="17" t="s">
        <v>46</v>
      </c>
      <c r="AB310" s="26">
        <v>14455</v>
      </c>
      <c r="AC310" s="26">
        <v>446</v>
      </c>
      <c r="AD310" s="26">
        <v>965</v>
      </c>
      <c r="AE310" s="27">
        <v>260200</v>
      </c>
      <c r="AF310" s="27">
        <v>8000</v>
      </c>
      <c r="AG310" s="27">
        <v>1793000</v>
      </c>
      <c r="AH310" s="27">
        <v>120000</v>
      </c>
      <c r="AI310" s="27">
        <v>2009</v>
      </c>
      <c r="AJ310" s="17">
        <v>0</v>
      </c>
      <c r="AK310" s="34">
        <v>0</v>
      </c>
    </row>
    <row r="311" spans="1:46" ht="12.75" customHeight="1">
      <c r="A311" s="32" t="s">
        <v>394</v>
      </c>
      <c r="B311" s="33" t="s">
        <v>387</v>
      </c>
      <c r="C311" s="27">
        <v>39</v>
      </c>
      <c r="D311" s="33" t="s">
        <v>196</v>
      </c>
      <c r="E311" s="33">
        <v>0</v>
      </c>
      <c r="F311" s="33" t="s">
        <v>388</v>
      </c>
      <c r="G311" s="33" t="s">
        <v>389</v>
      </c>
      <c r="H311" s="33" t="s">
        <v>390</v>
      </c>
      <c r="I311" s="17" t="b">
        <v>0</v>
      </c>
      <c r="J311" s="17" t="s">
        <v>43</v>
      </c>
      <c r="K311" s="21" t="str">
        <f t="shared" si="10"/>
        <v>https://version2.ice-d.org/antarctica/sample/W2011-Ruk-201/</v>
      </c>
      <c r="L311" s="32" t="s">
        <v>148</v>
      </c>
      <c r="M311" s="32"/>
      <c r="N311" s="17" t="s">
        <v>39</v>
      </c>
      <c r="O311" s="17" t="s">
        <v>391</v>
      </c>
      <c r="P311" s="22">
        <v>-73.611900000000006</v>
      </c>
      <c r="Q311" s="22">
        <v>64.275499999999994</v>
      </c>
      <c r="R311" s="22"/>
      <c r="S311" s="22">
        <v>1291</v>
      </c>
      <c r="T311" s="17">
        <v>1190</v>
      </c>
      <c r="U311" s="67">
        <v>160</v>
      </c>
      <c r="V311" s="67" t="s">
        <v>2106</v>
      </c>
      <c r="W311" s="69" t="s">
        <v>2450</v>
      </c>
      <c r="X311" s="22">
        <f t="shared" si="11"/>
        <v>101</v>
      </c>
      <c r="Y311" s="22">
        <v>4.5</v>
      </c>
      <c r="Z311" s="22">
        <v>2.7</v>
      </c>
      <c r="AA311" s="17" t="s">
        <v>46</v>
      </c>
      <c r="AB311" s="26">
        <v>8856</v>
      </c>
      <c r="AC311" s="26">
        <v>351</v>
      </c>
      <c r="AD311" s="26">
        <v>630</v>
      </c>
      <c r="AE311" s="27">
        <v>156900</v>
      </c>
      <c r="AF311" s="27">
        <v>6200</v>
      </c>
      <c r="AG311" s="27">
        <v>1162000</v>
      </c>
      <c r="AH311" s="27">
        <v>86000</v>
      </c>
      <c r="AI311" s="27">
        <v>2009</v>
      </c>
      <c r="AJ311" s="17">
        <v>0</v>
      </c>
      <c r="AK311" s="34">
        <v>0</v>
      </c>
    </row>
    <row r="312" spans="1:46" ht="12.75" customHeight="1">
      <c r="A312" s="32" t="s">
        <v>394</v>
      </c>
      <c r="B312" s="33" t="s">
        <v>387</v>
      </c>
      <c r="C312" s="27">
        <v>39</v>
      </c>
      <c r="D312" s="33" t="s">
        <v>196</v>
      </c>
      <c r="E312" s="33">
        <v>0</v>
      </c>
      <c r="F312" s="33" t="s">
        <v>388</v>
      </c>
      <c r="G312" s="33" t="s">
        <v>389</v>
      </c>
      <c r="H312" s="33" t="s">
        <v>390</v>
      </c>
      <c r="I312" s="17" t="b">
        <v>0</v>
      </c>
      <c r="J312" s="17" t="s">
        <v>64</v>
      </c>
      <c r="K312" s="21" t="str">
        <f t="shared" si="10"/>
        <v>https://version2.ice-d.org/antarctica/sample/W2011-Ruk-201/</v>
      </c>
      <c r="L312" s="32" t="s">
        <v>148</v>
      </c>
      <c r="M312" s="32"/>
      <c r="N312" s="17" t="s">
        <v>39</v>
      </c>
      <c r="O312" s="17" t="s">
        <v>391</v>
      </c>
      <c r="P312" s="22">
        <v>-73.611900000000006</v>
      </c>
      <c r="Q312" s="22">
        <v>64.275499999999994</v>
      </c>
      <c r="R312" s="22"/>
      <c r="S312" s="22">
        <v>1291</v>
      </c>
      <c r="T312" s="17">
        <v>1190</v>
      </c>
      <c r="U312" s="67">
        <v>160</v>
      </c>
      <c r="V312" s="67" t="s">
        <v>2106</v>
      </c>
      <c r="W312" s="69" t="s">
        <v>2450</v>
      </c>
      <c r="X312" s="22">
        <f t="shared" si="11"/>
        <v>101</v>
      </c>
      <c r="Y312" s="22">
        <v>4.5</v>
      </c>
      <c r="Z312" s="22">
        <v>2.7</v>
      </c>
      <c r="AA312" s="17" t="s">
        <v>46</v>
      </c>
      <c r="AB312" s="26">
        <v>9333</v>
      </c>
      <c r="AC312" s="26">
        <v>694</v>
      </c>
      <c r="AD312" s="26">
        <v>1064</v>
      </c>
      <c r="AE312" s="27">
        <v>156900</v>
      </c>
      <c r="AF312" s="27">
        <v>6200</v>
      </c>
      <c r="AG312" s="27">
        <v>1162000</v>
      </c>
      <c r="AH312" s="27">
        <v>86000</v>
      </c>
      <c r="AI312" s="27">
        <v>2009</v>
      </c>
      <c r="AJ312" s="17">
        <v>0</v>
      </c>
      <c r="AK312" s="34">
        <v>0</v>
      </c>
    </row>
    <row r="313" spans="1:46" ht="12.75" customHeight="1">
      <c r="A313" s="32" t="s">
        <v>395</v>
      </c>
      <c r="B313" s="33" t="s">
        <v>387</v>
      </c>
      <c r="C313" s="27">
        <v>39</v>
      </c>
      <c r="D313" s="33" t="s">
        <v>196</v>
      </c>
      <c r="E313" s="33">
        <v>0</v>
      </c>
      <c r="F313" s="33" t="s">
        <v>388</v>
      </c>
      <c r="G313" s="33" t="s">
        <v>389</v>
      </c>
      <c r="H313" s="33" t="s">
        <v>390</v>
      </c>
      <c r="I313" s="17" t="b">
        <v>0</v>
      </c>
      <c r="J313" s="17" t="s">
        <v>64</v>
      </c>
      <c r="K313" s="21" t="str">
        <f t="shared" si="10"/>
        <v>https://version2.ice-d.org/antarctica/sample/W2011-Ruk-235A/</v>
      </c>
      <c r="L313" s="32" t="s">
        <v>148</v>
      </c>
      <c r="M313" s="32"/>
      <c r="N313" s="17" t="s">
        <v>39</v>
      </c>
      <c r="O313" s="17" t="s">
        <v>391</v>
      </c>
      <c r="P313" s="22">
        <v>-73.624399999999994</v>
      </c>
      <c r="Q313" s="22">
        <v>64.190100000000001</v>
      </c>
      <c r="R313" s="22"/>
      <c r="S313" s="22">
        <v>1370</v>
      </c>
      <c r="T313" s="17">
        <v>1230</v>
      </c>
      <c r="U313" s="67">
        <v>160</v>
      </c>
      <c r="V313" s="67" t="s">
        <v>2106</v>
      </c>
      <c r="W313" s="69" t="s">
        <v>2450</v>
      </c>
      <c r="X313" s="22">
        <f t="shared" si="11"/>
        <v>140</v>
      </c>
      <c r="Y313" s="22">
        <v>4.5</v>
      </c>
      <c r="Z313" s="22">
        <v>2.7</v>
      </c>
      <c r="AA313" s="17" t="s">
        <v>46</v>
      </c>
      <c r="AB313" s="26">
        <v>8531</v>
      </c>
      <c r="AC313" s="26">
        <v>643</v>
      </c>
      <c r="AD313" s="26">
        <v>978</v>
      </c>
      <c r="AE313" s="27">
        <v>174400</v>
      </c>
      <c r="AF313" s="27">
        <v>5800</v>
      </c>
      <c r="AG313" s="27">
        <v>1145000</v>
      </c>
      <c r="AH313" s="27">
        <v>86000</v>
      </c>
      <c r="AI313" s="27">
        <v>2009</v>
      </c>
      <c r="AJ313" s="17">
        <v>0</v>
      </c>
      <c r="AK313" s="34">
        <v>0</v>
      </c>
    </row>
    <row r="314" spans="1:46" ht="12.75" customHeight="1">
      <c r="A314" s="32" t="s">
        <v>395</v>
      </c>
      <c r="B314" s="33" t="s">
        <v>387</v>
      </c>
      <c r="C314" s="27">
        <v>39</v>
      </c>
      <c r="D314" s="33" t="s">
        <v>196</v>
      </c>
      <c r="E314" s="33">
        <v>0</v>
      </c>
      <c r="F314" s="33" t="s">
        <v>388</v>
      </c>
      <c r="G314" s="33" t="s">
        <v>389</v>
      </c>
      <c r="H314" s="33" t="s">
        <v>390</v>
      </c>
      <c r="I314" s="17" t="b">
        <v>0</v>
      </c>
      <c r="J314" s="17" t="s">
        <v>43</v>
      </c>
      <c r="K314" s="21" t="str">
        <f t="shared" si="10"/>
        <v>https://version2.ice-d.org/antarctica/sample/W2011-Ruk-235A/</v>
      </c>
      <c r="L314" s="32" t="s">
        <v>148</v>
      </c>
      <c r="M314" s="32"/>
      <c r="N314" s="17" t="s">
        <v>39</v>
      </c>
      <c r="O314" s="17" t="s">
        <v>391</v>
      </c>
      <c r="P314" s="22">
        <v>-73.624399999999994</v>
      </c>
      <c r="Q314" s="22">
        <v>64.190100000000001</v>
      </c>
      <c r="R314" s="22"/>
      <c r="S314" s="22">
        <v>1370</v>
      </c>
      <c r="T314" s="17">
        <v>1230</v>
      </c>
      <c r="U314" s="67">
        <v>160</v>
      </c>
      <c r="V314" s="67" t="s">
        <v>2106</v>
      </c>
      <c r="W314" s="69" t="s">
        <v>2450</v>
      </c>
      <c r="X314" s="22">
        <f t="shared" si="11"/>
        <v>140</v>
      </c>
      <c r="Y314" s="22">
        <v>4.5</v>
      </c>
      <c r="Z314" s="22">
        <v>2.7</v>
      </c>
      <c r="AA314" s="17" t="s">
        <v>46</v>
      </c>
      <c r="AB314" s="26">
        <v>9153</v>
      </c>
      <c r="AC314" s="26">
        <v>305</v>
      </c>
      <c r="AD314" s="26">
        <v>621</v>
      </c>
      <c r="AE314" s="27">
        <v>174400</v>
      </c>
      <c r="AF314" s="27">
        <v>5800</v>
      </c>
      <c r="AG314" s="27">
        <v>1145000</v>
      </c>
      <c r="AH314" s="27">
        <v>86000</v>
      </c>
      <c r="AI314" s="27">
        <v>2009</v>
      </c>
      <c r="AJ314" s="17">
        <v>0</v>
      </c>
      <c r="AK314" s="34">
        <v>0</v>
      </c>
    </row>
    <row r="315" spans="1:46" ht="12.75" customHeight="1">
      <c r="A315" s="32" t="s">
        <v>396</v>
      </c>
      <c r="B315" s="33" t="s">
        <v>387</v>
      </c>
      <c r="C315" s="27">
        <v>39</v>
      </c>
      <c r="D315" s="33" t="s">
        <v>196</v>
      </c>
      <c r="E315" s="33">
        <v>0</v>
      </c>
      <c r="F315" s="33" t="s">
        <v>388</v>
      </c>
      <c r="G315" s="33" t="s">
        <v>389</v>
      </c>
      <c r="H315" s="33" t="s">
        <v>390</v>
      </c>
      <c r="I315" s="17" t="b">
        <v>0</v>
      </c>
      <c r="J315" s="17" t="s">
        <v>64</v>
      </c>
      <c r="K315" s="21" t="str">
        <f t="shared" si="10"/>
        <v>https://version2.ice-d.org/antarctica/sample/W2011-Ruk-261b/</v>
      </c>
      <c r="L315" s="32" t="s">
        <v>148</v>
      </c>
      <c r="M315" s="32"/>
      <c r="N315" s="17" t="s">
        <v>39</v>
      </c>
      <c r="O315" s="17" t="s">
        <v>391</v>
      </c>
      <c r="P315" s="22">
        <v>-73.546300000000002</v>
      </c>
      <c r="Q315" s="22">
        <v>64.613399999999999</v>
      </c>
      <c r="R315" s="22"/>
      <c r="S315" s="22">
        <v>1239</v>
      </c>
      <c r="T315" s="17">
        <v>1110</v>
      </c>
      <c r="U315" s="67">
        <v>160</v>
      </c>
      <c r="V315" s="67" t="s">
        <v>2106</v>
      </c>
      <c r="W315" s="69" t="s">
        <v>2450</v>
      </c>
      <c r="X315" s="22">
        <f t="shared" si="11"/>
        <v>129</v>
      </c>
      <c r="Y315" s="22">
        <v>4.5</v>
      </c>
      <c r="Z315" s="22">
        <v>2.7</v>
      </c>
      <c r="AA315" s="17" t="s">
        <v>46</v>
      </c>
      <c r="AB315" s="26">
        <v>10078</v>
      </c>
      <c r="AC315" s="26">
        <v>728</v>
      </c>
      <c r="AD315" s="26">
        <v>1135</v>
      </c>
      <c r="AE315" s="27">
        <v>177000</v>
      </c>
      <c r="AF315" s="27">
        <v>6700</v>
      </c>
      <c r="AG315" s="27">
        <v>1211000</v>
      </c>
      <c r="AH315" s="27">
        <v>87000</v>
      </c>
      <c r="AI315" s="27">
        <v>2009</v>
      </c>
      <c r="AJ315" s="17">
        <v>0</v>
      </c>
      <c r="AK315" s="34">
        <v>0</v>
      </c>
    </row>
    <row r="316" spans="1:46" ht="12.75" customHeight="1">
      <c r="A316" s="32" t="s">
        <v>396</v>
      </c>
      <c r="B316" s="33" t="s">
        <v>387</v>
      </c>
      <c r="C316" s="27">
        <v>39</v>
      </c>
      <c r="D316" s="33" t="s">
        <v>196</v>
      </c>
      <c r="E316" s="33">
        <v>0</v>
      </c>
      <c r="F316" s="33" t="s">
        <v>388</v>
      </c>
      <c r="G316" s="33" t="s">
        <v>389</v>
      </c>
      <c r="H316" s="33" t="s">
        <v>390</v>
      </c>
      <c r="I316" s="17" t="b">
        <v>0</v>
      </c>
      <c r="J316" s="17" t="s">
        <v>43</v>
      </c>
      <c r="K316" s="21" t="str">
        <f t="shared" si="10"/>
        <v>https://version2.ice-d.org/antarctica/sample/W2011-Ruk-261b/</v>
      </c>
      <c r="L316" s="32" t="s">
        <v>148</v>
      </c>
      <c r="M316" s="32"/>
      <c r="N316" s="17" t="s">
        <v>39</v>
      </c>
      <c r="O316" s="17" t="s">
        <v>391</v>
      </c>
      <c r="P316" s="22">
        <v>-73.546300000000002</v>
      </c>
      <c r="Q316" s="22">
        <v>64.613399999999999</v>
      </c>
      <c r="R316" s="22"/>
      <c r="S316" s="22">
        <v>1239</v>
      </c>
      <c r="T316" s="17">
        <v>1110</v>
      </c>
      <c r="U316" s="67">
        <v>160</v>
      </c>
      <c r="V316" s="67" t="s">
        <v>2106</v>
      </c>
      <c r="W316" s="69" t="s">
        <v>2450</v>
      </c>
      <c r="X316" s="22">
        <f t="shared" si="11"/>
        <v>129</v>
      </c>
      <c r="Y316" s="22">
        <v>4.5</v>
      </c>
      <c r="Z316" s="22">
        <v>2.7</v>
      </c>
      <c r="AA316" s="17" t="s">
        <v>46</v>
      </c>
      <c r="AB316" s="26">
        <v>10360</v>
      </c>
      <c r="AC316" s="26">
        <v>393</v>
      </c>
      <c r="AD316" s="26">
        <v>728</v>
      </c>
      <c r="AE316" s="27">
        <v>177000</v>
      </c>
      <c r="AF316" s="27">
        <v>6700</v>
      </c>
      <c r="AG316" s="27">
        <v>1211000</v>
      </c>
      <c r="AH316" s="27">
        <v>87000</v>
      </c>
      <c r="AI316" s="27">
        <v>2009</v>
      </c>
      <c r="AJ316" s="17">
        <v>0</v>
      </c>
      <c r="AK316" s="34">
        <v>0</v>
      </c>
    </row>
    <row r="317" spans="1:46" ht="12.75" customHeight="1">
      <c r="A317" s="32" t="s">
        <v>397</v>
      </c>
      <c r="B317" s="33" t="s">
        <v>398</v>
      </c>
      <c r="C317" s="27">
        <v>40</v>
      </c>
      <c r="D317" s="77" t="s">
        <v>196</v>
      </c>
      <c r="E317" s="33">
        <v>0</v>
      </c>
      <c r="F317" s="33" t="s">
        <v>388</v>
      </c>
      <c r="G317" s="33" t="s">
        <v>389</v>
      </c>
      <c r="H317" s="33" t="s">
        <v>390</v>
      </c>
      <c r="I317" s="17" t="b">
        <v>0</v>
      </c>
      <c r="K317" s="21" t="str">
        <f t="shared" si="10"/>
        <v>https://version2.ice-d.org/antarctica/sample/W2011-Stin-117/</v>
      </c>
      <c r="L317" s="32" t="s">
        <v>148</v>
      </c>
      <c r="M317" s="32"/>
      <c r="N317" s="17" t="s">
        <v>39</v>
      </c>
      <c r="O317" s="17" t="s">
        <v>391</v>
      </c>
      <c r="P317" s="22">
        <v>-73.046400000000006</v>
      </c>
      <c r="Q317" s="22">
        <v>66.481099999999998</v>
      </c>
      <c r="R317" s="22"/>
      <c r="S317" s="22">
        <v>521</v>
      </c>
      <c r="T317" s="22">
        <v>160</v>
      </c>
      <c r="U317" s="23">
        <v>800</v>
      </c>
      <c r="V317" s="23" t="s">
        <v>2106</v>
      </c>
      <c r="W317" s="44" t="s">
        <v>2451</v>
      </c>
      <c r="X317" s="22">
        <f t="shared" si="11"/>
        <v>361</v>
      </c>
      <c r="Y317" s="22">
        <v>4.5</v>
      </c>
      <c r="Z317" s="22">
        <v>2.7</v>
      </c>
      <c r="AA317" s="17" t="s">
        <v>51</v>
      </c>
      <c r="AB317" s="26">
        <v>20292</v>
      </c>
      <c r="AC317" s="26">
        <v>700</v>
      </c>
      <c r="AD317" s="26">
        <v>1392</v>
      </c>
      <c r="AE317" s="27">
        <v>174900</v>
      </c>
      <c r="AF317" s="27">
        <v>6000</v>
      </c>
      <c r="AG317" s="27">
        <v>1132000</v>
      </c>
      <c r="AH317" s="27">
        <v>100000</v>
      </c>
      <c r="AI317" s="27">
        <v>2009</v>
      </c>
      <c r="AJ317" s="17">
        <v>0</v>
      </c>
      <c r="AK317" s="34">
        <v>1</v>
      </c>
      <c r="AL317" s="17" t="s">
        <v>399</v>
      </c>
    </row>
    <row r="318" spans="1:46" ht="12.75" customHeight="1">
      <c r="A318" s="32" t="s">
        <v>397</v>
      </c>
      <c r="B318" s="33" t="s">
        <v>398</v>
      </c>
      <c r="C318" s="27">
        <v>40</v>
      </c>
      <c r="D318" s="77" t="s">
        <v>196</v>
      </c>
      <c r="E318" s="33">
        <v>0</v>
      </c>
      <c r="F318" s="33" t="s">
        <v>388</v>
      </c>
      <c r="G318" s="33" t="s">
        <v>389</v>
      </c>
      <c r="H318" s="33" t="s">
        <v>390</v>
      </c>
      <c r="I318" s="17" t="b">
        <v>0</v>
      </c>
      <c r="K318" s="21" t="str">
        <f t="shared" si="10"/>
        <v>https://version2.ice-d.org/antarctica/sample/W2011-Stin-117/</v>
      </c>
      <c r="L318" s="32" t="s">
        <v>148</v>
      </c>
      <c r="M318" s="32"/>
      <c r="N318" s="17" t="s">
        <v>39</v>
      </c>
      <c r="O318" s="17" t="s">
        <v>391</v>
      </c>
      <c r="P318" s="22">
        <v>-73.046400000000006</v>
      </c>
      <c r="Q318" s="22">
        <v>66.481099999999998</v>
      </c>
      <c r="R318" s="22"/>
      <c r="S318" s="22">
        <v>521</v>
      </c>
      <c r="T318" s="22">
        <v>160</v>
      </c>
      <c r="U318" s="23">
        <v>800</v>
      </c>
      <c r="V318" s="23" t="s">
        <v>2106</v>
      </c>
      <c r="W318" s="44" t="s">
        <v>2451</v>
      </c>
      <c r="X318" s="22">
        <f t="shared" si="11"/>
        <v>361</v>
      </c>
      <c r="Y318" s="22">
        <v>4.5</v>
      </c>
      <c r="Z318" s="22">
        <v>2.7</v>
      </c>
      <c r="AA318" s="17" t="s">
        <v>51</v>
      </c>
      <c r="AB318" s="26">
        <v>18559</v>
      </c>
      <c r="AC318" s="26">
        <v>1655</v>
      </c>
      <c r="AD318" s="26">
        <v>2309</v>
      </c>
      <c r="AE318" s="27">
        <v>174900</v>
      </c>
      <c r="AF318" s="27">
        <v>6000</v>
      </c>
      <c r="AG318" s="27">
        <v>1132000</v>
      </c>
      <c r="AH318" s="27">
        <v>100000</v>
      </c>
      <c r="AI318" s="27">
        <v>2009</v>
      </c>
      <c r="AJ318" s="17">
        <v>0</v>
      </c>
      <c r="AK318" s="34">
        <v>1</v>
      </c>
      <c r="AL318" s="17" t="s">
        <v>399</v>
      </c>
    </row>
    <row r="319" spans="1:46" ht="12.75" customHeight="1">
      <c r="A319" s="32" t="s">
        <v>400</v>
      </c>
      <c r="B319" s="33" t="s">
        <v>398</v>
      </c>
      <c r="C319" s="27">
        <v>40</v>
      </c>
      <c r="D319" s="77" t="s">
        <v>196</v>
      </c>
      <c r="E319" s="33">
        <v>0</v>
      </c>
      <c r="F319" s="33" t="s">
        <v>388</v>
      </c>
      <c r="G319" s="33" t="s">
        <v>389</v>
      </c>
      <c r="H319" s="33" t="s">
        <v>390</v>
      </c>
      <c r="I319" s="17" t="b">
        <v>0</v>
      </c>
      <c r="J319" s="17" t="s">
        <v>64</v>
      </c>
      <c r="K319" s="21" t="str">
        <f t="shared" si="10"/>
        <v>https://version2.ice-d.org/antarctica/sample/W2011-Stin-139/</v>
      </c>
      <c r="L319" s="32" t="s">
        <v>148</v>
      </c>
      <c r="M319" s="32"/>
      <c r="N319" s="17" t="s">
        <v>39</v>
      </c>
      <c r="O319" s="17" t="s">
        <v>391</v>
      </c>
      <c r="P319" s="22">
        <v>-73.0702</v>
      </c>
      <c r="Q319" s="22">
        <v>66.480500000000006</v>
      </c>
      <c r="R319" s="22"/>
      <c r="S319" s="22">
        <v>260</v>
      </c>
      <c r="T319" s="22">
        <v>190</v>
      </c>
      <c r="U319" s="23">
        <v>800</v>
      </c>
      <c r="V319" s="23" t="s">
        <v>2106</v>
      </c>
      <c r="W319" s="44" t="s">
        <v>2451</v>
      </c>
      <c r="X319" s="22">
        <f t="shared" si="11"/>
        <v>70</v>
      </c>
      <c r="Y319" s="22">
        <v>4.5</v>
      </c>
      <c r="Z319" s="22">
        <v>2.7</v>
      </c>
      <c r="AA319" s="17" t="s">
        <v>51</v>
      </c>
      <c r="AB319" s="26">
        <v>9263</v>
      </c>
      <c r="AC319" s="26">
        <v>1869</v>
      </c>
      <c r="AD319" s="26">
        <v>2034</v>
      </c>
      <c r="AE319" s="27">
        <v>87500</v>
      </c>
      <c r="AF319" s="27">
        <v>5700</v>
      </c>
      <c r="AG319" s="27">
        <v>443000</v>
      </c>
      <c r="AH319" s="27">
        <v>89000</v>
      </c>
      <c r="AI319" s="27">
        <v>2009</v>
      </c>
      <c r="AJ319" s="17">
        <v>0</v>
      </c>
      <c r="AK319" s="34">
        <v>0</v>
      </c>
    </row>
    <row r="320" spans="1:46" ht="12.75" customHeight="1">
      <c r="A320" s="32" t="s">
        <v>400</v>
      </c>
      <c r="B320" s="33" t="s">
        <v>398</v>
      </c>
      <c r="C320" s="27">
        <v>40</v>
      </c>
      <c r="D320" s="77" t="s">
        <v>196</v>
      </c>
      <c r="E320" s="33">
        <v>0</v>
      </c>
      <c r="F320" s="33" t="s">
        <v>388</v>
      </c>
      <c r="G320" s="33" t="s">
        <v>389</v>
      </c>
      <c r="H320" s="33" t="s">
        <v>390</v>
      </c>
      <c r="I320" s="17" t="b">
        <v>0</v>
      </c>
      <c r="J320" s="17" t="s">
        <v>43</v>
      </c>
      <c r="K320" s="21" t="str">
        <f t="shared" si="10"/>
        <v>https://version2.ice-d.org/antarctica/sample/W2011-Stin-139/</v>
      </c>
      <c r="L320" s="32" t="s">
        <v>148</v>
      </c>
      <c r="M320" s="32"/>
      <c r="N320" s="17" t="s">
        <v>39</v>
      </c>
      <c r="O320" s="17" t="s">
        <v>391</v>
      </c>
      <c r="P320" s="22">
        <v>-73.0702</v>
      </c>
      <c r="Q320" s="22">
        <v>66.480500000000006</v>
      </c>
      <c r="R320" s="22"/>
      <c r="S320" s="22">
        <v>260</v>
      </c>
      <c r="T320" s="22">
        <v>190</v>
      </c>
      <c r="U320" s="23">
        <v>800</v>
      </c>
      <c r="V320" s="23" t="s">
        <v>2106</v>
      </c>
      <c r="W320" s="44" t="s">
        <v>2451</v>
      </c>
      <c r="X320" s="22">
        <f t="shared" si="11"/>
        <v>70</v>
      </c>
      <c r="Y320" s="22">
        <v>4.5</v>
      </c>
      <c r="Z320" s="22">
        <v>2.7</v>
      </c>
      <c r="AA320" s="17" t="s">
        <v>51</v>
      </c>
      <c r="AB320" s="26">
        <v>13068</v>
      </c>
      <c r="AC320" s="26">
        <v>854</v>
      </c>
      <c r="AD320" s="26">
        <v>1152</v>
      </c>
      <c r="AE320" s="27">
        <v>87500</v>
      </c>
      <c r="AF320" s="27">
        <v>5700</v>
      </c>
      <c r="AG320" s="27">
        <v>443000</v>
      </c>
      <c r="AH320" s="27">
        <v>89000</v>
      </c>
      <c r="AI320" s="27">
        <v>2009</v>
      </c>
      <c r="AJ320" s="17">
        <v>0</v>
      </c>
      <c r="AK320" s="34">
        <v>0</v>
      </c>
    </row>
    <row r="321" spans="1:37" ht="12.75" customHeight="1">
      <c r="A321" s="32" t="s">
        <v>401</v>
      </c>
      <c r="B321" s="33" t="s">
        <v>398</v>
      </c>
      <c r="C321" s="27">
        <v>40</v>
      </c>
      <c r="D321" s="77" t="s">
        <v>196</v>
      </c>
      <c r="E321" s="33">
        <v>0</v>
      </c>
      <c r="F321" s="33" t="s">
        <v>388</v>
      </c>
      <c r="G321" s="33" t="s">
        <v>389</v>
      </c>
      <c r="H321" s="33" t="s">
        <v>390</v>
      </c>
      <c r="I321" s="17" t="b">
        <v>0</v>
      </c>
      <c r="J321" s="17" t="s">
        <v>43</v>
      </c>
      <c r="K321" s="21" t="str">
        <f t="shared" si="10"/>
        <v>https://version2.ice-d.org/antarctica/sample/W2011-Stin-140/</v>
      </c>
      <c r="L321" s="32" t="s">
        <v>148</v>
      </c>
      <c r="M321" s="32"/>
      <c r="N321" s="17" t="s">
        <v>39</v>
      </c>
      <c r="O321" s="17" t="s">
        <v>391</v>
      </c>
      <c r="P321" s="22">
        <v>-73.075000000000003</v>
      </c>
      <c r="Q321" s="22">
        <v>66.464500000000001</v>
      </c>
      <c r="R321" s="22"/>
      <c r="S321" s="22">
        <v>310</v>
      </c>
      <c r="T321" s="22">
        <v>200</v>
      </c>
      <c r="U321" s="23">
        <v>800</v>
      </c>
      <c r="V321" s="23" t="s">
        <v>2106</v>
      </c>
      <c r="W321" s="44" t="s">
        <v>2451</v>
      </c>
      <c r="X321" s="22">
        <f t="shared" si="11"/>
        <v>110</v>
      </c>
      <c r="Y321" s="22">
        <v>4.5</v>
      </c>
      <c r="Z321" s="22">
        <v>2.7</v>
      </c>
      <c r="AA321" s="17" t="s">
        <v>51</v>
      </c>
      <c r="AB321" s="26">
        <v>9992</v>
      </c>
      <c r="AC321" s="26">
        <v>585</v>
      </c>
      <c r="AD321" s="26">
        <v>832</v>
      </c>
      <c r="AE321" s="27">
        <v>70200</v>
      </c>
      <c r="AF321" s="27">
        <v>4100</v>
      </c>
      <c r="AG321" s="27">
        <v>554000</v>
      </c>
      <c r="AH321" s="27">
        <v>62000</v>
      </c>
      <c r="AI321" s="27">
        <v>2009</v>
      </c>
      <c r="AJ321" s="17">
        <v>0</v>
      </c>
      <c r="AK321" s="34">
        <v>0</v>
      </c>
    </row>
    <row r="322" spans="1:37" ht="12.75" customHeight="1">
      <c r="A322" s="32" t="s">
        <v>401</v>
      </c>
      <c r="B322" s="33" t="s">
        <v>398</v>
      </c>
      <c r="C322" s="27">
        <v>40</v>
      </c>
      <c r="D322" s="77" t="s">
        <v>196</v>
      </c>
      <c r="E322" s="33">
        <v>0</v>
      </c>
      <c r="F322" s="33" t="s">
        <v>388</v>
      </c>
      <c r="G322" s="33" t="s">
        <v>389</v>
      </c>
      <c r="H322" s="33" t="s">
        <v>390</v>
      </c>
      <c r="I322" s="17" t="b">
        <v>0</v>
      </c>
      <c r="J322" s="17" t="s">
        <v>64</v>
      </c>
      <c r="K322" s="21" t="str">
        <f t="shared" si="10"/>
        <v>https://version2.ice-d.org/antarctica/sample/W2011-Stin-140/</v>
      </c>
      <c r="L322" s="32" t="s">
        <v>148</v>
      </c>
      <c r="M322" s="32"/>
      <c r="N322" s="17" t="s">
        <v>39</v>
      </c>
      <c r="O322" s="17" t="s">
        <v>391</v>
      </c>
      <c r="P322" s="22">
        <v>-73.075000000000003</v>
      </c>
      <c r="Q322" s="22">
        <v>66.464500000000001</v>
      </c>
      <c r="R322" s="22"/>
      <c r="S322" s="22">
        <v>310</v>
      </c>
      <c r="T322" s="22">
        <v>200</v>
      </c>
      <c r="U322" s="23">
        <v>800</v>
      </c>
      <c r="V322" s="23" t="s">
        <v>2106</v>
      </c>
      <c r="W322" s="44" t="s">
        <v>2451</v>
      </c>
      <c r="X322" s="22">
        <f t="shared" si="11"/>
        <v>110</v>
      </c>
      <c r="Y322" s="22">
        <v>4.5</v>
      </c>
      <c r="Z322" s="22">
        <v>2.7</v>
      </c>
      <c r="AA322" s="17" t="s">
        <v>51</v>
      </c>
      <c r="AB322" s="26">
        <v>11126</v>
      </c>
      <c r="AC322" s="26">
        <v>1252</v>
      </c>
      <c r="AD322" s="26">
        <v>1579</v>
      </c>
      <c r="AE322" s="27">
        <v>70200</v>
      </c>
      <c r="AF322" s="27">
        <v>4100</v>
      </c>
      <c r="AG322" s="27">
        <v>554000</v>
      </c>
      <c r="AH322" s="27">
        <v>62000</v>
      </c>
      <c r="AI322" s="27">
        <v>2009</v>
      </c>
      <c r="AJ322" s="17">
        <v>0</v>
      </c>
      <c r="AK322" s="34">
        <v>0</v>
      </c>
    </row>
    <row r="323" spans="1:37" ht="12.75" customHeight="1">
      <c r="A323" s="32" t="s">
        <v>402</v>
      </c>
      <c r="B323" s="33" t="s">
        <v>398</v>
      </c>
      <c r="C323" s="27">
        <v>40</v>
      </c>
      <c r="D323" s="77" t="s">
        <v>196</v>
      </c>
      <c r="E323" s="33">
        <v>0</v>
      </c>
      <c r="F323" s="33" t="s">
        <v>388</v>
      </c>
      <c r="G323" s="33" t="s">
        <v>389</v>
      </c>
      <c r="H323" s="33" t="s">
        <v>390</v>
      </c>
      <c r="I323" s="17" t="b">
        <v>0</v>
      </c>
      <c r="J323" s="17" t="s">
        <v>43</v>
      </c>
      <c r="K323" s="21" t="str">
        <f t="shared" si="10"/>
        <v>https://version2.ice-d.org/antarctica/sample/W2011-Stin-147b/</v>
      </c>
      <c r="L323" s="32" t="s">
        <v>148</v>
      </c>
      <c r="M323" s="32"/>
      <c r="N323" s="17" t="s">
        <v>39</v>
      </c>
      <c r="O323" s="17" t="s">
        <v>391</v>
      </c>
      <c r="P323" s="22">
        <v>-73.001999999999995</v>
      </c>
      <c r="Q323" s="22">
        <v>66.534999999999997</v>
      </c>
      <c r="R323" s="22"/>
      <c r="S323" s="22">
        <v>320</v>
      </c>
      <c r="T323" s="22">
        <v>200</v>
      </c>
      <c r="U323" s="23">
        <v>800</v>
      </c>
      <c r="V323" s="23" t="s">
        <v>2106</v>
      </c>
      <c r="W323" s="44" t="s">
        <v>2451</v>
      </c>
      <c r="X323" s="22">
        <f t="shared" si="11"/>
        <v>120</v>
      </c>
      <c r="Y323" s="22">
        <v>4.5</v>
      </c>
      <c r="Z323" s="22">
        <v>2.7</v>
      </c>
      <c r="AA323" s="17" t="s">
        <v>46</v>
      </c>
      <c r="AB323" s="26">
        <v>10583</v>
      </c>
      <c r="AC323" s="26">
        <v>671</v>
      </c>
      <c r="AD323" s="26">
        <v>918</v>
      </c>
      <c r="AE323" s="27">
        <v>77500</v>
      </c>
      <c r="AF323" s="27">
        <v>4900</v>
      </c>
      <c r="AG323" s="27">
        <v>569000</v>
      </c>
      <c r="AH323" s="27">
        <v>70000</v>
      </c>
      <c r="AI323" s="27">
        <v>2009</v>
      </c>
      <c r="AJ323" s="17">
        <v>0</v>
      </c>
      <c r="AK323" s="34">
        <v>0</v>
      </c>
    </row>
    <row r="324" spans="1:37" ht="12.75" customHeight="1">
      <c r="A324" s="32" t="s">
        <v>402</v>
      </c>
      <c r="B324" s="33" t="s">
        <v>398</v>
      </c>
      <c r="C324" s="27">
        <v>40</v>
      </c>
      <c r="D324" s="77" t="s">
        <v>196</v>
      </c>
      <c r="E324" s="33">
        <v>0</v>
      </c>
      <c r="F324" s="33" t="s">
        <v>388</v>
      </c>
      <c r="G324" s="33" t="s">
        <v>389</v>
      </c>
      <c r="H324" s="33" t="s">
        <v>390</v>
      </c>
      <c r="I324" s="17" t="b">
        <v>0</v>
      </c>
      <c r="J324" s="17" t="s">
        <v>64</v>
      </c>
      <c r="K324" s="21" t="str">
        <f t="shared" si="10"/>
        <v>https://version2.ice-d.org/antarctica/sample/W2011-Stin-147b/</v>
      </c>
      <c r="L324" s="32" t="s">
        <v>148</v>
      </c>
      <c r="M324" s="32"/>
      <c r="N324" s="17" t="s">
        <v>39</v>
      </c>
      <c r="O324" s="17" t="s">
        <v>391</v>
      </c>
      <c r="P324" s="22">
        <v>-73.001999999999995</v>
      </c>
      <c r="Q324" s="22">
        <v>66.534999999999997</v>
      </c>
      <c r="R324" s="22"/>
      <c r="S324" s="22">
        <v>320</v>
      </c>
      <c r="T324" s="22">
        <v>200</v>
      </c>
      <c r="U324" s="23">
        <v>800</v>
      </c>
      <c r="V324" s="23" t="s">
        <v>2106</v>
      </c>
      <c r="W324" s="44" t="s">
        <v>2451</v>
      </c>
      <c r="X324" s="22">
        <f t="shared" si="11"/>
        <v>120</v>
      </c>
      <c r="Y324" s="22">
        <v>4.5</v>
      </c>
      <c r="Z324" s="22">
        <v>2.7</v>
      </c>
      <c r="AA324" s="17" t="s">
        <v>46</v>
      </c>
      <c r="AB324" s="26">
        <v>10970</v>
      </c>
      <c r="AC324" s="26">
        <v>1357</v>
      </c>
      <c r="AD324" s="26">
        <v>1656</v>
      </c>
      <c r="AE324" s="27">
        <v>77500</v>
      </c>
      <c r="AF324" s="27">
        <v>4900</v>
      </c>
      <c r="AG324" s="27">
        <v>569000</v>
      </c>
      <c r="AH324" s="27">
        <v>70000</v>
      </c>
      <c r="AI324" s="27">
        <v>2009</v>
      </c>
      <c r="AJ324" s="17">
        <v>0</v>
      </c>
      <c r="AK324" s="34">
        <v>0</v>
      </c>
    </row>
    <row r="325" spans="1:37" ht="12.75" customHeight="1">
      <c r="A325" s="32" t="s">
        <v>403</v>
      </c>
      <c r="B325" s="33" t="s">
        <v>398</v>
      </c>
      <c r="C325" s="27">
        <v>40</v>
      </c>
      <c r="D325" s="77" t="s">
        <v>196</v>
      </c>
      <c r="E325" s="33">
        <v>0</v>
      </c>
      <c r="F325" s="33" t="s">
        <v>388</v>
      </c>
      <c r="G325" s="33" t="s">
        <v>389</v>
      </c>
      <c r="H325" s="33" t="s">
        <v>390</v>
      </c>
      <c r="I325" s="17" t="b">
        <v>0</v>
      </c>
      <c r="J325" s="17" t="s">
        <v>64</v>
      </c>
      <c r="K325" s="21" t="str">
        <f t="shared" si="10"/>
        <v>https://version2.ice-d.org/antarctica/sample/W2011-Stin-147c/</v>
      </c>
      <c r="L325" s="32" t="s">
        <v>148</v>
      </c>
      <c r="M325" s="32"/>
      <c r="N325" s="17" t="s">
        <v>39</v>
      </c>
      <c r="O325" s="17" t="s">
        <v>391</v>
      </c>
      <c r="P325" s="22">
        <v>-73.001999999999995</v>
      </c>
      <c r="Q325" s="22">
        <v>66.534999999999997</v>
      </c>
      <c r="R325" s="22"/>
      <c r="S325" s="22">
        <v>320</v>
      </c>
      <c r="T325" s="22">
        <v>200</v>
      </c>
      <c r="U325" s="23">
        <v>800</v>
      </c>
      <c r="V325" s="23" t="s">
        <v>2106</v>
      </c>
      <c r="W325" s="44" t="s">
        <v>2451</v>
      </c>
      <c r="X325" s="22">
        <f t="shared" si="11"/>
        <v>120</v>
      </c>
      <c r="Y325" s="22">
        <v>4.5</v>
      </c>
      <c r="Z325" s="22">
        <v>2.7</v>
      </c>
      <c r="AA325" s="17" t="s">
        <v>46</v>
      </c>
      <c r="AB325" s="26">
        <v>5577</v>
      </c>
      <c r="AC325" s="26">
        <v>3619</v>
      </c>
      <c r="AD325" s="26">
        <v>3650</v>
      </c>
      <c r="AE325" s="27">
        <v>78500</v>
      </c>
      <c r="AF325" s="27">
        <v>4700</v>
      </c>
      <c r="AG325" s="27">
        <v>289000</v>
      </c>
      <c r="AH325" s="27">
        <v>187000</v>
      </c>
      <c r="AI325" s="27">
        <v>2009</v>
      </c>
      <c r="AJ325" s="17">
        <v>0</v>
      </c>
      <c r="AK325" s="34">
        <v>0</v>
      </c>
    </row>
    <row r="326" spans="1:37" ht="12.75" customHeight="1">
      <c r="A326" s="32" t="s">
        <v>403</v>
      </c>
      <c r="B326" s="33" t="s">
        <v>398</v>
      </c>
      <c r="C326" s="27">
        <v>40</v>
      </c>
      <c r="D326" s="77" t="s">
        <v>196</v>
      </c>
      <c r="E326" s="33">
        <v>0</v>
      </c>
      <c r="F326" s="33" t="s">
        <v>388</v>
      </c>
      <c r="G326" s="33" t="s">
        <v>389</v>
      </c>
      <c r="H326" s="33" t="s">
        <v>390</v>
      </c>
      <c r="I326" s="17" t="b">
        <v>0</v>
      </c>
      <c r="J326" s="17" t="s">
        <v>43</v>
      </c>
      <c r="K326" s="21" t="str">
        <f t="shared" si="10"/>
        <v>https://version2.ice-d.org/antarctica/sample/W2011-Stin-147c/</v>
      </c>
      <c r="L326" s="32" t="s">
        <v>148</v>
      </c>
      <c r="M326" s="32"/>
      <c r="N326" s="17" t="s">
        <v>39</v>
      </c>
      <c r="O326" s="17" t="s">
        <v>391</v>
      </c>
      <c r="P326" s="22">
        <v>-73.001999999999995</v>
      </c>
      <c r="Q326" s="22">
        <v>66.534999999999997</v>
      </c>
      <c r="R326" s="22"/>
      <c r="S326" s="22">
        <v>320</v>
      </c>
      <c r="T326" s="22">
        <v>200</v>
      </c>
      <c r="U326" s="23">
        <v>800</v>
      </c>
      <c r="V326" s="23" t="s">
        <v>2106</v>
      </c>
      <c r="W326" s="44" t="s">
        <v>2451</v>
      </c>
      <c r="X326" s="22">
        <f t="shared" si="11"/>
        <v>120</v>
      </c>
      <c r="Y326" s="22">
        <v>4.5</v>
      </c>
      <c r="Z326" s="22">
        <v>2.7</v>
      </c>
      <c r="AA326" s="17" t="s">
        <v>46</v>
      </c>
      <c r="AB326" s="26">
        <v>10725</v>
      </c>
      <c r="AC326" s="26">
        <v>644</v>
      </c>
      <c r="AD326" s="26">
        <v>904</v>
      </c>
      <c r="AE326" s="27">
        <v>78500</v>
      </c>
      <c r="AF326" s="27">
        <v>4700</v>
      </c>
      <c r="AG326" s="27">
        <v>289000</v>
      </c>
      <c r="AH326" s="27">
        <v>187000</v>
      </c>
      <c r="AI326" s="27">
        <v>2009</v>
      </c>
      <c r="AJ326" s="17">
        <v>0</v>
      </c>
      <c r="AK326" s="34">
        <v>0</v>
      </c>
    </row>
    <row r="327" spans="1:37" ht="12.75" customHeight="1">
      <c r="A327" s="32" t="s">
        <v>404</v>
      </c>
      <c r="B327" s="33" t="s">
        <v>398</v>
      </c>
      <c r="C327" s="27">
        <v>40</v>
      </c>
      <c r="D327" s="77" t="s">
        <v>196</v>
      </c>
      <c r="E327" s="33">
        <v>0</v>
      </c>
      <c r="F327" s="33" t="s">
        <v>388</v>
      </c>
      <c r="G327" s="33" t="s">
        <v>389</v>
      </c>
      <c r="H327" s="33" t="s">
        <v>390</v>
      </c>
      <c r="I327" s="17" t="b">
        <v>0</v>
      </c>
      <c r="J327" s="17" t="s">
        <v>64</v>
      </c>
      <c r="K327" s="21" t="str">
        <f t="shared" si="10"/>
        <v>https://version2.ice-d.org/antarctica/sample/W2011-Stin-148a/</v>
      </c>
      <c r="L327" s="32" t="s">
        <v>148</v>
      </c>
      <c r="M327" s="32"/>
      <c r="N327" s="17" t="s">
        <v>39</v>
      </c>
      <c r="O327" s="17" t="s">
        <v>391</v>
      </c>
      <c r="P327" s="22">
        <v>-72.999399999999994</v>
      </c>
      <c r="Q327" s="22">
        <v>66.546300000000002</v>
      </c>
      <c r="R327" s="22"/>
      <c r="S327" s="22">
        <v>240</v>
      </c>
      <c r="T327" s="22">
        <v>200</v>
      </c>
      <c r="U327" s="23">
        <v>800</v>
      </c>
      <c r="V327" s="23" t="s">
        <v>2106</v>
      </c>
      <c r="W327" s="44" t="s">
        <v>2451</v>
      </c>
      <c r="X327" s="22">
        <f t="shared" si="11"/>
        <v>40</v>
      </c>
      <c r="Y327" s="22">
        <v>4.5</v>
      </c>
      <c r="Z327" s="22">
        <v>2.7</v>
      </c>
      <c r="AA327" s="17" t="s">
        <v>46</v>
      </c>
      <c r="AB327" s="26">
        <v>14027</v>
      </c>
      <c r="AC327" s="26">
        <v>2909</v>
      </c>
      <c r="AD327" s="26">
        <v>3153</v>
      </c>
      <c r="AE327" s="27">
        <v>152900</v>
      </c>
      <c r="AF327" s="27">
        <v>6000</v>
      </c>
      <c r="AG327" s="27">
        <v>670000</v>
      </c>
      <c r="AH327" s="27">
        <v>138000</v>
      </c>
      <c r="AI327" s="27">
        <v>2009</v>
      </c>
      <c r="AJ327" s="17">
        <v>0</v>
      </c>
      <c r="AK327" s="34">
        <v>0</v>
      </c>
    </row>
    <row r="328" spans="1:37" ht="12.75" customHeight="1">
      <c r="A328" s="32" t="s">
        <v>405</v>
      </c>
      <c r="B328" s="33" t="s">
        <v>398</v>
      </c>
      <c r="C328" s="27">
        <v>40</v>
      </c>
      <c r="D328" s="77" t="s">
        <v>196</v>
      </c>
      <c r="E328" s="33">
        <v>0</v>
      </c>
      <c r="F328" s="33" t="s">
        <v>388</v>
      </c>
      <c r="G328" s="33" t="s">
        <v>389</v>
      </c>
      <c r="H328" s="33" t="s">
        <v>390</v>
      </c>
      <c r="I328" s="17" t="b">
        <v>0</v>
      </c>
      <c r="J328" s="17" t="s">
        <v>43</v>
      </c>
      <c r="K328" s="21" t="str">
        <f t="shared" si="10"/>
        <v>https://version2.ice-d.org/antarctica/sample/W2011-Stin-154a/</v>
      </c>
      <c r="L328" s="32" t="s">
        <v>148</v>
      </c>
      <c r="M328" s="32"/>
      <c r="N328" s="17" t="s">
        <v>39</v>
      </c>
      <c r="O328" s="17" t="s">
        <v>391</v>
      </c>
      <c r="P328" s="22">
        <v>-73.059700000000007</v>
      </c>
      <c r="Q328" s="22">
        <v>66.325100000000006</v>
      </c>
      <c r="R328" s="22"/>
      <c r="S328" s="22">
        <v>705</v>
      </c>
      <c r="T328" s="17">
        <v>560</v>
      </c>
      <c r="U328" s="23">
        <v>800</v>
      </c>
      <c r="V328" s="23" t="s">
        <v>2106</v>
      </c>
      <c r="W328" s="44" t="s">
        <v>2451</v>
      </c>
      <c r="X328" s="22">
        <f t="shared" si="11"/>
        <v>145</v>
      </c>
      <c r="Y328" s="22">
        <v>4.5</v>
      </c>
      <c r="Z328" s="22">
        <v>2.7</v>
      </c>
      <c r="AA328" s="17" t="s">
        <v>46</v>
      </c>
      <c r="AB328" s="26">
        <v>11992</v>
      </c>
      <c r="AC328" s="26">
        <v>501</v>
      </c>
      <c r="AD328" s="26">
        <v>869</v>
      </c>
      <c r="AE328" s="27">
        <v>112800</v>
      </c>
      <c r="AF328" s="27">
        <v>4700</v>
      </c>
      <c r="AG328" s="27">
        <v>1015000</v>
      </c>
      <c r="AH328" s="27">
        <v>362000</v>
      </c>
      <c r="AI328" s="27">
        <v>2009</v>
      </c>
      <c r="AJ328" s="17">
        <v>0</v>
      </c>
      <c r="AK328" s="34">
        <v>0</v>
      </c>
    </row>
    <row r="329" spans="1:37" ht="12.75" customHeight="1">
      <c r="A329" s="32" t="s">
        <v>405</v>
      </c>
      <c r="B329" s="33" t="s">
        <v>398</v>
      </c>
      <c r="C329" s="27">
        <v>40</v>
      </c>
      <c r="D329" s="77" t="s">
        <v>196</v>
      </c>
      <c r="E329" s="33">
        <v>0</v>
      </c>
      <c r="F329" s="33" t="s">
        <v>388</v>
      </c>
      <c r="G329" s="33" t="s">
        <v>389</v>
      </c>
      <c r="H329" s="33" t="s">
        <v>390</v>
      </c>
      <c r="I329" s="17" t="b">
        <v>0</v>
      </c>
      <c r="J329" s="17" t="s">
        <v>64</v>
      </c>
      <c r="K329" s="21" t="str">
        <f t="shared" si="10"/>
        <v>https://version2.ice-d.org/antarctica/sample/W2011-Stin-154a/</v>
      </c>
      <c r="L329" s="32" t="s">
        <v>148</v>
      </c>
      <c r="M329" s="32"/>
      <c r="N329" s="17" t="s">
        <v>39</v>
      </c>
      <c r="O329" s="17" t="s">
        <v>391</v>
      </c>
      <c r="P329" s="22">
        <v>-73.059700000000007</v>
      </c>
      <c r="Q329" s="22">
        <v>66.325100000000006</v>
      </c>
      <c r="R329" s="22"/>
      <c r="S329" s="22">
        <v>705</v>
      </c>
      <c r="T329" s="17">
        <v>560</v>
      </c>
      <c r="U329" s="23">
        <v>800</v>
      </c>
      <c r="V329" s="23" t="s">
        <v>2106</v>
      </c>
      <c r="W329" s="44" t="s">
        <v>2451</v>
      </c>
      <c r="X329" s="22">
        <f t="shared" si="11"/>
        <v>145</v>
      </c>
      <c r="Y329" s="22">
        <v>4.5</v>
      </c>
      <c r="Z329" s="22">
        <v>2.7</v>
      </c>
      <c r="AA329" s="17" t="s">
        <v>46</v>
      </c>
      <c r="AB329" s="26">
        <v>15305</v>
      </c>
      <c r="AC329" s="26">
        <v>5500</v>
      </c>
      <c r="AD329" s="26">
        <v>5657</v>
      </c>
      <c r="AE329" s="27">
        <v>112800</v>
      </c>
      <c r="AF329" s="27">
        <v>4700</v>
      </c>
      <c r="AG329" s="27">
        <v>1015000</v>
      </c>
      <c r="AH329" s="27">
        <v>362000</v>
      </c>
      <c r="AI329" s="27">
        <v>2009</v>
      </c>
      <c r="AJ329" s="17">
        <v>0</v>
      </c>
      <c r="AK329" s="34">
        <v>0</v>
      </c>
    </row>
    <row r="330" spans="1:37" ht="12.75" customHeight="1">
      <c r="A330" s="32" t="s">
        <v>406</v>
      </c>
      <c r="B330" s="33" t="s">
        <v>398</v>
      </c>
      <c r="C330" s="27">
        <v>40</v>
      </c>
      <c r="D330" s="77" t="s">
        <v>196</v>
      </c>
      <c r="E330" s="33">
        <v>0</v>
      </c>
      <c r="F330" s="33" t="s">
        <v>388</v>
      </c>
      <c r="G330" s="33" t="s">
        <v>389</v>
      </c>
      <c r="H330" s="33" t="s">
        <v>390</v>
      </c>
      <c r="I330" s="17" t="b">
        <v>0</v>
      </c>
      <c r="J330" s="17" t="s">
        <v>43</v>
      </c>
      <c r="K330" s="21" t="str">
        <f t="shared" si="10"/>
        <v>https://version2.ice-d.org/antarctica/sample/W2011-Stin-154b/</v>
      </c>
      <c r="L330" s="32" t="s">
        <v>148</v>
      </c>
      <c r="M330" s="32"/>
      <c r="N330" s="17" t="s">
        <v>39</v>
      </c>
      <c r="O330" s="17" t="s">
        <v>391</v>
      </c>
      <c r="P330" s="22">
        <v>-73.059299999999993</v>
      </c>
      <c r="Q330" s="22">
        <v>66.325500000000005</v>
      </c>
      <c r="R330" s="22"/>
      <c r="S330" s="22">
        <v>700</v>
      </c>
      <c r="T330" s="17">
        <v>560</v>
      </c>
      <c r="U330" s="23">
        <v>800</v>
      </c>
      <c r="V330" s="23" t="s">
        <v>2106</v>
      </c>
      <c r="W330" s="44" t="s">
        <v>2451</v>
      </c>
      <c r="X330" s="22">
        <f t="shared" si="11"/>
        <v>140</v>
      </c>
      <c r="Y330" s="22">
        <v>4.5</v>
      </c>
      <c r="Z330" s="22">
        <v>2.7</v>
      </c>
      <c r="AA330" s="17" t="s">
        <v>46</v>
      </c>
      <c r="AB330" s="26">
        <v>12299</v>
      </c>
      <c r="AC330" s="26">
        <v>731</v>
      </c>
      <c r="AD330" s="26">
        <v>1032</v>
      </c>
      <c r="AE330" s="27">
        <v>116400</v>
      </c>
      <c r="AF330" s="27">
        <v>6900</v>
      </c>
      <c r="AG330" s="27">
        <v>864000</v>
      </c>
      <c r="AH330" s="27">
        <v>94000</v>
      </c>
      <c r="AI330" s="27">
        <v>2009</v>
      </c>
      <c r="AJ330" s="17">
        <v>0</v>
      </c>
      <c r="AK330" s="34">
        <v>0</v>
      </c>
    </row>
    <row r="331" spans="1:37" ht="12.75" customHeight="1">
      <c r="A331" s="32" t="s">
        <v>406</v>
      </c>
      <c r="B331" s="33" t="s">
        <v>398</v>
      </c>
      <c r="C331" s="27">
        <v>40</v>
      </c>
      <c r="D331" s="77" t="s">
        <v>196</v>
      </c>
      <c r="E331" s="33">
        <v>0</v>
      </c>
      <c r="F331" s="33" t="s">
        <v>388</v>
      </c>
      <c r="G331" s="33" t="s">
        <v>389</v>
      </c>
      <c r="H331" s="33" t="s">
        <v>390</v>
      </c>
      <c r="I331" s="17" t="b">
        <v>0</v>
      </c>
      <c r="J331" s="17" t="s">
        <v>64</v>
      </c>
      <c r="K331" s="21" t="str">
        <f t="shared" si="10"/>
        <v>https://version2.ice-d.org/antarctica/sample/W2011-Stin-154b/</v>
      </c>
      <c r="L331" s="32" t="s">
        <v>148</v>
      </c>
      <c r="M331" s="32"/>
      <c r="N331" s="17" t="s">
        <v>39</v>
      </c>
      <c r="O331" s="17" t="s">
        <v>391</v>
      </c>
      <c r="P331" s="22">
        <v>-73.059299999999993</v>
      </c>
      <c r="Q331" s="22">
        <v>66.325500000000005</v>
      </c>
      <c r="R331" s="22"/>
      <c r="S331" s="22">
        <v>700</v>
      </c>
      <c r="T331" s="17">
        <v>560</v>
      </c>
      <c r="U331" s="23">
        <v>800</v>
      </c>
      <c r="V331" s="23" t="s">
        <v>2106</v>
      </c>
      <c r="W331" s="44" t="s">
        <v>2451</v>
      </c>
      <c r="X331" s="22">
        <f t="shared" si="11"/>
        <v>140</v>
      </c>
      <c r="Y331" s="22">
        <v>4.5</v>
      </c>
      <c r="Z331" s="22">
        <v>2.7</v>
      </c>
      <c r="AA331" s="17" t="s">
        <v>46</v>
      </c>
      <c r="AB331" s="26">
        <v>12919</v>
      </c>
      <c r="AC331" s="26">
        <v>1415</v>
      </c>
      <c r="AD331" s="26">
        <v>1803</v>
      </c>
      <c r="AE331" s="27">
        <v>116400</v>
      </c>
      <c r="AF331" s="27">
        <v>6900</v>
      </c>
      <c r="AG331" s="27">
        <v>864000</v>
      </c>
      <c r="AH331" s="27">
        <v>94000</v>
      </c>
      <c r="AI331" s="27">
        <v>2009</v>
      </c>
      <c r="AJ331" s="17">
        <v>0</v>
      </c>
      <c r="AK331" s="34">
        <v>0</v>
      </c>
    </row>
    <row r="332" spans="1:37" ht="12.75" customHeight="1">
      <c r="A332" s="32" t="s">
        <v>407</v>
      </c>
      <c r="B332" s="33" t="s">
        <v>398</v>
      </c>
      <c r="C332" s="27">
        <v>40</v>
      </c>
      <c r="D332" s="77" t="s">
        <v>196</v>
      </c>
      <c r="E332" s="33">
        <v>0</v>
      </c>
      <c r="F332" s="33" t="s">
        <v>388</v>
      </c>
      <c r="G332" s="33" t="s">
        <v>389</v>
      </c>
      <c r="H332" s="33" t="s">
        <v>390</v>
      </c>
      <c r="I332" s="17" t="b">
        <v>0</v>
      </c>
      <c r="J332" s="17" t="s">
        <v>64</v>
      </c>
      <c r="K332" s="21" t="str">
        <f t="shared" si="10"/>
        <v>https://version2.ice-d.org/antarctica/sample/W2011-Stin-164a/</v>
      </c>
      <c r="L332" s="32" t="s">
        <v>148</v>
      </c>
      <c r="M332" s="32"/>
      <c r="N332" s="17" t="s">
        <v>39</v>
      </c>
      <c r="O332" s="17" t="s">
        <v>391</v>
      </c>
      <c r="P332" s="22">
        <v>-73.0154</v>
      </c>
      <c r="Q332" s="22">
        <v>66.511700000000005</v>
      </c>
      <c r="R332" s="22"/>
      <c r="S332" s="22">
        <v>592</v>
      </c>
      <c r="T332" s="22">
        <v>200</v>
      </c>
      <c r="U332" s="23">
        <v>800</v>
      </c>
      <c r="V332" s="23" t="s">
        <v>2106</v>
      </c>
      <c r="W332" s="44" t="s">
        <v>2451</v>
      </c>
      <c r="X332" s="22">
        <f t="shared" si="11"/>
        <v>392</v>
      </c>
      <c r="Y332" s="22">
        <v>4.5</v>
      </c>
      <c r="Z332" s="22">
        <v>2.7</v>
      </c>
      <c r="AA332" s="17" t="s">
        <v>46</v>
      </c>
      <c r="AB332" s="26">
        <v>8658</v>
      </c>
      <c r="AC332" s="26">
        <v>2720</v>
      </c>
      <c r="AD332" s="26">
        <v>2821</v>
      </c>
      <c r="AE332" s="27">
        <v>100000</v>
      </c>
      <c r="AF332" s="27">
        <v>4500</v>
      </c>
      <c r="AG332" s="27">
        <v>585000</v>
      </c>
      <c r="AH332" s="27">
        <v>183000</v>
      </c>
      <c r="AI332" s="27">
        <v>2009</v>
      </c>
      <c r="AJ332" s="17">
        <v>0</v>
      </c>
      <c r="AK332" s="34">
        <v>0</v>
      </c>
    </row>
    <row r="333" spans="1:37" ht="12.75" customHeight="1">
      <c r="A333" s="32" t="s">
        <v>407</v>
      </c>
      <c r="B333" s="33" t="s">
        <v>398</v>
      </c>
      <c r="C333" s="27">
        <v>40</v>
      </c>
      <c r="D333" s="77" t="s">
        <v>196</v>
      </c>
      <c r="E333" s="33">
        <v>0</v>
      </c>
      <c r="F333" s="33" t="s">
        <v>388</v>
      </c>
      <c r="G333" s="33" t="s">
        <v>389</v>
      </c>
      <c r="H333" s="33" t="s">
        <v>390</v>
      </c>
      <c r="I333" s="17" t="b">
        <v>0</v>
      </c>
      <c r="J333" s="17" t="s">
        <v>43</v>
      </c>
      <c r="K333" s="21" t="str">
        <f t="shared" si="10"/>
        <v>https://version2.ice-d.org/antarctica/sample/W2011-Stin-164a/</v>
      </c>
      <c r="L333" s="32" t="s">
        <v>148</v>
      </c>
      <c r="M333" s="32"/>
      <c r="N333" s="17" t="s">
        <v>39</v>
      </c>
      <c r="O333" s="17" t="s">
        <v>391</v>
      </c>
      <c r="P333" s="22">
        <v>-73.0154</v>
      </c>
      <c r="Q333" s="22">
        <v>66.511700000000005</v>
      </c>
      <c r="R333" s="22"/>
      <c r="S333" s="22">
        <v>592</v>
      </c>
      <c r="T333" s="22">
        <v>200</v>
      </c>
      <c r="U333" s="23">
        <v>800</v>
      </c>
      <c r="V333" s="23" t="s">
        <v>2106</v>
      </c>
      <c r="W333" s="44" t="s">
        <v>2451</v>
      </c>
      <c r="X333" s="22">
        <f t="shared" si="11"/>
        <v>392</v>
      </c>
      <c r="Y333" s="22">
        <v>4.5</v>
      </c>
      <c r="Z333" s="22">
        <v>2.7</v>
      </c>
      <c r="AA333" s="17" t="s">
        <v>46</v>
      </c>
      <c r="AB333" s="26">
        <v>10510</v>
      </c>
      <c r="AC333" s="26">
        <v>474</v>
      </c>
      <c r="AD333" s="26">
        <v>782</v>
      </c>
      <c r="AE333" s="27">
        <v>100000</v>
      </c>
      <c r="AF333" s="27">
        <v>4500</v>
      </c>
      <c r="AG333" s="27">
        <v>585000</v>
      </c>
      <c r="AH333" s="27">
        <v>183000</v>
      </c>
      <c r="AI333" s="27">
        <v>2009</v>
      </c>
      <c r="AJ333" s="17">
        <v>0</v>
      </c>
      <c r="AK333" s="34">
        <v>0</v>
      </c>
    </row>
    <row r="334" spans="1:37" ht="12.75" customHeight="1">
      <c r="A334" s="32" t="s">
        <v>408</v>
      </c>
      <c r="B334" s="33" t="s">
        <v>398</v>
      </c>
      <c r="C334" s="27">
        <v>40</v>
      </c>
      <c r="D334" s="77" t="s">
        <v>196</v>
      </c>
      <c r="E334" s="33">
        <v>0</v>
      </c>
      <c r="F334" s="33" t="s">
        <v>388</v>
      </c>
      <c r="G334" s="33" t="s">
        <v>389</v>
      </c>
      <c r="H334" s="33" t="s">
        <v>390</v>
      </c>
      <c r="I334" s="17" t="b">
        <v>0</v>
      </c>
      <c r="J334" s="17" t="s">
        <v>43</v>
      </c>
      <c r="K334" s="21" t="str">
        <f t="shared" si="10"/>
        <v>https://version2.ice-d.org/antarctica/sample/W2011-Stin-164b/</v>
      </c>
      <c r="L334" s="32" t="s">
        <v>148</v>
      </c>
      <c r="M334" s="32"/>
      <c r="N334" s="17" t="s">
        <v>39</v>
      </c>
      <c r="O334" s="17" t="s">
        <v>391</v>
      </c>
      <c r="P334" s="22">
        <v>-73.0154</v>
      </c>
      <c r="Q334" s="22">
        <v>66.511700000000005</v>
      </c>
      <c r="R334" s="22"/>
      <c r="S334" s="22">
        <v>592</v>
      </c>
      <c r="T334" s="22">
        <v>200</v>
      </c>
      <c r="U334" s="23">
        <v>800</v>
      </c>
      <c r="V334" s="23" t="s">
        <v>2106</v>
      </c>
      <c r="W334" s="44" t="s">
        <v>2451</v>
      </c>
      <c r="X334" s="22">
        <f t="shared" si="11"/>
        <v>392</v>
      </c>
      <c r="Y334" s="22">
        <v>4.5</v>
      </c>
      <c r="Z334" s="22">
        <v>2.7</v>
      </c>
      <c r="AA334" s="17" t="s">
        <v>46</v>
      </c>
      <c r="AB334" s="26">
        <v>10923</v>
      </c>
      <c r="AC334" s="26">
        <v>401</v>
      </c>
      <c r="AD334" s="26">
        <v>761</v>
      </c>
      <c r="AE334" s="27">
        <v>103700</v>
      </c>
      <c r="AF334" s="27">
        <v>3800</v>
      </c>
      <c r="AG334" s="27">
        <v>782000</v>
      </c>
      <c r="AH334" s="27">
        <v>61000</v>
      </c>
      <c r="AI334" s="27">
        <v>2009</v>
      </c>
      <c r="AJ334" s="17">
        <v>0</v>
      </c>
      <c r="AK334" s="34">
        <v>0</v>
      </c>
    </row>
    <row r="335" spans="1:37" ht="12.75" customHeight="1">
      <c r="A335" s="32" t="s">
        <v>408</v>
      </c>
      <c r="B335" s="33" t="s">
        <v>398</v>
      </c>
      <c r="C335" s="27">
        <v>40</v>
      </c>
      <c r="D335" s="77" t="s">
        <v>196</v>
      </c>
      <c r="E335" s="33">
        <v>0</v>
      </c>
      <c r="F335" s="33" t="s">
        <v>388</v>
      </c>
      <c r="G335" s="33" t="s">
        <v>389</v>
      </c>
      <c r="H335" s="33" t="s">
        <v>390</v>
      </c>
      <c r="I335" s="17" t="b">
        <v>0</v>
      </c>
      <c r="J335" s="17" t="s">
        <v>64</v>
      </c>
      <c r="K335" s="21" t="str">
        <f t="shared" si="10"/>
        <v>https://version2.ice-d.org/antarctica/sample/W2011-Stin-164b/</v>
      </c>
      <c r="L335" s="32" t="s">
        <v>148</v>
      </c>
      <c r="M335" s="32"/>
      <c r="N335" s="17" t="s">
        <v>39</v>
      </c>
      <c r="O335" s="17" t="s">
        <v>391</v>
      </c>
      <c r="P335" s="22">
        <v>-73.0154</v>
      </c>
      <c r="Q335" s="22">
        <v>66.511700000000005</v>
      </c>
      <c r="R335" s="22"/>
      <c r="S335" s="22">
        <v>592</v>
      </c>
      <c r="T335" s="22">
        <v>200</v>
      </c>
      <c r="U335" s="23">
        <v>800</v>
      </c>
      <c r="V335" s="23" t="s">
        <v>2106</v>
      </c>
      <c r="W335" s="44" t="s">
        <v>2451</v>
      </c>
      <c r="X335" s="22">
        <f t="shared" si="11"/>
        <v>392</v>
      </c>
      <c r="Y335" s="22">
        <v>4.5</v>
      </c>
      <c r="Z335" s="22">
        <v>2.7</v>
      </c>
      <c r="AA335" s="17" t="s">
        <v>46</v>
      </c>
      <c r="AB335" s="26">
        <v>11646</v>
      </c>
      <c r="AC335" s="26">
        <v>914</v>
      </c>
      <c r="AD335" s="26">
        <v>1360</v>
      </c>
      <c r="AE335" s="27">
        <v>103700</v>
      </c>
      <c r="AF335" s="27">
        <v>3800</v>
      </c>
      <c r="AG335" s="27">
        <v>782000</v>
      </c>
      <c r="AH335" s="27">
        <v>61000</v>
      </c>
      <c r="AI335" s="27">
        <v>2009</v>
      </c>
      <c r="AJ335" s="17">
        <v>0</v>
      </c>
      <c r="AK335" s="34">
        <v>0</v>
      </c>
    </row>
    <row r="336" spans="1:37" ht="12.75" customHeight="1">
      <c r="A336" s="32" t="s">
        <v>409</v>
      </c>
      <c r="B336" s="33" t="s">
        <v>398</v>
      </c>
      <c r="C336" s="27">
        <v>40</v>
      </c>
      <c r="D336" s="77" t="s">
        <v>196</v>
      </c>
      <c r="E336" s="33">
        <v>0</v>
      </c>
      <c r="F336" s="33" t="s">
        <v>388</v>
      </c>
      <c r="G336" s="33" t="s">
        <v>389</v>
      </c>
      <c r="H336" s="33" t="s">
        <v>390</v>
      </c>
      <c r="I336" s="17" t="b">
        <v>0</v>
      </c>
      <c r="J336" s="17" t="s">
        <v>64</v>
      </c>
      <c r="K336" s="21" t="str">
        <f t="shared" si="10"/>
        <v>https://version2.ice-d.org/antarctica/sample/W2011-Stin-6a/</v>
      </c>
      <c r="L336" s="32" t="s">
        <v>148</v>
      </c>
      <c r="M336" s="32"/>
      <c r="N336" s="17" t="s">
        <v>39</v>
      </c>
      <c r="O336" s="17" t="s">
        <v>391</v>
      </c>
      <c r="P336" s="22">
        <v>-73.006100000000004</v>
      </c>
      <c r="Q336" s="22">
        <v>66.489900000000006</v>
      </c>
      <c r="R336" s="22"/>
      <c r="S336" s="22">
        <v>535</v>
      </c>
      <c r="T336" s="22">
        <v>440</v>
      </c>
      <c r="U336" s="23">
        <v>800</v>
      </c>
      <c r="V336" s="23" t="s">
        <v>2106</v>
      </c>
      <c r="W336" s="44" t="s">
        <v>2451</v>
      </c>
      <c r="X336" s="22">
        <f t="shared" si="11"/>
        <v>95</v>
      </c>
      <c r="Y336" s="22">
        <v>4.5</v>
      </c>
      <c r="Z336" s="22">
        <v>2.7</v>
      </c>
      <c r="AA336" s="17" t="s">
        <v>46</v>
      </c>
      <c r="AB336" s="26">
        <v>9119</v>
      </c>
      <c r="AC336" s="26">
        <v>1464</v>
      </c>
      <c r="AD336" s="26">
        <v>1662</v>
      </c>
      <c r="AE336" s="27">
        <v>85300</v>
      </c>
      <c r="AF336" s="27">
        <v>3700</v>
      </c>
      <c r="AG336" s="27">
        <v>582000</v>
      </c>
      <c r="AH336" s="27">
        <v>93000</v>
      </c>
      <c r="AI336" s="27">
        <v>2009</v>
      </c>
      <c r="AJ336" s="17">
        <v>0</v>
      </c>
      <c r="AK336" s="34">
        <v>0</v>
      </c>
    </row>
    <row r="337" spans="1:38" ht="12.75" customHeight="1">
      <c r="A337" s="32" t="s">
        <v>409</v>
      </c>
      <c r="B337" s="33" t="s">
        <v>398</v>
      </c>
      <c r="C337" s="27">
        <v>40</v>
      </c>
      <c r="D337" s="77" t="s">
        <v>196</v>
      </c>
      <c r="E337" s="33">
        <v>0</v>
      </c>
      <c r="F337" s="33" t="s">
        <v>388</v>
      </c>
      <c r="G337" s="33" t="s">
        <v>389</v>
      </c>
      <c r="H337" s="33" t="s">
        <v>390</v>
      </c>
      <c r="I337" s="17" t="b">
        <v>0</v>
      </c>
      <c r="J337" s="17" t="s">
        <v>43</v>
      </c>
      <c r="K337" s="21" t="str">
        <f t="shared" si="10"/>
        <v>https://version2.ice-d.org/antarctica/sample/W2011-Stin-6a/</v>
      </c>
      <c r="L337" s="32" t="s">
        <v>148</v>
      </c>
      <c r="M337" s="32"/>
      <c r="N337" s="17" t="s">
        <v>39</v>
      </c>
      <c r="O337" s="17" t="s">
        <v>391</v>
      </c>
      <c r="P337" s="22">
        <v>-73.006100000000004</v>
      </c>
      <c r="Q337" s="22">
        <v>66.489900000000006</v>
      </c>
      <c r="R337" s="22"/>
      <c r="S337" s="22">
        <v>535</v>
      </c>
      <c r="T337" s="22">
        <v>440</v>
      </c>
      <c r="U337" s="23">
        <v>800</v>
      </c>
      <c r="V337" s="23" t="s">
        <v>2106</v>
      </c>
      <c r="W337" s="44" t="s">
        <v>2451</v>
      </c>
      <c r="X337" s="22">
        <f t="shared" si="11"/>
        <v>95</v>
      </c>
      <c r="Y337" s="22">
        <v>4.5</v>
      </c>
      <c r="Z337" s="22">
        <v>2.7</v>
      </c>
      <c r="AA337" s="17" t="s">
        <v>46</v>
      </c>
      <c r="AB337" s="26">
        <v>9463</v>
      </c>
      <c r="AC337" s="26">
        <v>411</v>
      </c>
      <c r="AD337" s="26">
        <v>596</v>
      </c>
      <c r="AE337" s="27">
        <v>85300</v>
      </c>
      <c r="AF337" s="27">
        <v>3700</v>
      </c>
      <c r="AG337" s="27">
        <v>582000</v>
      </c>
      <c r="AH337" s="27">
        <v>93000</v>
      </c>
      <c r="AI337" s="27">
        <v>2009</v>
      </c>
      <c r="AJ337" s="17">
        <v>0</v>
      </c>
      <c r="AK337" s="34">
        <v>0</v>
      </c>
    </row>
    <row r="338" spans="1:38" ht="12.75" customHeight="1">
      <c r="A338" s="32" t="s">
        <v>410</v>
      </c>
      <c r="B338" s="33" t="s">
        <v>398</v>
      </c>
      <c r="C338" s="27">
        <v>40</v>
      </c>
      <c r="D338" s="77" t="s">
        <v>196</v>
      </c>
      <c r="E338" s="33">
        <v>0</v>
      </c>
      <c r="F338" s="33" t="s">
        <v>388</v>
      </c>
      <c r="G338" s="33" t="s">
        <v>389</v>
      </c>
      <c r="H338" s="33" t="s">
        <v>390</v>
      </c>
      <c r="I338" s="17" t="b">
        <v>0</v>
      </c>
      <c r="J338" s="17" t="s">
        <v>64</v>
      </c>
      <c r="K338" s="21" t="str">
        <f t="shared" si="10"/>
        <v>https://version2.ice-d.org/antarctica/sample/W2011-Stin-8a/</v>
      </c>
      <c r="L338" s="32" t="s">
        <v>148</v>
      </c>
      <c r="M338" s="32"/>
      <c r="N338" s="17" t="s">
        <v>39</v>
      </c>
      <c r="O338" s="17" t="s">
        <v>391</v>
      </c>
      <c r="P338" s="22">
        <v>-73.0749</v>
      </c>
      <c r="Q338" s="22">
        <v>66.288300000000007</v>
      </c>
      <c r="R338" s="22"/>
      <c r="S338" s="22">
        <v>670</v>
      </c>
      <c r="T338" s="17">
        <v>585</v>
      </c>
      <c r="U338" s="23">
        <v>800</v>
      </c>
      <c r="V338" s="23" t="s">
        <v>2106</v>
      </c>
      <c r="W338" s="44" t="s">
        <v>2451</v>
      </c>
      <c r="X338" s="22">
        <f t="shared" si="11"/>
        <v>85</v>
      </c>
      <c r="Y338" s="22">
        <v>4.5</v>
      </c>
      <c r="Z338" s="22">
        <v>2.7</v>
      </c>
      <c r="AA338" s="17" t="s">
        <v>46</v>
      </c>
      <c r="AB338" s="26">
        <v>7409</v>
      </c>
      <c r="AC338" s="26">
        <v>2401</v>
      </c>
      <c r="AD338" s="26">
        <v>2485</v>
      </c>
      <c r="AE338" s="27">
        <v>97300</v>
      </c>
      <c r="AF338" s="27">
        <v>3900</v>
      </c>
      <c r="AG338" s="27">
        <v>480000</v>
      </c>
      <c r="AH338" s="27">
        <v>155000</v>
      </c>
      <c r="AI338" s="27">
        <v>2009</v>
      </c>
      <c r="AJ338" s="17">
        <v>0</v>
      </c>
      <c r="AK338" s="34">
        <v>0</v>
      </c>
    </row>
    <row r="339" spans="1:38" ht="12.75" customHeight="1">
      <c r="A339" s="32" t="s">
        <v>410</v>
      </c>
      <c r="B339" s="33" t="s">
        <v>398</v>
      </c>
      <c r="C339" s="27">
        <v>40</v>
      </c>
      <c r="D339" s="77" t="s">
        <v>196</v>
      </c>
      <c r="E339" s="33">
        <v>0</v>
      </c>
      <c r="F339" s="33" t="s">
        <v>388</v>
      </c>
      <c r="G339" s="33" t="s">
        <v>389</v>
      </c>
      <c r="H339" s="33" t="s">
        <v>390</v>
      </c>
      <c r="I339" s="17" t="b">
        <v>0</v>
      </c>
      <c r="J339" s="17" t="s">
        <v>43</v>
      </c>
      <c r="K339" s="21" t="str">
        <f t="shared" si="10"/>
        <v>https://version2.ice-d.org/antarctica/sample/W2011-Stin-8a/</v>
      </c>
      <c r="L339" s="32" t="s">
        <v>148</v>
      </c>
      <c r="M339" s="32"/>
      <c r="N339" s="17" t="s">
        <v>39</v>
      </c>
      <c r="O339" s="17" t="s">
        <v>391</v>
      </c>
      <c r="P339" s="22">
        <v>-73.0749</v>
      </c>
      <c r="Q339" s="22">
        <v>66.288300000000007</v>
      </c>
      <c r="R339" s="22"/>
      <c r="S339" s="22">
        <v>670</v>
      </c>
      <c r="T339" s="17">
        <v>585</v>
      </c>
      <c r="U339" s="23">
        <v>800</v>
      </c>
      <c r="V339" s="23" t="s">
        <v>2106</v>
      </c>
      <c r="W339" s="44" t="s">
        <v>2451</v>
      </c>
      <c r="X339" s="22">
        <f t="shared" si="11"/>
        <v>85</v>
      </c>
      <c r="Y339" s="22">
        <v>4.5</v>
      </c>
      <c r="Z339" s="22">
        <v>2.7</v>
      </c>
      <c r="AA339" s="17" t="s">
        <v>46</v>
      </c>
      <c r="AB339" s="26">
        <v>10646</v>
      </c>
      <c r="AC339" s="26">
        <v>428</v>
      </c>
      <c r="AD339" s="26">
        <v>761</v>
      </c>
      <c r="AE339" s="27">
        <v>97300</v>
      </c>
      <c r="AF339" s="27">
        <v>3900</v>
      </c>
      <c r="AG339" s="27">
        <v>480000</v>
      </c>
      <c r="AH339" s="27">
        <v>155000</v>
      </c>
      <c r="AI339" s="27">
        <v>2009</v>
      </c>
      <c r="AJ339" s="17">
        <v>0</v>
      </c>
      <c r="AK339" s="34">
        <v>0</v>
      </c>
    </row>
    <row r="340" spans="1:38" ht="12.75" customHeight="1">
      <c r="A340" s="32" t="s">
        <v>411</v>
      </c>
      <c r="B340" s="33" t="s">
        <v>398</v>
      </c>
      <c r="C340" s="27">
        <v>40</v>
      </c>
      <c r="D340" s="77" t="s">
        <v>196</v>
      </c>
      <c r="E340" s="33">
        <v>0</v>
      </c>
      <c r="F340" s="33" t="s">
        <v>388</v>
      </c>
      <c r="G340" s="33" t="s">
        <v>389</v>
      </c>
      <c r="H340" s="33" t="s">
        <v>390</v>
      </c>
      <c r="I340" s="17" t="b">
        <v>0</v>
      </c>
      <c r="J340" s="17" t="s">
        <v>43</v>
      </c>
      <c r="K340" s="21" t="str">
        <f t="shared" si="10"/>
        <v>https://version2.ice-d.org/antarctica/sample/W2011-Stin-8b/</v>
      </c>
      <c r="L340" s="32" t="s">
        <v>148</v>
      </c>
      <c r="M340" s="32"/>
      <c r="N340" s="17" t="s">
        <v>39</v>
      </c>
      <c r="O340" s="17" t="s">
        <v>391</v>
      </c>
      <c r="P340" s="22">
        <v>-73.0749</v>
      </c>
      <c r="Q340" s="22">
        <v>66.288300000000007</v>
      </c>
      <c r="R340" s="22"/>
      <c r="S340" s="22">
        <v>670</v>
      </c>
      <c r="T340" s="17">
        <v>585</v>
      </c>
      <c r="U340" s="23">
        <v>800</v>
      </c>
      <c r="V340" s="23" t="s">
        <v>2106</v>
      </c>
      <c r="W340" s="44" t="s">
        <v>2451</v>
      </c>
      <c r="X340" s="22">
        <f t="shared" si="11"/>
        <v>85</v>
      </c>
      <c r="Y340" s="22">
        <v>4.5</v>
      </c>
      <c r="Z340" s="22">
        <v>2.7</v>
      </c>
      <c r="AA340" s="17" t="s">
        <v>58</v>
      </c>
      <c r="AB340" s="26">
        <v>10142</v>
      </c>
      <c r="AC340" s="26">
        <v>778</v>
      </c>
      <c r="AD340" s="26">
        <v>982</v>
      </c>
      <c r="AE340" s="27">
        <v>92800</v>
      </c>
      <c r="AF340" s="27">
        <v>7100</v>
      </c>
      <c r="AG340" s="28"/>
      <c r="AH340" s="28"/>
      <c r="AI340" s="27">
        <v>2009</v>
      </c>
      <c r="AJ340" s="17">
        <v>0</v>
      </c>
      <c r="AK340" s="34">
        <v>0</v>
      </c>
    </row>
    <row r="341" spans="1:38" ht="12.75" customHeight="1">
      <c r="A341" s="78" t="s">
        <v>412</v>
      </c>
      <c r="B341" s="33" t="s">
        <v>413</v>
      </c>
      <c r="C341" s="27">
        <v>41</v>
      </c>
      <c r="D341" s="77" t="s">
        <v>196</v>
      </c>
      <c r="E341" s="33">
        <v>0</v>
      </c>
      <c r="F341" s="33" t="s">
        <v>388</v>
      </c>
      <c r="G341" s="17" t="s">
        <v>414</v>
      </c>
      <c r="H341" s="33" t="s">
        <v>390</v>
      </c>
      <c r="I341" s="17" t="b">
        <v>0</v>
      </c>
      <c r="J341" s="17" t="s">
        <v>43</v>
      </c>
      <c r="K341" s="21" t="str">
        <f t="shared" si="10"/>
        <v>https://version2.ice-d.org/antarctica/sample/W2011-LM-C12a/</v>
      </c>
      <c r="L341" s="32" t="s">
        <v>148</v>
      </c>
      <c r="M341" s="32"/>
      <c r="N341" s="17" t="s">
        <v>39</v>
      </c>
      <c r="O341" s="17" t="s">
        <v>415</v>
      </c>
      <c r="P341" s="79">
        <v>-70.535600000000002</v>
      </c>
      <c r="Q341" s="79">
        <v>67.8</v>
      </c>
      <c r="R341" s="22"/>
      <c r="S341" s="79">
        <v>329</v>
      </c>
      <c r="T341" s="80">
        <v>100</v>
      </c>
      <c r="U341" s="23">
        <v>250</v>
      </c>
      <c r="V341" s="23" t="s">
        <v>2106</v>
      </c>
      <c r="W341" s="44" t="s">
        <v>2466</v>
      </c>
      <c r="X341" s="22">
        <f t="shared" si="11"/>
        <v>229</v>
      </c>
      <c r="Y341" s="22"/>
      <c r="Z341" s="22"/>
      <c r="AB341" s="81">
        <v>18393</v>
      </c>
      <c r="AC341" s="81">
        <v>1367</v>
      </c>
      <c r="AD341" s="60">
        <v>1748</v>
      </c>
      <c r="AE341" s="27"/>
      <c r="AF341" s="27"/>
      <c r="AG341" s="28"/>
      <c r="AH341" s="28"/>
      <c r="AK341" s="34">
        <v>0</v>
      </c>
    </row>
    <row r="342" spans="1:38" ht="12.75" customHeight="1">
      <c r="A342" s="78" t="s">
        <v>412</v>
      </c>
      <c r="B342" s="33" t="s">
        <v>413</v>
      </c>
      <c r="C342" s="27">
        <v>41</v>
      </c>
      <c r="D342" s="77" t="s">
        <v>196</v>
      </c>
      <c r="E342" s="33">
        <v>0</v>
      </c>
      <c r="F342" s="33" t="s">
        <v>388</v>
      </c>
      <c r="G342" s="17" t="s">
        <v>414</v>
      </c>
      <c r="H342" s="33" t="s">
        <v>390</v>
      </c>
      <c r="I342" s="17" t="b">
        <v>0</v>
      </c>
      <c r="J342" s="17" t="s">
        <v>64</v>
      </c>
      <c r="K342" s="21" t="str">
        <f t="shared" si="10"/>
        <v>https://version2.ice-d.org/antarctica/sample/W2011-LM-C12a/</v>
      </c>
      <c r="L342" s="32" t="s">
        <v>148</v>
      </c>
      <c r="M342" s="32"/>
      <c r="N342" s="17" t="s">
        <v>39</v>
      </c>
      <c r="O342" s="17" t="s">
        <v>416</v>
      </c>
      <c r="P342" s="79">
        <v>-70.535600000000002</v>
      </c>
      <c r="Q342" s="79">
        <v>67.8</v>
      </c>
      <c r="R342" s="22"/>
      <c r="S342" s="79">
        <v>329</v>
      </c>
      <c r="T342" s="80">
        <v>100</v>
      </c>
      <c r="U342" s="23">
        <v>250</v>
      </c>
      <c r="V342" s="23" t="s">
        <v>2106</v>
      </c>
      <c r="W342" s="44" t="s">
        <v>2452</v>
      </c>
      <c r="X342" s="22">
        <f t="shared" si="11"/>
        <v>229</v>
      </c>
      <c r="Y342" s="22"/>
      <c r="Z342" s="22"/>
      <c r="AB342" s="81">
        <v>20970</v>
      </c>
      <c r="AC342" s="81">
        <v>1862</v>
      </c>
      <c r="AD342" s="60">
        <v>2605</v>
      </c>
      <c r="AE342" s="27"/>
      <c r="AF342" s="27"/>
      <c r="AG342" s="28"/>
      <c r="AH342" s="28"/>
      <c r="AK342" s="34">
        <v>0</v>
      </c>
    </row>
    <row r="343" spans="1:38" ht="12.75" customHeight="1">
      <c r="A343" s="78" t="s">
        <v>417</v>
      </c>
      <c r="B343" s="33" t="s">
        <v>413</v>
      </c>
      <c r="C343" s="27">
        <v>41</v>
      </c>
      <c r="D343" s="77" t="s">
        <v>196</v>
      </c>
      <c r="E343" s="33">
        <v>0</v>
      </c>
      <c r="F343" s="33" t="s">
        <v>388</v>
      </c>
      <c r="G343" s="17" t="s">
        <v>414</v>
      </c>
      <c r="H343" s="33" t="s">
        <v>390</v>
      </c>
      <c r="I343" s="17" t="b">
        <v>0</v>
      </c>
      <c r="J343" s="17" t="s">
        <v>43</v>
      </c>
      <c r="K343" s="21" t="str">
        <f t="shared" si="10"/>
        <v>https://version2.ice-d.org/antarctica/sample/W2011-LM-C8b/</v>
      </c>
      <c r="L343" s="32" t="s">
        <v>148</v>
      </c>
      <c r="M343" s="32"/>
      <c r="N343" s="17" t="s">
        <v>39</v>
      </c>
      <c r="O343" s="17" t="s">
        <v>418</v>
      </c>
      <c r="P343" s="79">
        <v>-70.546400000000006</v>
      </c>
      <c r="Q343" s="79">
        <v>67.961399999999998</v>
      </c>
      <c r="R343" s="22"/>
      <c r="S343" s="79">
        <v>242</v>
      </c>
      <c r="T343" s="80">
        <v>100</v>
      </c>
      <c r="U343" s="23">
        <v>250</v>
      </c>
      <c r="V343" s="23" t="s">
        <v>2106</v>
      </c>
      <c r="W343" s="44" t="s">
        <v>2452</v>
      </c>
      <c r="X343" s="22">
        <f t="shared" si="11"/>
        <v>142</v>
      </c>
      <c r="Y343" s="22"/>
      <c r="Z343" s="22"/>
      <c r="AB343" s="81">
        <v>16353</v>
      </c>
      <c r="AC343" s="81">
        <v>848</v>
      </c>
      <c r="AD343" s="60">
        <v>1287</v>
      </c>
      <c r="AE343" s="27"/>
      <c r="AF343" s="27"/>
      <c r="AG343" s="28"/>
      <c r="AH343" s="28"/>
      <c r="AK343" s="34">
        <v>0</v>
      </c>
    </row>
    <row r="344" spans="1:38" ht="12.75" customHeight="1">
      <c r="A344" s="78" t="s">
        <v>417</v>
      </c>
      <c r="B344" s="33" t="s">
        <v>413</v>
      </c>
      <c r="C344" s="27">
        <v>41</v>
      </c>
      <c r="D344" s="77" t="s">
        <v>196</v>
      </c>
      <c r="E344" s="33">
        <v>0</v>
      </c>
      <c r="F344" s="33" t="s">
        <v>388</v>
      </c>
      <c r="G344" s="17" t="s">
        <v>414</v>
      </c>
      <c r="H344" s="33" t="s">
        <v>390</v>
      </c>
      <c r="I344" s="17" t="b">
        <v>0</v>
      </c>
      <c r="J344" s="17" t="s">
        <v>64</v>
      </c>
      <c r="K344" s="21" t="str">
        <f t="shared" si="10"/>
        <v>https://version2.ice-d.org/antarctica/sample/W2011-LM-C8b/</v>
      </c>
      <c r="L344" s="32" t="s">
        <v>148</v>
      </c>
      <c r="M344" s="32"/>
      <c r="N344" s="17" t="s">
        <v>39</v>
      </c>
      <c r="O344" s="17" t="s">
        <v>419</v>
      </c>
      <c r="P344" s="79">
        <v>-70.546400000000006</v>
      </c>
      <c r="Q344" s="79">
        <v>67.961399999999998</v>
      </c>
      <c r="R344" s="22"/>
      <c r="S344" s="79">
        <v>242</v>
      </c>
      <c r="T344" s="80">
        <v>100</v>
      </c>
      <c r="U344" s="23">
        <v>250</v>
      </c>
      <c r="V344" s="23" t="s">
        <v>2106</v>
      </c>
      <c r="W344" s="44" t="s">
        <v>2452</v>
      </c>
      <c r="X344" s="22">
        <f t="shared" si="11"/>
        <v>142</v>
      </c>
      <c r="Y344" s="22"/>
      <c r="Z344" s="22"/>
      <c r="AB344" s="81">
        <v>14952</v>
      </c>
      <c r="AC344" s="81">
        <v>2311</v>
      </c>
      <c r="AD344" s="60">
        <v>2649</v>
      </c>
      <c r="AE344" s="27"/>
      <c r="AF344" s="27"/>
      <c r="AG344" s="28"/>
      <c r="AH344" s="28"/>
      <c r="AK344" s="34">
        <v>0</v>
      </c>
    </row>
    <row r="345" spans="1:38" ht="12.75" customHeight="1">
      <c r="A345" s="78" t="s">
        <v>420</v>
      </c>
      <c r="B345" s="33" t="s">
        <v>413</v>
      </c>
      <c r="C345" s="27">
        <v>41</v>
      </c>
      <c r="D345" s="77" t="s">
        <v>196</v>
      </c>
      <c r="E345" s="33">
        <v>0</v>
      </c>
      <c r="F345" s="33" t="s">
        <v>388</v>
      </c>
      <c r="G345" s="17" t="s">
        <v>414</v>
      </c>
      <c r="H345" s="33" t="s">
        <v>390</v>
      </c>
      <c r="I345" s="17" t="b">
        <v>0</v>
      </c>
      <c r="J345" s="17" t="s">
        <v>43</v>
      </c>
      <c r="K345" s="21" t="str">
        <f t="shared" si="10"/>
        <v>https://version2.ice-d.org/antarctica/sample/W2011-LM-C3/</v>
      </c>
      <c r="L345" s="32" t="s">
        <v>148</v>
      </c>
      <c r="M345" s="32"/>
      <c r="N345" s="17" t="s">
        <v>39</v>
      </c>
      <c r="O345" s="17" t="s">
        <v>421</v>
      </c>
      <c r="P345" s="79">
        <v>-70.516599999999997</v>
      </c>
      <c r="Q345" s="79">
        <v>68.004400000000004</v>
      </c>
      <c r="R345" s="22"/>
      <c r="S345" s="79">
        <v>156</v>
      </c>
      <c r="T345" s="80">
        <v>100</v>
      </c>
      <c r="U345" s="23">
        <v>250</v>
      </c>
      <c r="V345" s="23" t="s">
        <v>2106</v>
      </c>
      <c r="W345" s="44" t="s">
        <v>2452</v>
      </c>
      <c r="X345" s="22">
        <f t="shared" si="11"/>
        <v>56</v>
      </c>
      <c r="Y345" s="22"/>
      <c r="Z345" s="22"/>
      <c r="AB345" s="81">
        <v>15190</v>
      </c>
      <c r="AC345" s="81">
        <v>874</v>
      </c>
      <c r="AD345" s="60">
        <v>1254</v>
      </c>
      <c r="AE345" s="27"/>
      <c r="AF345" s="27"/>
      <c r="AG345" s="28"/>
      <c r="AH345" s="28"/>
      <c r="AK345" s="34">
        <v>0</v>
      </c>
    </row>
    <row r="346" spans="1:38" ht="12.75" customHeight="1">
      <c r="A346" s="78" t="s">
        <v>420</v>
      </c>
      <c r="B346" s="33" t="s">
        <v>413</v>
      </c>
      <c r="C346" s="27">
        <v>41</v>
      </c>
      <c r="D346" s="77" t="s">
        <v>196</v>
      </c>
      <c r="E346" s="33">
        <v>0</v>
      </c>
      <c r="F346" s="33" t="s">
        <v>388</v>
      </c>
      <c r="G346" s="17" t="s">
        <v>414</v>
      </c>
      <c r="H346" s="33" t="s">
        <v>390</v>
      </c>
      <c r="I346" s="17" t="b">
        <v>0</v>
      </c>
      <c r="J346" s="17" t="s">
        <v>64</v>
      </c>
      <c r="K346" s="21" t="str">
        <f t="shared" si="10"/>
        <v>https://version2.ice-d.org/antarctica/sample/W2011-LM-C3/</v>
      </c>
      <c r="L346" s="32" t="s">
        <v>148</v>
      </c>
      <c r="M346" s="32"/>
      <c r="N346" s="17" t="s">
        <v>39</v>
      </c>
      <c r="O346" s="17" t="s">
        <v>422</v>
      </c>
      <c r="P346" s="79">
        <v>-70.516599999999997</v>
      </c>
      <c r="Q346" s="79">
        <v>68.004400000000004</v>
      </c>
      <c r="R346" s="22"/>
      <c r="S346" s="79">
        <v>156</v>
      </c>
      <c r="T346" s="80">
        <v>100</v>
      </c>
      <c r="U346" s="23">
        <v>250</v>
      </c>
      <c r="V346" s="23" t="s">
        <v>2106</v>
      </c>
      <c r="W346" s="44" t="s">
        <v>2452</v>
      </c>
      <c r="X346" s="22">
        <f t="shared" si="11"/>
        <v>56</v>
      </c>
      <c r="Y346" s="22"/>
      <c r="Z346" s="22"/>
      <c r="AB346" s="81">
        <v>14014</v>
      </c>
      <c r="AC346" s="81">
        <v>1667</v>
      </c>
      <c r="AD346" s="60">
        <v>2062</v>
      </c>
      <c r="AE346" s="27"/>
      <c r="AF346" s="27"/>
      <c r="AG346" s="28"/>
      <c r="AH346" s="28"/>
      <c r="AK346" s="34">
        <v>0</v>
      </c>
    </row>
    <row r="347" spans="1:38" ht="12.75" customHeight="1">
      <c r="A347" s="78" t="s">
        <v>423</v>
      </c>
      <c r="B347" s="33" t="s">
        <v>413</v>
      </c>
      <c r="C347" s="27">
        <v>41</v>
      </c>
      <c r="D347" s="77" t="s">
        <v>196</v>
      </c>
      <c r="E347" s="33">
        <v>0</v>
      </c>
      <c r="F347" s="33" t="s">
        <v>388</v>
      </c>
      <c r="G347" s="17" t="s">
        <v>414</v>
      </c>
      <c r="H347" s="33" t="s">
        <v>390</v>
      </c>
      <c r="I347" s="17" t="b">
        <v>0</v>
      </c>
      <c r="J347" s="17" t="s">
        <v>43</v>
      </c>
      <c r="K347" s="21" t="str">
        <f t="shared" si="10"/>
        <v>https://version2.ice-d.org/antarctica/sample/W2011-LM-C14b/</v>
      </c>
      <c r="L347" s="32" t="s">
        <v>148</v>
      </c>
      <c r="M347" s="32"/>
      <c r="N347" s="17" t="s">
        <v>39</v>
      </c>
      <c r="O347" s="17" t="s">
        <v>424</v>
      </c>
      <c r="P347" s="79">
        <v>-70.525999999999996</v>
      </c>
      <c r="Q347" s="79">
        <v>67.867599999999996</v>
      </c>
      <c r="R347" s="22"/>
      <c r="S347" s="79">
        <v>211</v>
      </c>
      <c r="T347" s="80">
        <v>100</v>
      </c>
      <c r="U347" s="23">
        <v>250</v>
      </c>
      <c r="V347" s="23" t="s">
        <v>2106</v>
      </c>
      <c r="W347" s="44" t="s">
        <v>2452</v>
      </c>
      <c r="X347" s="22">
        <f t="shared" si="11"/>
        <v>111</v>
      </c>
      <c r="Y347" s="22"/>
      <c r="Z347" s="22"/>
      <c r="AB347" s="81">
        <v>12452</v>
      </c>
      <c r="AC347" s="81">
        <v>963</v>
      </c>
      <c r="AD347" s="60">
        <v>1213</v>
      </c>
      <c r="AE347" s="27"/>
      <c r="AF347" s="27"/>
      <c r="AG347" s="28"/>
      <c r="AH347" s="28"/>
      <c r="AK347" s="34">
        <v>0</v>
      </c>
    </row>
    <row r="348" spans="1:38" ht="12.75" customHeight="1">
      <c r="A348" s="78" t="s">
        <v>423</v>
      </c>
      <c r="B348" s="33" t="s">
        <v>413</v>
      </c>
      <c r="C348" s="27">
        <v>41</v>
      </c>
      <c r="D348" s="77" t="s">
        <v>196</v>
      </c>
      <c r="E348" s="33">
        <v>0</v>
      </c>
      <c r="F348" s="33" t="s">
        <v>388</v>
      </c>
      <c r="G348" s="17" t="s">
        <v>414</v>
      </c>
      <c r="H348" s="33" t="s">
        <v>390</v>
      </c>
      <c r="I348" s="17" t="b">
        <v>0</v>
      </c>
      <c r="J348" s="17" t="s">
        <v>64</v>
      </c>
      <c r="K348" s="21" t="str">
        <f t="shared" si="10"/>
        <v>https://version2.ice-d.org/antarctica/sample/W2011-LM-C14b/</v>
      </c>
      <c r="L348" s="32" t="s">
        <v>148</v>
      </c>
      <c r="M348" s="32"/>
      <c r="N348" s="17" t="s">
        <v>39</v>
      </c>
      <c r="O348" s="17" t="s">
        <v>425</v>
      </c>
      <c r="P348" s="79">
        <v>-70.525999999999996</v>
      </c>
      <c r="Q348" s="79">
        <v>67.867599999999996</v>
      </c>
      <c r="R348" s="22"/>
      <c r="S348" s="79">
        <v>211</v>
      </c>
      <c r="T348" s="80">
        <v>100</v>
      </c>
      <c r="U348" s="23">
        <v>250</v>
      </c>
      <c r="V348" s="23" t="s">
        <v>2106</v>
      </c>
      <c r="W348" s="44" t="s">
        <v>2452</v>
      </c>
      <c r="X348" s="22">
        <f t="shared" si="11"/>
        <v>111</v>
      </c>
      <c r="Y348" s="22"/>
      <c r="Z348" s="22"/>
      <c r="AB348" s="81">
        <v>12094</v>
      </c>
      <c r="AC348" s="81">
        <v>1467</v>
      </c>
      <c r="AD348" s="60">
        <v>1802</v>
      </c>
      <c r="AE348" s="27"/>
      <c r="AF348" s="27"/>
      <c r="AG348" s="28"/>
      <c r="AH348" s="28"/>
      <c r="AK348" s="34">
        <v>0</v>
      </c>
    </row>
    <row r="349" spans="1:38" ht="15.75" customHeight="1">
      <c r="A349" s="82" t="s">
        <v>426</v>
      </c>
      <c r="B349" s="19" t="s">
        <v>427</v>
      </c>
      <c r="C349" s="17">
        <v>42</v>
      </c>
      <c r="D349" s="77" t="s">
        <v>196</v>
      </c>
      <c r="E349" s="19">
        <v>0</v>
      </c>
      <c r="F349" s="33" t="s">
        <v>261</v>
      </c>
      <c r="G349" s="33" t="s">
        <v>428</v>
      </c>
      <c r="H349" s="33" t="s">
        <v>263</v>
      </c>
      <c r="I349" s="17" t="b">
        <v>0</v>
      </c>
      <c r="K349" s="21" t="str">
        <f t="shared" si="10"/>
        <v>https://version2.ice-d.org/antarctica/sample/R2020-IEI013/</v>
      </c>
      <c r="L349" s="82" t="s">
        <v>112</v>
      </c>
      <c r="M349" s="83" t="s">
        <v>2405</v>
      </c>
      <c r="O349" s="17" t="s">
        <v>429</v>
      </c>
      <c r="P349" s="22">
        <v>-74.8874</v>
      </c>
      <c r="Q349" s="22">
        <v>163.70419999999999</v>
      </c>
      <c r="R349" s="22"/>
      <c r="S349" s="22">
        <v>36.6</v>
      </c>
      <c r="T349" s="22">
        <v>0</v>
      </c>
      <c r="U349" s="23">
        <v>300</v>
      </c>
      <c r="V349" s="84" t="s">
        <v>2308</v>
      </c>
      <c r="W349" s="44" t="s">
        <v>2453</v>
      </c>
      <c r="X349" s="22">
        <f t="shared" si="11"/>
        <v>36.6</v>
      </c>
      <c r="Y349" s="22">
        <v>6.5</v>
      </c>
      <c r="Z349" s="22">
        <v>2.7</v>
      </c>
      <c r="AA349" s="17" t="s">
        <v>73</v>
      </c>
      <c r="AB349" s="26">
        <v>15339</v>
      </c>
      <c r="AC349" s="26">
        <v>3440</v>
      </c>
      <c r="AD349" s="26">
        <v>3558</v>
      </c>
      <c r="AE349" s="27">
        <v>82940</v>
      </c>
      <c r="AF349" s="27">
        <v>18530</v>
      </c>
      <c r="AG349" s="28"/>
      <c r="AH349" s="28"/>
      <c r="AI349" s="17">
        <v>2018</v>
      </c>
      <c r="AJ349" s="17">
        <v>1</v>
      </c>
      <c r="AK349" s="17">
        <v>1</v>
      </c>
      <c r="AL349" s="17" t="s">
        <v>430</v>
      </c>
    </row>
    <row r="350" spans="1:38" ht="15.75" customHeight="1">
      <c r="A350" s="82" t="s">
        <v>431</v>
      </c>
      <c r="B350" s="19" t="s">
        <v>427</v>
      </c>
      <c r="C350" s="17">
        <v>42</v>
      </c>
      <c r="D350" s="77" t="s">
        <v>196</v>
      </c>
      <c r="E350" s="19">
        <v>0</v>
      </c>
      <c r="F350" s="33" t="s">
        <v>261</v>
      </c>
      <c r="G350" s="33" t="s">
        <v>428</v>
      </c>
      <c r="H350" s="33" t="s">
        <v>263</v>
      </c>
      <c r="I350" s="17" t="b">
        <v>0</v>
      </c>
      <c r="K350" s="21" t="str">
        <f t="shared" si="10"/>
        <v>https://version2.ice-d.org/antarctica/sample/R2020-IEI017/</v>
      </c>
      <c r="L350" s="82" t="s">
        <v>112</v>
      </c>
      <c r="M350" s="82"/>
      <c r="O350" s="17" t="s">
        <v>429</v>
      </c>
      <c r="P350" s="22">
        <v>-74.882589999999993</v>
      </c>
      <c r="Q350" s="22">
        <v>163.69450000000001</v>
      </c>
      <c r="R350" s="22"/>
      <c r="S350" s="22">
        <v>42.7</v>
      </c>
      <c r="T350" s="22">
        <v>0</v>
      </c>
      <c r="U350" s="23">
        <v>300</v>
      </c>
      <c r="V350" s="84" t="s">
        <v>2309</v>
      </c>
      <c r="W350" s="44" t="s">
        <v>2453</v>
      </c>
      <c r="X350" s="22">
        <f t="shared" si="11"/>
        <v>42.7</v>
      </c>
      <c r="Y350" s="22">
        <v>8.5</v>
      </c>
      <c r="Z350" s="22">
        <v>2.7</v>
      </c>
      <c r="AA350" s="17" t="s">
        <v>73</v>
      </c>
      <c r="AB350" s="26">
        <v>12674</v>
      </c>
      <c r="AC350" s="26">
        <v>964</v>
      </c>
      <c r="AD350" s="26">
        <v>1221</v>
      </c>
      <c r="AE350" s="27">
        <v>67940</v>
      </c>
      <c r="AF350" s="27">
        <v>5150</v>
      </c>
      <c r="AG350" s="28"/>
      <c r="AH350" s="28"/>
      <c r="AI350" s="17">
        <v>2018</v>
      </c>
      <c r="AJ350" s="17">
        <v>1</v>
      </c>
      <c r="AK350" s="17">
        <v>1</v>
      </c>
      <c r="AL350" s="17" t="s">
        <v>430</v>
      </c>
    </row>
    <row r="351" spans="1:38" ht="15.75" customHeight="1">
      <c r="A351" s="82" t="s">
        <v>432</v>
      </c>
      <c r="B351" s="19" t="s">
        <v>427</v>
      </c>
      <c r="C351" s="17">
        <v>42</v>
      </c>
      <c r="D351" s="77" t="s">
        <v>196</v>
      </c>
      <c r="E351" s="19">
        <v>0</v>
      </c>
      <c r="F351" s="33" t="s">
        <v>261</v>
      </c>
      <c r="G351" s="33" t="s">
        <v>428</v>
      </c>
      <c r="H351" s="33" t="s">
        <v>263</v>
      </c>
      <c r="I351" s="17" t="b">
        <v>0</v>
      </c>
      <c r="K351" s="21" t="str">
        <f t="shared" si="10"/>
        <v>https://version2.ice-d.org/antarctica/sample/R2020-IEI022/</v>
      </c>
      <c r="L351" s="82" t="s">
        <v>112</v>
      </c>
      <c r="M351" s="82"/>
      <c r="O351" s="17" t="s">
        <v>429</v>
      </c>
      <c r="P351" s="22">
        <v>-74.882859999999994</v>
      </c>
      <c r="Q351" s="22">
        <v>163.69116</v>
      </c>
      <c r="R351" s="22"/>
      <c r="S351" s="22">
        <v>47.9</v>
      </c>
      <c r="T351" s="22">
        <v>0</v>
      </c>
      <c r="U351" s="23">
        <v>300</v>
      </c>
      <c r="V351" s="84" t="s">
        <v>2310</v>
      </c>
      <c r="W351" s="44" t="s">
        <v>2453</v>
      </c>
      <c r="X351" s="22">
        <f t="shared" si="11"/>
        <v>47.9</v>
      </c>
      <c r="Y351" s="22">
        <v>7.5</v>
      </c>
      <c r="Z351" s="22">
        <v>2.7</v>
      </c>
      <c r="AA351" s="17" t="s">
        <v>73</v>
      </c>
      <c r="AB351" s="26">
        <v>18357</v>
      </c>
      <c r="AC351" s="26">
        <v>975</v>
      </c>
      <c r="AD351" s="26">
        <v>1461</v>
      </c>
      <c r="AE351" s="27">
        <v>99440</v>
      </c>
      <c r="AF351" s="27">
        <v>5260</v>
      </c>
      <c r="AG351" s="28"/>
      <c r="AH351" s="28"/>
      <c r="AI351" s="17">
        <v>2018</v>
      </c>
      <c r="AJ351" s="17">
        <v>1</v>
      </c>
      <c r="AK351" s="17">
        <v>1</v>
      </c>
      <c r="AL351" s="17" t="s">
        <v>430</v>
      </c>
    </row>
    <row r="352" spans="1:38" ht="12.75" customHeight="1">
      <c r="A352" s="82" t="s">
        <v>433</v>
      </c>
      <c r="B352" s="19" t="s">
        <v>427</v>
      </c>
      <c r="C352" s="17">
        <v>42</v>
      </c>
      <c r="D352" s="77" t="s">
        <v>196</v>
      </c>
      <c r="E352" s="19">
        <v>0</v>
      </c>
      <c r="F352" s="33" t="s">
        <v>261</v>
      </c>
      <c r="G352" s="33" t="s">
        <v>428</v>
      </c>
      <c r="H352" s="33" t="s">
        <v>263</v>
      </c>
      <c r="I352" s="17" t="b">
        <v>0</v>
      </c>
      <c r="K352" s="21" t="str">
        <f t="shared" si="10"/>
        <v>https://version2.ice-d.org/antarctica/sample/R2020-IEI056/</v>
      </c>
      <c r="L352" s="82" t="s">
        <v>112</v>
      </c>
      <c r="M352" s="82"/>
      <c r="O352" s="17" t="s">
        <v>429</v>
      </c>
      <c r="P352" s="22">
        <v>-74.873649999999998</v>
      </c>
      <c r="Q352" s="22">
        <v>163.65665000000001</v>
      </c>
      <c r="R352" s="22"/>
      <c r="S352" s="22">
        <v>243.8</v>
      </c>
      <c r="T352" s="22">
        <v>0</v>
      </c>
      <c r="U352" s="23">
        <v>300</v>
      </c>
      <c r="V352" s="84" t="s">
        <v>2311</v>
      </c>
      <c r="W352" s="44" t="s">
        <v>2453</v>
      </c>
      <c r="X352" s="22">
        <f t="shared" si="11"/>
        <v>243.8</v>
      </c>
      <c r="Y352" s="22">
        <v>8.6999999999999993</v>
      </c>
      <c r="Z352" s="22">
        <v>2.7</v>
      </c>
      <c r="AA352" s="17" t="s">
        <v>73</v>
      </c>
      <c r="AB352" s="26">
        <v>12666</v>
      </c>
      <c r="AC352" s="26">
        <v>879</v>
      </c>
      <c r="AD352" s="26">
        <v>1156</v>
      </c>
      <c r="AE352" s="27">
        <v>82940</v>
      </c>
      <c r="AF352" s="27">
        <v>5740</v>
      </c>
      <c r="AG352" s="28"/>
      <c r="AH352" s="28"/>
      <c r="AI352" s="17">
        <v>2018</v>
      </c>
      <c r="AJ352" s="17">
        <v>1</v>
      </c>
      <c r="AK352" s="17">
        <v>1</v>
      </c>
      <c r="AL352" s="17" t="s">
        <v>430</v>
      </c>
    </row>
    <row r="353" spans="1:37" ht="12.75" customHeight="1">
      <c r="A353" s="82" t="s">
        <v>434</v>
      </c>
      <c r="B353" s="19" t="s">
        <v>427</v>
      </c>
      <c r="C353" s="17">
        <v>42</v>
      </c>
      <c r="D353" s="77" t="s">
        <v>196</v>
      </c>
      <c r="E353" s="19">
        <v>0</v>
      </c>
      <c r="F353" s="33" t="s">
        <v>261</v>
      </c>
      <c r="G353" s="33" t="s">
        <v>428</v>
      </c>
      <c r="H353" s="33" t="s">
        <v>263</v>
      </c>
      <c r="I353" s="17" t="b">
        <v>0</v>
      </c>
      <c r="J353" s="17" t="s">
        <v>43</v>
      </c>
      <c r="K353" s="21" t="str">
        <f t="shared" si="10"/>
        <v>https://version2.ice-d.org/antarctica/sample/R2020-IEI009/</v>
      </c>
      <c r="L353" s="82" t="s">
        <v>112</v>
      </c>
      <c r="M353" s="82"/>
      <c r="O353" s="17" t="s">
        <v>429</v>
      </c>
      <c r="P353" s="22">
        <v>-74.887299999999996</v>
      </c>
      <c r="Q353" s="22">
        <v>163.70580000000001</v>
      </c>
      <c r="R353" s="22"/>
      <c r="S353" s="22">
        <v>36.9</v>
      </c>
      <c r="T353" s="22">
        <v>0</v>
      </c>
      <c r="U353" s="23">
        <v>300</v>
      </c>
      <c r="V353" s="84" t="s">
        <v>2312</v>
      </c>
      <c r="W353" s="44" t="s">
        <v>2453</v>
      </c>
      <c r="X353" s="22">
        <f t="shared" si="11"/>
        <v>36.9</v>
      </c>
      <c r="Y353" s="22">
        <v>6</v>
      </c>
      <c r="Z353" s="22">
        <v>2.7</v>
      </c>
      <c r="AA353" s="17" t="s">
        <v>73</v>
      </c>
      <c r="AB353" s="26">
        <v>6657</v>
      </c>
      <c r="AC353" s="26">
        <v>720</v>
      </c>
      <c r="AD353" s="26">
        <v>821</v>
      </c>
      <c r="AE353" s="27">
        <v>36200</v>
      </c>
      <c r="AF353" s="27">
        <v>3910</v>
      </c>
      <c r="AG353" s="27">
        <v>319820</v>
      </c>
      <c r="AH353" s="27">
        <v>42870</v>
      </c>
      <c r="AI353" s="17">
        <v>2018</v>
      </c>
      <c r="AJ353" s="17">
        <v>1</v>
      </c>
      <c r="AK353" s="17">
        <v>0</v>
      </c>
    </row>
    <row r="354" spans="1:37" ht="15.75" customHeight="1">
      <c r="A354" s="82" t="s">
        <v>434</v>
      </c>
      <c r="B354" s="19" t="s">
        <v>427</v>
      </c>
      <c r="C354" s="17">
        <v>42</v>
      </c>
      <c r="D354" s="77" t="s">
        <v>196</v>
      </c>
      <c r="E354" s="19">
        <v>0</v>
      </c>
      <c r="F354" s="33" t="s">
        <v>261</v>
      </c>
      <c r="G354" s="33" t="s">
        <v>428</v>
      </c>
      <c r="H354" s="33" t="s">
        <v>263</v>
      </c>
      <c r="I354" s="17" t="b">
        <v>0</v>
      </c>
      <c r="J354" s="17" t="s">
        <v>64</v>
      </c>
      <c r="K354" s="21" t="str">
        <f t="shared" si="10"/>
        <v>https://version2.ice-d.org/antarctica/sample/R2020-IEI009/</v>
      </c>
      <c r="L354" s="82" t="s">
        <v>112</v>
      </c>
      <c r="M354" s="82"/>
      <c r="O354" s="17" t="s">
        <v>429</v>
      </c>
      <c r="P354" s="22">
        <v>-74.887299999999996</v>
      </c>
      <c r="Q354" s="22">
        <v>163.70580000000001</v>
      </c>
      <c r="R354" s="22"/>
      <c r="S354" s="22">
        <v>36.9</v>
      </c>
      <c r="T354" s="22">
        <v>0</v>
      </c>
      <c r="U354" s="23">
        <v>300</v>
      </c>
      <c r="V354" s="84" t="s">
        <v>2313</v>
      </c>
      <c r="W354" s="44" t="s">
        <v>2453</v>
      </c>
      <c r="X354" s="22">
        <f t="shared" si="11"/>
        <v>36.9</v>
      </c>
      <c r="Y354" s="22">
        <v>6</v>
      </c>
      <c r="Z354" s="22">
        <v>2.7</v>
      </c>
      <c r="AA354" s="17" t="s">
        <v>73</v>
      </c>
      <c r="AB354" s="26">
        <v>8193</v>
      </c>
      <c r="AC354" s="26">
        <v>1103</v>
      </c>
      <c r="AD354" s="26">
        <v>1310</v>
      </c>
      <c r="AE354" s="27">
        <v>36200</v>
      </c>
      <c r="AF354" s="27">
        <v>3910</v>
      </c>
      <c r="AG354" s="27">
        <v>319820</v>
      </c>
      <c r="AH354" s="27">
        <v>42870</v>
      </c>
      <c r="AI354" s="17">
        <v>2018</v>
      </c>
      <c r="AJ354" s="17">
        <v>1</v>
      </c>
      <c r="AK354" s="17">
        <v>0</v>
      </c>
    </row>
    <row r="355" spans="1:37" ht="15.75" customHeight="1">
      <c r="A355" s="82" t="s">
        <v>435</v>
      </c>
      <c r="B355" s="19" t="s">
        <v>427</v>
      </c>
      <c r="C355" s="17">
        <v>42</v>
      </c>
      <c r="D355" s="77" t="s">
        <v>196</v>
      </c>
      <c r="E355" s="19">
        <v>0</v>
      </c>
      <c r="F355" s="33" t="s">
        <v>261</v>
      </c>
      <c r="G355" s="33" t="s">
        <v>428</v>
      </c>
      <c r="H355" s="33" t="s">
        <v>263</v>
      </c>
      <c r="I355" s="17" t="b">
        <v>0</v>
      </c>
      <c r="J355" s="17" t="s">
        <v>43</v>
      </c>
      <c r="K355" s="21" t="str">
        <f t="shared" si="10"/>
        <v>https://version2.ice-d.org/antarctica/sample/R2020-IEI012/</v>
      </c>
      <c r="L355" s="82" t="s">
        <v>112</v>
      </c>
      <c r="M355" s="82"/>
      <c r="O355" s="17" t="s">
        <v>429</v>
      </c>
      <c r="P355" s="22">
        <v>-74.887060000000005</v>
      </c>
      <c r="Q355" s="22">
        <v>163.70446000000001</v>
      </c>
      <c r="R355" s="22"/>
      <c r="S355" s="22">
        <v>36.9</v>
      </c>
      <c r="T355" s="22">
        <v>0</v>
      </c>
      <c r="U355" s="23">
        <v>300</v>
      </c>
      <c r="V355" s="84" t="s">
        <v>2314</v>
      </c>
      <c r="W355" s="44" t="s">
        <v>2453</v>
      </c>
      <c r="X355" s="22">
        <f t="shared" si="11"/>
        <v>36.9</v>
      </c>
      <c r="Y355" s="22">
        <v>9.5</v>
      </c>
      <c r="Z355" s="22">
        <v>2.7</v>
      </c>
      <c r="AA355" s="17" t="s">
        <v>73</v>
      </c>
      <c r="AB355" s="26">
        <v>5229</v>
      </c>
      <c r="AC355" s="26">
        <v>705</v>
      </c>
      <c r="AD355" s="26">
        <v>770</v>
      </c>
      <c r="AE355" s="27">
        <v>27550</v>
      </c>
      <c r="AF355" s="27">
        <v>3710</v>
      </c>
      <c r="AG355" s="27">
        <v>254270</v>
      </c>
      <c r="AH355" s="27">
        <v>42780</v>
      </c>
      <c r="AI355" s="17">
        <v>2018</v>
      </c>
      <c r="AJ355" s="17">
        <v>1</v>
      </c>
      <c r="AK355" s="17">
        <v>0</v>
      </c>
    </row>
    <row r="356" spans="1:37" ht="15.75" customHeight="1">
      <c r="A356" s="82" t="s">
        <v>435</v>
      </c>
      <c r="B356" s="19" t="s">
        <v>427</v>
      </c>
      <c r="C356" s="17">
        <v>42</v>
      </c>
      <c r="D356" s="77" t="s">
        <v>196</v>
      </c>
      <c r="E356" s="19">
        <v>0</v>
      </c>
      <c r="F356" s="33" t="s">
        <v>261</v>
      </c>
      <c r="G356" s="33" t="s">
        <v>428</v>
      </c>
      <c r="H356" s="33" t="s">
        <v>263</v>
      </c>
      <c r="I356" s="17" t="b">
        <v>0</v>
      </c>
      <c r="J356" s="17" t="s">
        <v>64</v>
      </c>
      <c r="K356" s="21" t="str">
        <f t="shared" si="10"/>
        <v>https://version2.ice-d.org/antarctica/sample/R2020-IEI012/</v>
      </c>
      <c r="L356" s="82" t="s">
        <v>112</v>
      </c>
      <c r="M356" s="82"/>
      <c r="O356" s="17" t="s">
        <v>429</v>
      </c>
      <c r="P356" s="22">
        <v>-74.887060000000005</v>
      </c>
      <c r="Q356" s="22">
        <v>163.70446000000001</v>
      </c>
      <c r="R356" s="22"/>
      <c r="S356" s="22">
        <v>36.9</v>
      </c>
      <c r="T356" s="22">
        <v>0</v>
      </c>
      <c r="U356" s="23">
        <v>300</v>
      </c>
      <c r="V356" s="84" t="s">
        <v>2315</v>
      </c>
      <c r="W356" s="44" t="s">
        <v>2453</v>
      </c>
      <c r="X356" s="22">
        <f t="shared" si="11"/>
        <v>36.9</v>
      </c>
      <c r="Y356" s="22">
        <v>9.5</v>
      </c>
      <c r="Z356" s="22">
        <v>2.7</v>
      </c>
      <c r="AA356" s="17" t="s">
        <v>73</v>
      </c>
      <c r="AB356" s="26">
        <v>6747</v>
      </c>
      <c r="AC356" s="26">
        <v>1139</v>
      </c>
      <c r="AD356" s="26">
        <v>1279</v>
      </c>
      <c r="AE356" s="27">
        <v>27550</v>
      </c>
      <c r="AF356" s="27">
        <v>3710</v>
      </c>
      <c r="AG356" s="27">
        <v>254270</v>
      </c>
      <c r="AH356" s="27">
        <v>42780</v>
      </c>
      <c r="AI356" s="17">
        <v>2018</v>
      </c>
      <c r="AJ356" s="17">
        <v>1</v>
      </c>
      <c r="AK356" s="17">
        <v>0</v>
      </c>
    </row>
    <row r="357" spans="1:37" ht="12.75" customHeight="1">
      <c r="A357" s="82" t="s">
        <v>436</v>
      </c>
      <c r="B357" s="19" t="s">
        <v>427</v>
      </c>
      <c r="C357" s="17">
        <v>42</v>
      </c>
      <c r="D357" s="77" t="s">
        <v>196</v>
      </c>
      <c r="E357" s="19">
        <v>0</v>
      </c>
      <c r="F357" s="33" t="s">
        <v>261</v>
      </c>
      <c r="G357" s="33" t="s">
        <v>428</v>
      </c>
      <c r="H357" s="33" t="s">
        <v>263</v>
      </c>
      <c r="I357" s="17" t="b">
        <v>0</v>
      </c>
      <c r="J357" s="17" t="s">
        <v>64</v>
      </c>
      <c r="K357" s="21" t="str">
        <f t="shared" si="10"/>
        <v>https://version2.ice-d.org/antarctica/sample/R2020-IEI018/</v>
      </c>
      <c r="L357" s="82" t="s">
        <v>112</v>
      </c>
      <c r="M357" s="82"/>
      <c r="O357" s="17" t="s">
        <v>429</v>
      </c>
      <c r="P357" s="22">
        <v>-74.882540000000006</v>
      </c>
      <c r="Q357" s="22">
        <v>163.69363999999999</v>
      </c>
      <c r="R357" s="22"/>
      <c r="S357" s="22">
        <v>43.6</v>
      </c>
      <c r="T357" s="22">
        <v>0</v>
      </c>
      <c r="U357" s="23">
        <v>300</v>
      </c>
      <c r="V357" s="84" t="s">
        <v>2316</v>
      </c>
      <c r="W357" s="44" t="s">
        <v>2453</v>
      </c>
      <c r="X357" s="22">
        <f t="shared" si="11"/>
        <v>43.6</v>
      </c>
      <c r="Y357" s="22">
        <v>7.5</v>
      </c>
      <c r="Z357" s="22">
        <v>2.7</v>
      </c>
      <c r="AA357" s="17" t="s">
        <v>73</v>
      </c>
      <c r="AB357" s="26">
        <v>6298</v>
      </c>
      <c r="AC357" s="26">
        <v>657</v>
      </c>
      <c r="AD357" s="26">
        <v>853</v>
      </c>
      <c r="AE357" s="27">
        <v>36410</v>
      </c>
      <c r="AF357" s="27">
        <v>3570</v>
      </c>
      <c r="AG357" s="27">
        <v>242710</v>
      </c>
      <c r="AH357" s="27">
        <v>25260</v>
      </c>
      <c r="AI357" s="17">
        <v>2018</v>
      </c>
      <c r="AJ357" s="17">
        <v>1</v>
      </c>
      <c r="AK357" s="17">
        <v>0</v>
      </c>
    </row>
    <row r="358" spans="1:37" ht="12.75" customHeight="1">
      <c r="A358" s="82" t="s">
        <v>436</v>
      </c>
      <c r="B358" s="19" t="s">
        <v>427</v>
      </c>
      <c r="C358" s="17">
        <v>42</v>
      </c>
      <c r="D358" s="77" t="s">
        <v>196</v>
      </c>
      <c r="E358" s="19">
        <v>0</v>
      </c>
      <c r="F358" s="33" t="s">
        <v>261</v>
      </c>
      <c r="G358" s="33" t="s">
        <v>428</v>
      </c>
      <c r="H358" s="33" t="s">
        <v>263</v>
      </c>
      <c r="I358" s="17" t="b">
        <v>0</v>
      </c>
      <c r="J358" s="17" t="s">
        <v>43</v>
      </c>
      <c r="K358" s="21" t="str">
        <f t="shared" si="10"/>
        <v>https://version2.ice-d.org/antarctica/sample/R2020-IEI018/</v>
      </c>
      <c r="L358" s="82" t="s">
        <v>112</v>
      </c>
      <c r="M358" s="82"/>
      <c r="O358" s="17" t="s">
        <v>429</v>
      </c>
      <c r="P358" s="22">
        <v>-74.882540000000006</v>
      </c>
      <c r="Q358" s="22">
        <v>163.69363999999999</v>
      </c>
      <c r="R358" s="22"/>
      <c r="S358" s="22">
        <v>43.6</v>
      </c>
      <c r="T358" s="22">
        <v>0</v>
      </c>
      <c r="U358" s="23">
        <v>300</v>
      </c>
      <c r="V358" s="84" t="s">
        <v>2317</v>
      </c>
      <c r="W358" s="44" t="s">
        <v>2453</v>
      </c>
      <c r="X358" s="22">
        <f t="shared" si="11"/>
        <v>43.6</v>
      </c>
      <c r="Y358" s="22">
        <v>7.5</v>
      </c>
      <c r="Z358" s="22">
        <v>2.7</v>
      </c>
      <c r="AA358" s="17" t="s">
        <v>73</v>
      </c>
      <c r="AB358" s="26">
        <v>6731</v>
      </c>
      <c r="AC358" s="26">
        <v>661</v>
      </c>
      <c r="AD358" s="26">
        <v>772</v>
      </c>
      <c r="AE358" s="27">
        <v>36410</v>
      </c>
      <c r="AF358" s="27">
        <v>3570</v>
      </c>
      <c r="AG358" s="27">
        <v>242710</v>
      </c>
      <c r="AH358" s="27">
        <v>25260</v>
      </c>
      <c r="AI358" s="17">
        <v>2018</v>
      </c>
      <c r="AJ358" s="17">
        <v>1</v>
      </c>
      <c r="AK358" s="17">
        <v>0</v>
      </c>
    </row>
    <row r="359" spans="1:37" ht="12.75" customHeight="1">
      <c r="A359" s="82" t="s">
        <v>437</v>
      </c>
      <c r="B359" s="19" t="s">
        <v>427</v>
      </c>
      <c r="C359" s="17">
        <v>42</v>
      </c>
      <c r="D359" s="77" t="s">
        <v>196</v>
      </c>
      <c r="E359" s="19">
        <v>0</v>
      </c>
      <c r="F359" s="33" t="s">
        <v>261</v>
      </c>
      <c r="G359" s="33" t="s">
        <v>428</v>
      </c>
      <c r="H359" s="33" t="s">
        <v>263</v>
      </c>
      <c r="I359" s="17" t="b">
        <v>0</v>
      </c>
      <c r="J359" s="17" t="s">
        <v>43</v>
      </c>
      <c r="K359" s="21" t="str">
        <f t="shared" si="10"/>
        <v>https://version2.ice-d.org/antarctica/sample/R2020-IEI021/</v>
      </c>
      <c r="L359" s="82" t="s">
        <v>112</v>
      </c>
      <c r="M359" s="82"/>
      <c r="O359" s="17" t="s">
        <v>429</v>
      </c>
      <c r="P359" s="22">
        <v>-74.882559999999998</v>
      </c>
      <c r="Q359" s="22">
        <v>163.69218000000001</v>
      </c>
      <c r="R359" s="22"/>
      <c r="S359" s="22">
        <v>45.4</v>
      </c>
      <c r="T359" s="22">
        <v>0</v>
      </c>
      <c r="U359" s="23">
        <v>300</v>
      </c>
      <c r="V359" s="84" t="s">
        <v>2318</v>
      </c>
      <c r="W359" s="44" t="s">
        <v>2453</v>
      </c>
      <c r="X359" s="22">
        <f t="shared" si="11"/>
        <v>45.4</v>
      </c>
      <c r="Y359" s="22">
        <v>8.3000000000000007</v>
      </c>
      <c r="Z359" s="22">
        <v>2.7</v>
      </c>
      <c r="AA359" s="17" t="s">
        <v>73</v>
      </c>
      <c r="AB359" s="26">
        <v>6245</v>
      </c>
      <c r="AC359" s="26">
        <v>640</v>
      </c>
      <c r="AD359" s="26">
        <v>739</v>
      </c>
      <c r="AE359" s="27">
        <v>33600</v>
      </c>
      <c r="AF359" s="27">
        <v>3440</v>
      </c>
      <c r="AG359" s="27">
        <v>310430</v>
      </c>
      <c r="AH359" s="27">
        <v>30010</v>
      </c>
      <c r="AI359" s="17">
        <v>2018</v>
      </c>
      <c r="AJ359" s="17">
        <v>1</v>
      </c>
      <c r="AK359" s="17">
        <v>0</v>
      </c>
    </row>
    <row r="360" spans="1:37" ht="12.75" customHeight="1">
      <c r="A360" s="82" t="s">
        <v>437</v>
      </c>
      <c r="B360" s="19" t="s">
        <v>427</v>
      </c>
      <c r="C360" s="17">
        <v>42</v>
      </c>
      <c r="D360" s="77" t="s">
        <v>196</v>
      </c>
      <c r="E360" s="19">
        <v>0</v>
      </c>
      <c r="F360" s="33" t="s">
        <v>261</v>
      </c>
      <c r="G360" s="33" t="s">
        <v>428</v>
      </c>
      <c r="H360" s="33" t="s">
        <v>263</v>
      </c>
      <c r="I360" s="17" t="b">
        <v>0</v>
      </c>
      <c r="J360" s="17" t="s">
        <v>64</v>
      </c>
      <c r="K360" s="21" t="str">
        <f t="shared" si="10"/>
        <v>https://version2.ice-d.org/antarctica/sample/R2020-IEI021/</v>
      </c>
      <c r="L360" s="82" t="s">
        <v>112</v>
      </c>
      <c r="M360" s="82"/>
      <c r="O360" s="17" t="s">
        <v>429</v>
      </c>
      <c r="P360" s="22">
        <v>-74.882559999999998</v>
      </c>
      <c r="Q360" s="22">
        <v>163.69218000000001</v>
      </c>
      <c r="R360" s="22"/>
      <c r="S360" s="22">
        <v>45.4</v>
      </c>
      <c r="T360" s="22">
        <v>0</v>
      </c>
      <c r="U360" s="23">
        <v>300</v>
      </c>
      <c r="V360" s="84" t="s">
        <v>2319</v>
      </c>
      <c r="W360" s="44" t="s">
        <v>2453</v>
      </c>
      <c r="X360" s="22">
        <f t="shared" si="11"/>
        <v>45.4</v>
      </c>
      <c r="Y360" s="22">
        <v>8.3000000000000007</v>
      </c>
      <c r="Z360" s="22">
        <v>2.7</v>
      </c>
      <c r="AA360" s="17" t="s">
        <v>73</v>
      </c>
      <c r="AB360" s="26">
        <v>8034</v>
      </c>
      <c r="AC360" s="26">
        <v>780</v>
      </c>
      <c r="AD360" s="26">
        <v>1044</v>
      </c>
      <c r="AE360" s="27">
        <v>33600</v>
      </c>
      <c r="AF360" s="27">
        <v>3440</v>
      </c>
      <c r="AG360" s="27">
        <v>310430</v>
      </c>
      <c r="AH360" s="27">
        <v>30010</v>
      </c>
      <c r="AI360" s="17">
        <v>2018</v>
      </c>
      <c r="AJ360" s="17">
        <v>1</v>
      </c>
      <c r="AK360" s="17">
        <v>0</v>
      </c>
    </row>
    <row r="361" spans="1:37" ht="12.75" customHeight="1">
      <c r="A361" s="82" t="s">
        <v>438</v>
      </c>
      <c r="B361" s="19" t="s">
        <v>427</v>
      </c>
      <c r="C361" s="17">
        <v>42</v>
      </c>
      <c r="D361" s="77" t="s">
        <v>196</v>
      </c>
      <c r="E361" s="19">
        <v>0</v>
      </c>
      <c r="F361" s="33" t="s">
        <v>261</v>
      </c>
      <c r="G361" s="33" t="s">
        <v>428</v>
      </c>
      <c r="H361" s="33" t="s">
        <v>263</v>
      </c>
      <c r="I361" s="17" t="b">
        <v>0</v>
      </c>
      <c r="J361" s="17" t="s">
        <v>64</v>
      </c>
      <c r="K361" s="21" t="str">
        <f t="shared" si="10"/>
        <v>https://version2.ice-d.org/antarctica/sample/R2020-IEI026/</v>
      </c>
      <c r="L361" s="82" t="s">
        <v>112</v>
      </c>
      <c r="M361" s="82"/>
      <c r="O361" s="17" t="s">
        <v>429</v>
      </c>
      <c r="P361" s="22">
        <v>-74.875600000000006</v>
      </c>
      <c r="Q361" s="22">
        <v>163.67062999999999</v>
      </c>
      <c r="R361" s="22"/>
      <c r="S361" s="22">
        <v>155.80000000000001</v>
      </c>
      <c r="T361" s="22">
        <v>0</v>
      </c>
      <c r="U361" s="23">
        <v>300</v>
      </c>
      <c r="V361" s="84" t="s">
        <v>2320</v>
      </c>
      <c r="W361" s="44" t="s">
        <v>2453</v>
      </c>
      <c r="X361" s="22">
        <f t="shared" si="11"/>
        <v>155.80000000000001</v>
      </c>
      <c r="Y361" s="22">
        <v>11.7</v>
      </c>
      <c r="Z361" s="22">
        <v>2.7</v>
      </c>
      <c r="AA361" s="17" t="s">
        <v>73</v>
      </c>
      <c r="AB361" s="26">
        <v>6361</v>
      </c>
      <c r="AC361" s="26">
        <v>645</v>
      </c>
      <c r="AD361" s="26">
        <v>846</v>
      </c>
      <c r="AE361" s="27">
        <v>39380</v>
      </c>
      <c r="AF361" s="27">
        <v>4010</v>
      </c>
      <c r="AG361" s="27">
        <v>265020</v>
      </c>
      <c r="AH361" s="27">
        <v>26770</v>
      </c>
      <c r="AI361" s="17">
        <v>2018</v>
      </c>
      <c r="AJ361" s="17">
        <v>1</v>
      </c>
      <c r="AK361" s="17">
        <v>0</v>
      </c>
    </row>
    <row r="362" spans="1:37" ht="12.75" customHeight="1">
      <c r="A362" s="82" t="s">
        <v>438</v>
      </c>
      <c r="B362" s="19" t="s">
        <v>427</v>
      </c>
      <c r="C362" s="17">
        <v>42</v>
      </c>
      <c r="D362" s="77" t="s">
        <v>196</v>
      </c>
      <c r="E362" s="19">
        <v>0</v>
      </c>
      <c r="F362" s="33" t="s">
        <v>261</v>
      </c>
      <c r="G362" s="33" t="s">
        <v>428</v>
      </c>
      <c r="H362" s="33" t="s">
        <v>263</v>
      </c>
      <c r="I362" s="17" t="b">
        <v>0</v>
      </c>
      <c r="J362" s="17" t="s">
        <v>43</v>
      </c>
      <c r="K362" s="21" t="str">
        <f t="shared" si="10"/>
        <v>https://version2.ice-d.org/antarctica/sample/R2020-IEI026/</v>
      </c>
      <c r="L362" s="82" t="s">
        <v>112</v>
      </c>
      <c r="M362" s="82"/>
      <c r="O362" s="17" t="s">
        <v>429</v>
      </c>
      <c r="P362" s="22">
        <v>-74.875600000000006</v>
      </c>
      <c r="Q362" s="22">
        <v>163.67062999999999</v>
      </c>
      <c r="R362" s="22"/>
      <c r="S362" s="22">
        <v>155.80000000000001</v>
      </c>
      <c r="T362" s="22">
        <v>0</v>
      </c>
      <c r="U362" s="23">
        <v>300</v>
      </c>
      <c r="V362" s="84" t="s">
        <v>2321</v>
      </c>
      <c r="W362" s="44" t="s">
        <v>2453</v>
      </c>
      <c r="X362" s="22">
        <f t="shared" si="11"/>
        <v>155.80000000000001</v>
      </c>
      <c r="Y362" s="22">
        <v>11.7</v>
      </c>
      <c r="Z362" s="22">
        <v>2.7</v>
      </c>
      <c r="AA362" s="17" t="s">
        <v>73</v>
      </c>
      <c r="AB362" s="26">
        <v>6729</v>
      </c>
      <c r="AC362" s="26">
        <v>686</v>
      </c>
      <c r="AD362" s="26">
        <v>793</v>
      </c>
      <c r="AE362" s="27">
        <v>39380</v>
      </c>
      <c r="AF362" s="27">
        <v>4010</v>
      </c>
      <c r="AG362" s="27">
        <v>265020</v>
      </c>
      <c r="AH362" s="27">
        <v>26770</v>
      </c>
      <c r="AI362" s="17">
        <v>2018</v>
      </c>
      <c r="AJ362" s="17">
        <v>1</v>
      </c>
      <c r="AK362" s="17">
        <v>0</v>
      </c>
    </row>
    <row r="363" spans="1:37" ht="12.75" customHeight="1">
      <c r="A363" s="82" t="s">
        <v>439</v>
      </c>
      <c r="B363" s="19" t="s">
        <v>427</v>
      </c>
      <c r="C363" s="17">
        <v>42</v>
      </c>
      <c r="D363" s="77" t="s">
        <v>196</v>
      </c>
      <c r="E363" s="19">
        <v>0</v>
      </c>
      <c r="F363" s="33" t="s">
        <v>261</v>
      </c>
      <c r="G363" s="33" t="s">
        <v>428</v>
      </c>
      <c r="H363" s="33" t="s">
        <v>263</v>
      </c>
      <c r="I363" s="17" t="b">
        <v>0</v>
      </c>
      <c r="J363" s="17" t="s">
        <v>64</v>
      </c>
      <c r="K363" s="21" t="str">
        <f t="shared" si="10"/>
        <v>https://version2.ice-d.org/antarctica/sample/R2020-IEI029/</v>
      </c>
      <c r="L363" s="82" t="s">
        <v>112</v>
      </c>
      <c r="M363" s="82"/>
      <c r="O363" s="17" t="s">
        <v>429</v>
      </c>
      <c r="P363" s="22">
        <v>-74.876390000000001</v>
      </c>
      <c r="Q363" s="22">
        <v>163.67028999999999</v>
      </c>
      <c r="R363" s="22"/>
      <c r="S363" s="22">
        <v>156.1</v>
      </c>
      <c r="T363" s="22">
        <v>0</v>
      </c>
      <c r="U363" s="23">
        <v>300</v>
      </c>
      <c r="V363" s="84" t="s">
        <v>2322</v>
      </c>
      <c r="W363" s="44" t="s">
        <v>2453</v>
      </c>
      <c r="X363" s="22">
        <f t="shared" si="11"/>
        <v>156.1</v>
      </c>
      <c r="Y363" s="22">
        <v>8</v>
      </c>
      <c r="Z363" s="22">
        <v>2.7</v>
      </c>
      <c r="AA363" s="17" t="s">
        <v>73</v>
      </c>
      <c r="AB363" s="26">
        <v>7170</v>
      </c>
      <c r="AC363" s="26">
        <v>970</v>
      </c>
      <c r="AD363" s="26">
        <v>1151</v>
      </c>
      <c r="AE363" s="27">
        <v>46690</v>
      </c>
      <c r="AF363" s="27">
        <v>5640</v>
      </c>
      <c r="AG363" s="27">
        <v>308400</v>
      </c>
      <c r="AH363" s="27">
        <v>41580</v>
      </c>
      <c r="AI363" s="17">
        <v>2018</v>
      </c>
      <c r="AJ363" s="17">
        <v>1</v>
      </c>
      <c r="AK363" s="17">
        <v>0</v>
      </c>
    </row>
    <row r="364" spans="1:37" ht="12.75" customHeight="1">
      <c r="A364" s="82" t="s">
        <v>439</v>
      </c>
      <c r="B364" s="19" t="s">
        <v>427</v>
      </c>
      <c r="C364" s="17">
        <v>42</v>
      </c>
      <c r="D364" s="77" t="s">
        <v>196</v>
      </c>
      <c r="E364" s="19">
        <v>0</v>
      </c>
      <c r="F364" s="33" t="s">
        <v>261</v>
      </c>
      <c r="G364" s="33" t="s">
        <v>428</v>
      </c>
      <c r="H364" s="33" t="s">
        <v>263</v>
      </c>
      <c r="I364" s="17" t="b">
        <v>0</v>
      </c>
      <c r="J364" s="17" t="s">
        <v>43</v>
      </c>
      <c r="K364" s="21" t="str">
        <f t="shared" si="10"/>
        <v>https://version2.ice-d.org/antarctica/sample/R2020-IEI029/</v>
      </c>
      <c r="L364" s="82" t="s">
        <v>112</v>
      </c>
      <c r="M364" s="82"/>
      <c r="O364" s="17" t="s">
        <v>429</v>
      </c>
      <c r="P364" s="22">
        <v>-74.876390000000001</v>
      </c>
      <c r="Q364" s="22">
        <v>163.67028999999999</v>
      </c>
      <c r="R364" s="22"/>
      <c r="S364" s="22">
        <v>156.1</v>
      </c>
      <c r="T364" s="22">
        <v>0</v>
      </c>
      <c r="U364" s="23">
        <v>300</v>
      </c>
      <c r="V364" s="84" t="s">
        <v>2323</v>
      </c>
      <c r="W364" s="44" t="s">
        <v>2453</v>
      </c>
      <c r="X364" s="22">
        <f t="shared" si="11"/>
        <v>156.1</v>
      </c>
      <c r="Y364" s="22">
        <v>8</v>
      </c>
      <c r="Z364" s="22">
        <v>2.7</v>
      </c>
      <c r="AA364" s="17" t="s">
        <v>73</v>
      </c>
      <c r="AB364" s="26">
        <v>7692</v>
      </c>
      <c r="AC364" s="26">
        <v>931</v>
      </c>
      <c r="AD364" s="26">
        <v>1036</v>
      </c>
      <c r="AE364" s="27">
        <v>46690</v>
      </c>
      <c r="AF364" s="27">
        <v>5640</v>
      </c>
      <c r="AG364" s="27">
        <v>308400</v>
      </c>
      <c r="AH364" s="27">
        <v>41580</v>
      </c>
      <c r="AI364" s="17">
        <v>2018</v>
      </c>
      <c r="AJ364" s="17">
        <v>1</v>
      </c>
      <c r="AK364" s="17">
        <v>0</v>
      </c>
    </row>
    <row r="365" spans="1:37" ht="12.75" customHeight="1">
      <c r="A365" s="82" t="s">
        <v>440</v>
      </c>
      <c r="B365" s="19" t="s">
        <v>427</v>
      </c>
      <c r="C365" s="17">
        <v>42</v>
      </c>
      <c r="D365" s="77" t="s">
        <v>196</v>
      </c>
      <c r="E365" s="19">
        <v>0</v>
      </c>
      <c r="F365" s="33" t="s">
        <v>261</v>
      </c>
      <c r="G365" s="33" t="s">
        <v>428</v>
      </c>
      <c r="H365" s="33" t="s">
        <v>263</v>
      </c>
      <c r="I365" s="17" t="b">
        <v>0</v>
      </c>
      <c r="J365" s="17" t="s">
        <v>64</v>
      </c>
      <c r="K365" s="21" t="str">
        <f t="shared" si="10"/>
        <v>https://version2.ice-d.org/antarctica/sample/R2020-IEI033/</v>
      </c>
      <c r="L365" s="82" t="s">
        <v>112</v>
      </c>
      <c r="M365" s="82"/>
      <c r="O365" s="17" t="s">
        <v>429</v>
      </c>
      <c r="P365" s="22">
        <v>-74.873670000000004</v>
      </c>
      <c r="Q365" s="22">
        <v>163.66593</v>
      </c>
      <c r="R365" s="22"/>
      <c r="S365" s="22">
        <v>186.8</v>
      </c>
      <c r="T365" s="22">
        <v>0</v>
      </c>
      <c r="U365" s="23">
        <v>300</v>
      </c>
      <c r="V365" s="84" t="s">
        <v>2324</v>
      </c>
      <c r="W365" s="44" t="s">
        <v>2453</v>
      </c>
      <c r="X365" s="22">
        <f t="shared" si="11"/>
        <v>186.8</v>
      </c>
      <c r="Y365" s="22">
        <v>9</v>
      </c>
      <c r="Z365" s="22">
        <v>2.7</v>
      </c>
      <c r="AA365" s="17" t="s">
        <v>73</v>
      </c>
      <c r="AB365" s="26">
        <v>7550</v>
      </c>
      <c r="AC365" s="26">
        <v>1641</v>
      </c>
      <c r="AD365" s="26">
        <v>1765</v>
      </c>
      <c r="AE365" s="27">
        <v>47580</v>
      </c>
      <c r="AF365" s="27">
        <v>3830</v>
      </c>
      <c r="AG365" s="27">
        <v>333070</v>
      </c>
      <c r="AH365" s="27">
        <v>72110</v>
      </c>
      <c r="AI365" s="17">
        <v>2018</v>
      </c>
      <c r="AJ365" s="17">
        <v>1</v>
      </c>
      <c r="AK365" s="17">
        <v>0</v>
      </c>
    </row>
    <row r="366" spans="1:37" ht="12.75" customHeight="1">
      <c r="A366" s="82" t="s">
        <v>440</v>
      </c>
      <c r="B366" s="19" t="s">
        <v>427</v>
      </c>
      <c r="C366" s="17">
        <v>42</v>
      </c>
      <c r="D366" s="77" t="s">
        <v>196</v>
      </c>
      <c r="E366" s="19">
        <v>0</v>
      </c>
      <c r="F366" s="33" t="s">
        <v>261</v>
      </c>
      <c r="G366" s="33" t="s">
        <v>428</v>
      </c>
      <c r="H366" s="33" t="s">
        <v>263</v>
      </c>
      <c r="I366" s="17" t="b">
        <v>0</v>
      </c>
      <c r="J366" s="17" t="s">
        <v>43</v>
      </c>
      <c r="K366" s="21" t="str">
        <f t="shared" si="10"/>
        <v>https://version2.ice-d.org/antarctica/sample/R2020-IEI033/</v>
      </c>
      <c r="L366" s="82" t="s">
        <v>112</v>
      </c>
      <c r="M366" s="82"/>
      <c r="O366" s="17" t="s">
        <v>429</v>
      </c>
      <c r="P366" s="22">
        <v>-74.873670000000004</v>
      </c>
      <c r="Q366" s="22">
        <v>163.66593</v>
      </c>
      <c r="R366" s="22"/>
      <c r="S366" s="22">
        <v>186.8</v>
      </c>
      <c r="T366" s="22">
        <v>0</v>
      </c>
      <c r="U366" s="23">
        <v>300</v>
      </c>
      <c r="V366" s="84" t="s">
        <v>2325</v>
      </c>
      <c r="W366" s="44" t="s">
        <v>2453</v>
      </c>
      <c r="X366" s="22">
        <f t="shared" si="11"/>
        <v>186.8</v>
      </c>
      <c r="Y366" s="22">
        <v>9</v>
      </c>
      <c r="Z366" s="22">
        <v>2.7</v>
      </c>
      <c r="AA366" s="17" t="s">
        <v>73</v>
      </c>
      <c r="AB366" s="26">
        <v>7670</v>
      </c>
      <c r="AC366" s="26">
        <v>619</v>
      </c>
      <c r="AD366" s="26">
        <v>767</v>
      </c>
      <c r="AE366" s="27">
        <v>47580</v>
      </c>
      <c r="AF366" s="27">
        <v>3830</v>
      </c>
      <c r="AG366" s="27">
        <v>333070</v>
      </c>
      <c r="AH366" s="27">
        <v>72110</v>
      </c>
      <c r="AI366" s="17">
        <v>2018</v>
      </c>
      <c r="AJ366" s="17">
        <v>1</v>
      </c>
      <c r="AK366" s="17">
        <v>0</v>
      </c>
    </row>
    <row r="367" spans="1:37" ht="12.75" customHeight="1">
      <c r="A367" s="82" t="s">
        <v>441</v>
      </c>
      <c r="B367" s="19" t="s">
        <v>427</v>
      </c>
      <c r="C367" s="17">
        <v>42</v>
      </c>
      <c r="D367" s="77" t="s">
        <v>196</v>
      </c>
      <c r="E367" s="19">
        <v>0</v>
      </c>
      <c r="F367" s="33" t="s">
        <v>261</v>
      </c>
      <c r="G367" s="33" t="s">
        <v>428</v>
      </c>
      <c r="H367" s="33" t="s">
        <v>263</v>
      </c>
      <c r="I367" s="17" t="b">
        <v>0</v>
      </c>
      <c r="J367" s="17" t="s">
        <v>64</v>
      </c>
      <c r="K367" s="21" t="str">
        <f t="shared" si="10"/>
        <v>https://version2.ice-d.org/antarctica/sample/R2020-IEI039/</v>
      </c>
      <c r="L367" s="82" t="s">
        <v>112</v>
      </c>
      <c r="M367" s="82"/>
      <c r="O367" s="17" t="s">
        <v>429</v>
      </c>
      <c r="P367" s="22">
        <v>-74.868660000000006</v>
      </c>
      <c r="Q367" s="22">
        <v>163.63876999999999</v>
      </c>
      <c r="R367" s="22"/>
      <c r="S367" s="22">
        <v>289.60000000000002</v>
      </c>
      <c r="T367" s="22">
        <v>0</v>
      </c>
      <c r="U367" s="23">
        <v>300</v>
      </c>
      <c r="V367" s="84" t="s">
        <v>2326</v>
      </c>
      <c r="W367" s="44" t="s">
        <v>2453</v>
      </c>
      <c r="X367" s="22">
        <f t="shared" si="11"/>
        <v>289.60000000000002</v>
      </c>
      <c r="Y367" s="22">
        <v>6.8</v>
      </c>
      <c r="Z367" s="22">
        <v>2.7</v>
      </c>
      <c r="AA367" s="17" t="s">
        <v>73</v>
      </c>
      <c r="AB367" s="26">
        <v>9677</v>
      </c>
      <c r="AC367" s="26">
        <v>1115</v>
      </c>
      <c r="AD367" s="26">
        <v>1394</v>
      </c>
      <c r="AE367" s="27">
        <v>70250</v>
      </c>
      <c r="AF367" s="27">
        <v>5300</v>
      </c>
      <c r="AG367" s="27">
        <v>480730</v>
      </c>
      <c r="AH367" s="27">
        <v>55140</v>
      </c>
      <c r="AI367" s="17">
        <v>2018</v>
      </c>
      <c r="AJ367" s="17">
        <v>1</v>
      </c>
      <c r="AK367" s="17">
        <v>0</v>
      </c>
    </row>
    <row r="368" spans="1:37" ht="12.75" customHeight="1">
      <c r="A368" s="82" t="s">
        <v>441</v>
      </c>
      <c r="B368" s="19" t="s">
        <v>427</v>
      </c>
      <c r="C368" s="17">
        <v>42</v>
      </c>
      <c r="D368" s="77" t="s">
        <v>196</v>
      </c>
      <c r="E368" s="19">
        <v>0</v>
      </c>
      <c r="F368" s="33" t="s">
        <v>261</v>
      </c>
      <c r="G368" s="33" t="s">
        <v>428</v>
      </c>
      <c r="H368" s="33" t="s">
        <v>263</v>
      </c>
      <c r="I368" s="17" t="b">
        <v>0</v>
      </c>
      <c r="J368" s="17" t="s">
        <v>43</v>
      </c>
      <c r="K368" s="21" t="str">
        <f t="shared" si="10"/>
        <v>https://version2.ice-d.org/antarctica/sample/R2020-IEI039/</v>
      </c>
      <c r="L368" s="82" t="s">
        <v>112</v>
      </c>
      <c r="M368" s="82"/>
      <c r="O368" s="17" t="s">
        <v>429</v>
      </c>
      <c r="P368" s="22">
        <v>-74.868660000000006</v>
      </c>
      <c r="Q368" s="22">
        <v>163.63876999999999</v>
      </c>
      <c r="R368" s="22"/>
      <c r="S368" s="22">
        <v>289.60000000000002</v>
      </c>
      <c r="T368" s="22">
        <v>0</v>
      </c>
      <c r="U368" s="23">
        <v>300</v>
      </c>
      <c r="V368" s="84" t="s">
        <v>2327</v>
      </c>
      <c r="W368" s="44" t="s">
        <v>2453</v>
      </c>
      <c r="X368" s="22">
        <f t="shared" si="11"/>
        <v>289.60000000000002</v>
      </c>
      <c r="Y368" s="22">
        <v>6.8</v>
      </c>
      <c r="Z368" s="22">
        <v>2.7</v>
      </c>
      <c r="AA368" s="17" t="s">
        <v>73</v>
      </c>
      <c r="AB368" s="26">
        <v>10057</v>
      </c>
      <c r="AC368" s="26">
        <v>761</v>
      </c>
      <c r="AD368" s="26">
        <v>966</v>
      </c>
      <c r="AE368" s="27">
        <v>70250</v>
      </c>
      <c r="AF368" s="27">
        <v>5300</v>
      </c>
      <c r="AG368" s="27">
        <v>480730</v>
      </c>
      <c r="AH368" s="27">
        <v>55140</v>
      </c>
      <c r="AI368" s="17">
        <v>2018</v>
      </c>
      <c r="AJ368" s="17">
        <v>1</v>
      </c>
      <c r="AK368" s="17">
        <v>0</v>
      </c>
    </row>
    <row r="369" spans="1:37" ht="12.75" customHeight="1">
      <c r="A369" s="82" t="s">
        <v>442</v>
      </c>
      <c r="B369" s="19" t="s">
        <v>427</v>
      </c>
      <c r="C369" s="17">
        <v>42</v>
      </c>
      <c r="D369" s="77" t="s">
        <v>196</v>
      </c>
      <c r="E369" s="19">
        <v>0</v>
      </c>
      <c r="F369" s="33" t="s">
        <v>261</v>
      </c>
      <c r="G369" s="33" t="s">
        <v>428</v>
      </c>
      <c r="H369" s="33" t="s">
        <v>263</v>
      </c>
      <c r="I369" s="17" t="b">
        <v>0</v>
      </c>
      <c r="J369" s="17" t="s">
        <v>64</v>
      </c>
      <c r="K369" s="21" t="str">
        <f t="shared" si="10"/>
        <v>https://version2.ice-d.org/antarctica/sample/R2020-IEI041/</v>
      </c>
      <c r="L369" s="82" t="s">
        <v>112</v>
      </c>
      <c r="M369" s="82"/>
      <c r="O369" s="17" t="s">
        <v>429</v>
      </c>
      <c r="P369" s="22">
        <v>-74.86891</v>
      </c>
      <c r="Q369" s="22">
        <v>163.63935000000001</v>
      </c>
      <c r="R369" s="22"/>
      <c r="S369" s="22">
        <v>291.60000000000002</v>
      </c>
      <c r="T369" s="22">
        <v>0</v>
      </c>
      <c r="U369" s="23">
        <v>300</v>
      </c>
      <c r="V369" s="84" t="s">
        <v>2328</v>
      </c>
      <c r="W369" s="44" t="s">
        <v>2453</v>
      </c>
      <c r="X369" s="22">
        <f t="shared" si="11"/>
        <v>291.60000000000002</v>
      </c>
      <c r="Y369" s="22">
        <v>9.5</v>
      </c>
      <c r="Z369" s="22">
        <v>2.7</v>
      </c>
      <c r="AA369" s="17" t="s">
        <v>73</v>
      </c>
      <c r="AB369" s="26">
        <v>7456</v>
      </c>
      <c r="AC369" s="26">
        <v>706</v>
      </c>
      <c r="AD369" s="26">
        <v>955</v>
      </c>
      <c r="AE369" s="27">
        <v>52760</v>
      </c>
      <c r="AF369" s="27">
        <v>4480</v>
      </c>
      <c r="AG369" s="27">
        <v>363110</v>
      </c>
      <c r="AH369" s="27">
        <v>34260</v>
      </c>
      <c r="AI369" s="17">
        <v>2018</v>
      </c>
      <c r="AJ369" s="17">
        <v>1</v>
      </c>
      <c r="AK369" s="17">
        <v>0</v>
      </c>
    </row>
    <row r="370" spans="1:37" ht="12.75" customHeight="1">
      <c r="A370" s="82" t="s">
        <v>442</v>
      </c>
      <c r="B370" s="19" t="s">
        <v>427</v>
      </c>
      <c r="C370" s="17">
        <v>42</v>
      </c>
      <c r="D370" s="77" t="s">
        <v>196</v>
      </c>
      <c r="E370" s="19">
        <v>0</v>
      </c>
      <c r="F370" s="33" t="s">
        <v>261</v>
      </c>
      <c r="G370" s="33" t="s">
        <v>428</v>
      </c>
      <c r="H370" s="33" t="s">
        <v>263</v>
      </c>
      <c r="I370" s="17" t="b">
        <v>0</v>
      </c>
      <c r="J370" s="17" t="s">
        <v>43</v>
      </c>
      <c r="K370" s="21" t="str">
        <f t="shared" si="10"/>
        <v>https://version2.ice-d.org/antarctica/sample/R2020-IEI041/</v>
      </c>
      <c r="L370" s="82" t="s">
        <v>112</v>
      </c>
      <c r="M370" s="82"/>
      <c r="O370" s="17" t="s">
        <v>429</v>
      </c>
      <c r="P370" s="22">
        <v>-74.86891</v>
      </c>
      <c r="Q370" s="22">
        <v>163.63935000000001</v>
      </c>
      <c r="R370" s="22"/>
      <c r="S370" s="22">
        <v>291.60000000000002</v>
      </c>
      <c r="T370" s="22">
        <v>0</v>
      </c>
      <c r="U370" s="23">
        <v>300</v>
      </c>
      <c r="V370" s="84" t="s">
        <v>2329</v>
      </c>
      <c r="W370" s="44" t="s">
        <v>2453</v>
      </c>
      <c r="X370" s="22">
        <f t="shared" si="11"/>
        <v>291.60000000000002</v>
      </c>
      <c r="Y370" s="22">
        <v>9.5</v>
      </c>
      <c r="Z370" s="22">
        <v>2.7</v>
      </c>
      <c r="AA370" s="17" t="s">
        <v>73</v>
      </c>
      <c r="AB370" s="26">
        <v>7688</v>
      </c>
      <c r="AC370" s="26">
        <v>654</v>
      </c>
      <c r="AD370" s="26">
        <v>796</v>
      </c>
      <c r="AE370" s="27">
        <v>52760</v>
      </c>
      <c r="AF370" s="27">
        <v>4480</v>
      </c>
      <c r="AG370" s="27">
        <v>363110</v>
      </c>
      <c r="AH370" s="27">
        <v>34260</v>
      </c>
      <c r="AI370" s="17">
        <v>2018</v>
      </c>
      <c r="AJ370" s="17">
        <v>1</v>
      </c>
      <c r="AK370" s="17">
        <v>0</v>
      </c>
    </row>
    <row r="371" spans="1:37" ht="15.75" customHeight="1">
      <c r="A371" s="82" t="s">
        <v>443</v>
      </c>
      <c r="B371" s="19" t="s">
        <v>427</v>
      </c>
      <c r="C371" s="17">
        <v>42</v>
      </c>
      <c r="D371" s="77" t="s">
        <v>196</v>
      </c>
      <c r="E371" s="19">
        <v>0</v>
      </c>
      <c r="F371" s="33" t="s">
        <v>261</v>
      </c>
      <c r="G371" s="33" t="s">
        <v>428</v>
      </c>
      <c r="H371" s="33" t="s">
        <v>263</v>
      </c>
      <c r="I371" s="17" t="b">
        <v>0</v>
      </c>
      <c r="J371" s="17" t="s">
        <v>43</v>
      </c>
      <c r="K371" s="21" t="str">
        <f t="shared" si="10"/>
        <v>https://version2.ice-d.org/antarctica/sample/R2020-IEI044/</v>
      </c>
      <c r="L371" s="82" t="s">
        <v>112</v>
      </c>
      <c r="M371" s="82"/>
      <c r="O371" s="17" t="s">
        <v>429</v>
      </c>
      <c r="P371" s="22">
        <v>-74.868399999999994</v>
      </c>
      <c r="Q371" s="22">
        <v>163.63969</v>
      </c>
      <c r="R371" s="22"/>
      <c r="S371" s="22">
        <v>290.39999999999998</v>
      </c>
      <c r="T371" s="22">
        <v>0</v>
      </c>
      <c r="U371" s="23">
        <v>300</v>
      </c>
      <c r="V371" s="84" t="s">
        <v>2330</v>
      </c>
      <c r="W371" s="44" t="s">
        <v>2453</v>
      </c>
      <c r="X371" s="22">
        <f t="shared" si="11"/>
        <v>290.39999999999998</v>
      </c>
      <c r="Y371" s="22">
        <v>7.4</v>
      </c>
      <c r="Z371" s="22">
        <v>2.7</v>
      </c>
      <c r="AA371" s="17" t="s">
        <v>73</v>
      </c>
      <c r="AB371" s="26">
        <v>9197</v>
      </c>
      <c r="AC371" s="26">
        <v>711</v>
      </c>
      <c r="AD371" s="26">
        <v>895</v>
      </c>
      <c r="AE371" s="27">
        <v>64020</v>
      </c>
      <c r="AF371" s="27">
        <v>4940</v>
      </c>
      <c r="AG371" s="27">
        <v>493740</v>
      </c>
      <c r="AH371" s="27">
        <v>51020</v>
      </c>
      <c r="AI371" s="17">
        <v>2018</v>
      </c>
      <c r="AJ371" s="17">
        <v>1</v>
      </c>
      <c r="AK371" s="17">
        <v>0</v>
      </c>
    </row>
    <row r="372" spans="1:37" ht="15.75" customHeight="1">
      <c r="A372" s="82" t="s">
        <v>443</v>
      </c>
      <c r="B372" s="19" t="s">
        <v>427</v>
      </c>
      <c r="C372" s="17">
        <v>42</v>
      </c>
      <c r="D372" s="77" t="s">
        <v>196</v>
      </c>
      <c r="E372" s="19">
        <v>0</v>
      </c>
      <c r="F372" s="33" t="s">
        <v>261</v>
      </c>
      <c r="G372" s="33" t="s">
        <v>428</v>
      </c>
      <c r="H372" s="33" t="s">
        <v>263</v>
      </c>
      <c r="I372" s="17" t="b">
        <v>0</v>
      </c>
      <c r="J372" s="17" t="s">
        <v>64</v>
      </c>
      <c r="K372" s="21" t="str">
        <f t="shared" si="10"/>
        <v>https://version2.ice-d.org/antarctica/sample/R2020-IEI044/</v>
      </c>
      <c r="L372" s="82" t="s">
        <v>112</v>
      </c>
      <c r="M372" s="82"/>
      <c r="O372" s="17" t="s">
        <v>429</v>
      </c>
      <c r="P372" s="22">
        <v>-74.868399999999994</v>
      </c>
      <c r="Q372" s="22">
        <v>163.63969</v>
      </c>
      <c r="R372" s="22"/>
      <c r="S372" s="22">
        <v>290.39999999999998</v>
      </c>
      <c r="T372" s="22">
        <v>0</v>
      </c>
      <c r="U372" s="23">
        <v>300</v>
      </c>
      <c r="V372" s="84" t="s">
        <v>2331</v>
      </c>
      <c r="W372" s="44" t="s">
        <v>2453</v>
      </c>
      <c r="X372" s="22">
        <f t="shared" si="11"/>
        <v>290.39999999999998</v>
      </c>
      <c r="Y372" s="22">
        <v>7.4</v>
      </c>
      <c r="Z372" s="22">
        <v>2.7</v>
      </c>
      <c r="AA372" s="17" t="s">
        <v>73</v>
      </c>
      <c r="AB372" s="26">
        <v>9994</v>
      </c>
      <c r="AC372" s="26">
        <v>1038</v>
      </c>
      <c r="AD372" s="26">
        <v>1350</v>
      </c>
      <c r="AE372" s="27">
        <v>64020</v>
      </c>
      <c r="AF372" s="27">
        <v>4940</v>
      </c>
      <c r="AG372" s="27">
        <v>493740</v>
      </c>
      <c r="AH372" s="27">
        <v>51020</v>
      </c>
      <c r="AI372" s="17">
        <v>2018</v>
      </c>
      <c r="AJ372" s="17">
        <v>1</v>
      </c>
      <c r="AK372" s="17">
        <v>0</v>
      </c>
    </row>
    <row r="373" spans="1:37" ht="15.75" customHeight="1">
      <c r="A373" s="82" t="s">
        <v>444</v>
      </c>
      <c r="B373" s="19" t="s">
        <v>427</v>
      </c>
      <c r="C373" s="17">
        <v>42</v>
      </c>
      <c r="D373" s="77" t="s">
        <v>196</v>
      </c>
      <c r="E373" s="19">
        <v>0</v>
      </c>
      <c r="F373" s="33" t="s">
        <v>261</v>
      </c>
      <c r="G373" s="33" t="s">
        <v>428</v>
      </c>
      <c r="H373" s="33" t="s">
        <v>263</v>
      </c>
      <c r="I373" s="17" t="b">
        <v>0</v>
      </c>
      <c r="J373" s="17" t="s">
        <v>64</v>
      </c>
      <c r="K373" s="21" t="str">
        <f t="shared" si="10"/>
        <v>https://version2.ice-d.org/antarctica/sample/R2020-IEI046/</v>
      </c>
      <c r="L373" s="82" t="s">
        <v>112</v>
      </c>
      <c r="M373" s="82"/>
      <c r="O373" s="17" t="s">
        <v>429</v>
      </c>
      <c r="P373" s="22">
        <v>-74.871930000000006</v>
      </c>
      <c r="Q373" s="22">
        <v>163.64751999999999</v>
      </c>
      <c r="R373" s="22"/>
      <c r="S373" s="22">
        <v>255.1</v>
      </c>
      <c r="T373" s="22">
        <v>0</v>
      </c>
      <c r="U373" s="23">
        <v>300</v>
      </c>
      <c r="V373" s="84" t="s">
        <v>2332</v>
      </c>
      <c r="W373" s="44" t="s">
        <v>2453</v>
      </c>
      <c r="X373" s="22">
        <f t="shared" si="11"/>
        <v>255.1</v>
      </c>
      <c r="Y373" s="22">
        <v>6.2</v>
      </c>
      <c r="Z373" s="22">
        <v>2.7</v>
      </c>
      <c r="AA373" s="17" t="s">
        <v>73</v>
      </c>
      <c r="AB373" s="26">
        <v>6329</v>
      </c>
      <c r="AC373" s="26">
        <v>4489</v>
      </c>
      <c r="AD373" s="26">
        <v>4522</v>
      </c>
      <c r="AE373" s="27">
        <v>59680</v>
      </c>
      <c r="AF373" s="27">
        <v>8770</v>
      </c>
      <c r="AG373" s="27">
        <v>303970</v>
      </c>
      <c r="AH373" s="27">
        <v>214940</v>
      </c>
      <c r="AI373" s="17">
        <v>2018</v>
      </c>
      <c r="AJ373" s="17">
        <v>1</v>
      </c>
      <c r="AK373" s="17">
        <v>0</v>
      </c>
    </row>
    <row r="374" spans="1:37" ht="15.75" customHeight="1">
      <c r="A374" s="82" t="s">
        <v>444</v>
      </c>
      <c r="B374" s="19" t="s">
        <v>427</v>
      </c>
      <c r="C374" s="17">
        <v>42</v>
      </c>
      <c r="D374" s="77" t="s">
        <v>196</v>
      </c>
      <c r="E374" s="19">
        <v>0</v>
      </c>
      <c r="F374" s="33" t="s">
        <v>261</v>
      </c>
      <c r="G374" s="33" t="s">
        <v>428</v>
      </c>
      <c r="H374" s="33" t="s">
        <v>263</v>
      </c>
      <c r="I374" s="17" t="b">
        <v>0</v>
      </c>
      <c r="J374" s="17" t="s">
        <v>43</v>
      </c>
      <c r="K374" s="21" t="str">
        <f t="shared" si="10"/>
        <v>https://version2.ice-d.org/antarctica/sample/R2020-IEI046/</v>
      </c>
      <c r="L374" s="82" t="s">
        <v>112</v>
      </c>
      <c r="M374" s="82"/>
      <c r="O374" s="17" t="s">
        <v>429</v>
      </c>
      <c r="P374" s="22">
        <v>-74.871930000000006</v>
      </c>
      <c r="Q374" s="22">
        <v>163.64751999999999</v>
      </c>
      <c r="R374" s="22"/>
      <c r="S374" s="22">
        <v>255.1</v>
      </c>
      <c r="T374" s="22">
        <v>0</v>
      </c>
      <c r="U374" s="23">
        <v>300</v>
      </c>
      <c r="V374" s="84" t="s">
        <v>2333</v>
      </c>
      <c r="W374" s="44" t="s">
        <v>2453</v>
      </c>
      <c r="X374" s="22">
        <f t="shared" si="11"/>
        <v>255.1</v>
      </c>
      <c r="Y374" s="22">
        <v>6.2</v>
      </c>
      <c r="Z374" s="22">
        <v>2.7</v>
      </c>
      <c r="AA374" s="17" t="s">
        <v>73</v>
      </c>
      <c r="AB374" s="26">
        <v>8787</v>
      </c>
      <c r="AC374" s="26">
        <v>1294</v>
      </c>
      <c r="AD374" s="26">
        <v>1394</v>
      </c>
      <c r="AE374" s="27">
        <v>59680</v>
      </c>
      <c r="AF374" s="27">
        <v>8770</v>
      </c>
      <c r="AG374" s="27">
        <v>303970</v>
      </c>
      <c r="AH374" s="27">
        <v>214940</v>
      </c>
      <c r="AI374" s="17">
        <v>2018</v>
      </c>
      <c r="AJ374" s="17">
        <v>1</v>
      </c>
      <c r="AK374" s="17">
        <v>0</v>
      </c>
    </row>
    <row r="375" spans="1:37" ht="15.75" customHeight="1">
      <c r="A375" s="82" t="s">
        <v>445</v>
      </c>
      <c r="B375" s="19" t="s">
        <v>427</v>
      </c>
      <c r="C375" s="17">
        <v>42</v>
      </c>
      <c r="D375" s="77" t="s">
        <v>196</v>
      </c>
      <c r="E375" s="19">
        <v>0</v>
      </c>
      <c r="F375" s="33" t="s">
        <v>261</v>
      </c>
      <c r="G375" s="33" t="s">
        <v>428</v>
      </c>
      <c r="H375" s="33" t="s">
        <v>263</v>
      </c>
      <c r="I375" s="17" t="b">
        <v>0</v>
      </c>
      <c r="J375" s="17" t="s">
        <v>43</v>
      </c>
      <c r="K375" s="21" t="str">
        <f t="shared" si="10"/>
        <v>https://version2.ice-d.org/antarctica/sample/R2020-IEI047/</v>
      </c>
      <c r="L375" s="82" t="s">
        <v>112</v>
      </c>
      <c r="M375" s="82"/>
      <c r="O375" s="17" t="s">
        <v>429</v>
      </c>
      <c r="P375" s="22">
        <v>-74.87182</v>
      </c>
      <c r="Q375" s="22">
        <v>163.64779999999999</v>
      </c>
      <c r="R375" s="22"/>
      <c r="S375" s="22">
        <v>255.8</v>
      </c>
      <c r="T375" s="22">
        <v>0</v>
      </c>
      <c r="U375" s="23">
        <v>300</v>
      </c>
      <c r="V375" s="84" t="s">
        <v>2334</v>
      </c>
      <c r="W375" s="44" t="s">
        <v>2453</v>
      </c>
      <c r="X375" s="22">
        <f t="shared" si="11"/>
        <v>255.8</v>
      </c>
      <c r="Y375" s="22">
        <v>9.1999999999999993</v>
      </c>
      <c r="Z375" s="22">
        <v>2.7</v>
      </c>
      <c r="AA375" s="17" t="s">
        <v>73</v>
      </c>
      <c r="AB375" s="26">
        <v>6519</v>
      </c>
      <c r="AC375" s="26">
        <v>568</v>
      </c>
      <c r="AD375" s="26">
        <v>686</v>
      </c>
      <c r="AE375" s="27">
        <v>42990</v>
      </c>
      <c r="AF375" s="27">
        <v>3740</v>
      </c>
      <c r="AG375" s="27">
        <v>323300</v>
      </c>
      <c r="AH375" s="27">
        <v>31550</v>
      </c>
      <c r="AI375" s="17">
        <v>2018</v>
      </c>
      <c r="AJ375" s="17">
        <v>1</v>
      </c>
      <c r="AK375" s="17">
        <v>0</v>
      </c>
    </row>
    <row r="376" spans="1:37" ht="15.75" customHeight="1">
      <c r="A376" s="82" t="s">
        <v>445</v>
      </c>
      <c r="B376" s="19" t="s">
        <v>427</v>
      </c>
      <c r="C376" s="17">
        <v>42</v>
      </c>
      <c r="D376" s="77" t="s">
        <v>196</v>
      </c>
      <c r="E376" s="19">
        <v>0</v>
      </c>
      <c r="F376" s="33" t="s">
        <v>261</v>
      </c>
      <c r="G376" s="33" t="s">
        <v>428</v>
      </c>
      <c r="H376" s="33" t="s">
        <v>263</v>
      </c>
      <c r="I376" s="17" t="b">
        <v>0</v>
      </c>
      <c r="J376" s="17" t="s">
        <v>64</v>
      </c>
      <c r="K376" s="21" t="str">
        <f t="shared" si="10"/>
        <v>https://version2.ice-d.org/antarctica/sample/R2020-IEI047/</v>
      </c>
      <c r="L376" s="82" t="s">
        <v>112</v>
      </c>
      <c r="M376" s="82"/>
      <c r="O376" s="17" t="s">
        <v>429</v>
      </c>
      <c r="P376" s="22">
        <v>-74.87182</v>
      </c>
      <c r="Q376" s="22">
        <v>163.64779999999999</v>
      </c>
      <c r="R376" s="22"/>
      <c r="S376" s="22">
        <v>255.8</v>
      </c>
      <c r="T376" s="22">
        <v>0</v>
      </c>
      <c r="U376" s="23">
        <v>300</v>
      </c>
      <c r="V376" s="84" t="s">
        <v>2335</v>
      </c>
      <c r="W376" s="44" t="s">
        <v>2453</v>
      </c>
      <c r="X376" s="22">
        <f t="shared" si="11"/>
        <v>255.8</v>
      </c>
      <c r="Y376" s="22">
        <v>9.1999999999999993</v>
      </c>
      <c r="Z376" s="22">
        <v>2.7</v>
      </c>
      <c r="AA376" s="17" t="s">
        <v>73</v>
      </c>
      <c r="AB376" s="26">
        <v>6889</v>
      </c>
      <c r="AC376" s="26">
        <v>675</v>
      </c>
      <c r="AD376" s="26">
        <v>899</v>
      </c>
      <c r="AE376" s="27">
        <v>42990</v>
      </c>
      <c r="AF376" s="27">
        <v>3740</v>
      </c>
      <c r="AG376" s="27">
        <v>323300</v>
      </c>
      <c r="AH376" s="27">
        <v>31550</v>
      </c>
      <c r="AI376" s="17">
        <v>2018</v>
      </c>
      <c r="AJ376" s="17">
        <v>1</v>
      </c>
      <c r="AK376" s="17">
        <v>0</v>
      </c>
    </row>
    <row r="377" spans="1:37" ht="12.75" customHeight="1">
      <c r="A377" s="82" t="s">
        <v>446</v>
      </c>
      <c r="B377" s="19" t="s">
        <v>427</v>
      </c>
      <c r="C377" s="17">
        <v>42</v>
      </c>
      <c r="D377" s="77" t="s">
        <v>196</v>
      </c>
      <c r="E377" s="19">
        <v>0</v>
      </c>
      <c r="F377" s="33" t="s">
        <v>261</v>
      </c>
      <c r="G377" s="33" t="s">
        <v>428</v>
      </c>
      <c r="H377" s="33" t="s">
        <v>263</v>
      </c>
      <c r="I377" s="17" t="b">
        <v>0</v>
      </c>
      <c r="J377" s="17" t="s">
        <v>43</v>
      </c>
      <c r="K377" s="21" t="str">
        <f t="shared" si="10"/>
        <v>https://version2.ice-d.org/antarctica/sample/R2020-IEI049/</v>
      </c>
      <c r="L377" s="82" t="s">
        <v>112</v>
      </c>
      <c r="M377" s="82"/>
      <c r="O377" s="17" t="s">
        <v>429</v>
      </c>
      <c r="P377" s="22">
        <v>-74.871939999999995</v>
      </c>
      <c r="Q377" s="22">
        <v>163.64622</v>
      </c>
      <c r="R377" s="22"/>
      <c r="S377" s="22">
        <v>254.5</v>
      </c>
      <c r="T377" s="22">
        <v>0</v>
      </c>
      <c r="U377" s="23">
        <v>300</v>
      </c>
      <c r="V377" s="84" t="s">
        <v>2336</v>
      </c>
      <c r="W377" s="44" t="s">
        <v>2453</v>
      </c>
      <c r="X377" s="22">
        <f t="shared" si="11"/>
        <v>254.5</v>
      </c>
      <c r="Y377" s="22">
        <v>7</v>
      </c>
      <c r="Z377" s="22">
        <v>2.7</v>
      </c>
      <c r="AA377" s="17" t="s">
        <v>73</v>
      </c>
      <c r="AB377" s="26">
        <v>8691</v>
      </c>
      <c r="AC377" s="26">
        <v>725</v>
      </c>
      <c r="AD377" s="26">
        <v>888</v>
      </c>
      <c r="AE377" s="27">
        <v>58650</v>
      </c>
      <c r="AF377" s="27">
        <v>4880</v>
      </c>
      <c r="AG377" s="27">
        <v>459120</v>
      </c>
      <c r="AH377" s="27">
        <v>56800</v>
      </c>
      <c r="AI377" s="17">
        <v>2018</v>
      </c>
      <c r="AJ377" s="17">
        <v>1</v>
      </c>
      <c r="AK377" s="17">
        <v>0</v>
      </c>
    </row>
    <row r="378" spans="1:37" ht="12.75" customHeight="1">
      <c r="A378" s="82" t="s">
        <v>446</v>
      </c>
      <c r="B378" s="19" t="s">
        <v>427</v>
      </c>
      <c r="C378" s="17">
        <v>42</v>
      </c>
      <c r="D378" s="77" t="s">
        <v>196</v>
      </c>
      <c r="E378" s="19">
        <v>0</v>
      </c>
      <c r="F378" s="33" t="s">
        <v>261</v>
      </c>
      <c r="G378" s="33" t="s">
        <v>428</v>
      </c>
      <c r="H378" s="33" t="s">
        <v>263</v>
      </c>
      <c r="I378" s="17" t="b">
        <v>0</v>
      </c>
      <c r="J378" s="17" t="s">
        <v>64</v>
      </c>
      <c r="K378" s="21" t="str">
        <f t="shared" si="10"/>
        <v>https://version2.ice-d.org/antarctica/sample/R2020-IEI049/</v>
      </c>
      <c r="L378" s="82" t="s">
        <v>112</v>
      </c>
      <c r="M378" s="82"/>
      <c r="O378" s="17" t="s">
        <v>429</v>
      </c>
      <c r="P378" s="22">
        <v>-74.871939999999995</v>
      </c>
      <c r="Q378" s="22">
        <v>163.64622</v>
      </c>
      <c r="R378" s="22"/>
      <c r="S378" s="22">
        <v>254.5</v>
      </c>
      <c r="T378" s="22">
        <v>0</v>
      </c>
      <c r="U378" s="23">
        <v>300</v>
      </c>
      <c r="V378" s="84" t="s">
        <v>2337</v>
      </c>
      <c r="W378" s="44" t="s">
        <v>2453</v>
      </c>
      <c r="X378" s="22">
        <f t="shared" si="11"/>
        <v>254.5</v>
      </c>
      <c r="Y378" s="22">
        <v>7</v>
      </c>
      <c r="Z378" s="22">
        <v>2.7</v>
      </c>
      <c r="AA378" s="17" t="s">
        <v>73</v>
      </c>
      <c r="AB378" s="26">
        <v>9576</v>
      </c>
      <c r="AC378" s="26">
        <v>1190</v>
      </c>
      <c r="AD378" s="26">
        <v>1450</v>
      </c>
      <c r="AE378" s="27">
        <v>58650</v>
      </c>
      <c r="AF378" s="27">
        <v>4880</v>
      </c>
      <c r="AG378" s="27">
        <v>459120</v>
      </c>
      <c r="AH378" s="27">
        <v>56800</v>
      </c>
      <c r="AI378" s="17">
        <v>2018</v>
      </c>
      <c r="AJ378" s="17">
        <v>1</v>
      </c>
      <c r="AK378" s="17">
        <v>0</v>
      </c>
    </row>
    <row r="379" spans="1:37" ht="12.75" customHeight="1">
      <c r="A379" s="82" t="s">
        <v>447</v>
      </c>
      <c r="B379" s="19" t="s">
        <v>427</v>
      </c>
      <c r="C379" s="17">
        <v>42</v>
      </c>
      <c r="D379" s="77" t="s">
        <v>196</v>
      </c>
      <c r="E379" s="19">
        <v>0</v>
      </c>
      <c r="F379" s="33" t="s">
        <v>261</v>
      </c>
      <c r="G379" s="33" t="s">
        <v>428</v>
      </c>
      <c r="H379" s="33" t="s">
        <v>263</v>
      </c>
      <c r="I379" s="17" t="b">
        <v>0</v>
      </c>
      <c r="J379" s="17" t="s">
        <v>43</v>
      </c>
      <c r="K379" s="21" t="str">
        <f t="shared" si="10"/>
        <v>https://version2.ice-d.org/antarctica/sample/R2020-IEI050/</v>
      </c>
      <c r="L379" s="82" t="s">
        <v>112</v>
      </c>
      <c r="M379" s="82"/>
      <c r="O379" s="17" t="s">
        <v>429</v>
      </c>
      <c r="P379" s="22">
        <v>-74.871639999999999</v>
      </c>
      <c r="Q379" s="22">
        <v>163.64580000000001</v>
      </c>
      <c r="R379" s="22"/>
      <c r="S379" s="22">
        <v>256.60000000000002</v>
      </c>
      <c r="T379" s="22">
        <v>0</v>
      </c>
      <c r="U379" s="23">
        <v>300</v>
      </c>
      <c r="V379" s="84" t="s">
        <v>2338</v>
      </c>
      <c r="W379" s="44" t="s">
        <v>2453</v>
      </c>
      <c r="X379" s="22">
        <f t="shared" si="11"/>
        <v>256.60000000000002</v>
      </c>
      <c r="Y379" s="22">
        <v>7</v>
      </c>
      <c r="Z379" s="22">
        <v>2.7</v>
      </c>
      <c r="AA379" s="17" t="s">
        <v>73</v>
      </c>
      <c r="AB379" s="26">
        <v>7629</v>
      </c>
      <c r="AC379" s="26">
        <v>631</v>
      </c>
      <c r="AD379" s="26">
        <v>776</v>
      </c>
      <c r="AE379" s="27">
        <v>51590</v>
      </c>
      <c r="AF379" s="27">
        <v>4260</v>
      </c>
      <c r="AG379" s="27">
        <v>396560</v>
      </c>
      <c r="AH379" s="27">
        <v>31520</v>
      </c>
      <c r="AI379" s="17">
        <v>2018</v>
      </c>
      <c r="AJ379" s="17">
        <v>1</v>
      </c>
      <c r="AK379" s="17">
        <v>0</v>
      </c>
    </row>
    <row r="380" spans="1:37" ht="12.75" customHeight="1">
      <c r="A380" s="82" t="s">
        <v>447</v>
      </c>
      <c r="B380" s="19" t="s">
        <v>427</v>
      </c>
      <c r="C380" s="17">
        <v>42</v>
      </c>
      <c r="D380" s="77" t="s">
        <v>196</v>
      </c>
      <c r="E380" s="19">
        <v>0</v>
      </c>
      <c r="F380" s="33" t="s">
        <v>261</v>
      </c>
      <c r="G380" s="33" t="s">
        <v>428</v>
      </c>
      <c r="H380" s="33" t="s">
        <v>263</v>
      </c>
      <c r="I380" s="17" t="b">
        <v>0</v>
      </c>
      <c r="J380" s="17" t="s">
        <v>64</v>
      </c>
      <c r="K380" s="21" t="str">
        <f t="shared" si="10"/>
        <v>https://version2.ice-d.org/antarctica/sample/R2020-IEI050/</v>
      </c>
      <c r="L380" s="82" t="s">
        <v>112</v>
      </c>
      <c r="M380" s="82"/>
      <c r="O380" s="17" t="s">
        <v>429</v>
      </c>
      <c r="P380" s="22">
        <v>-74.871639999999999</v>
      </c>
      <c r="Q380" s="22">
        <v>163.64580000000001</v>
      </c>
      <c r="R380" s="22"/>
      <c r="S380" s="22">
        <v>256.60000000000002</v>
      </c>
      <c r="T380" s="22">
        <v>0</v>
      </c>
      <c r="U380" s="23">
        <v>300</v>
      </c>
      <c r="V380" s="84" t="s">
        <v>2339</v>
      </c>
      <c r="W380" s="44" t="s">
        <v>2453</v>
      </c>
      <c r="X380" s="22">
        <f t="shared" si="11"/>
        <v>256.60000000000002</v>
      </c>
      <c r="Y380" s="22">
        <v>7</v>
      </c>
      <c r="Z380" s="22">
        <v>2.7</v>
      </c>
      <c r="AA380" s="17" t="s">
        <v>73</v>
      </c>
      <c r="AB380" s="26">
        <v>8237</v>
      </c>
      <c r="AC380" s="26">
        <v>657</v>
      </c>
      <c r="AD380" s="26">
        <v>969</v>
      </c>
      <c r="AE380" s="27">
        <v>51590</v>
      </c>
      <c r="AF380" s="27">
        <v>4260</v>
      </c>
      <c r="AG380" s="27">
        <v>396560</v>
      </c>
      <c r="AH380" s="27">
        <v>31520</v>
      </c>
      <c r="AI380" s="17">
        <v>2018</v>
      </c>
      <c r="AJ380" s="17">
        <v>1</v>
      </c>
      <c r="AK380" s="17">
        <v>0</v>
      </c>
    </row>
    <row r="381" spans="1:37" ht="15.75" customHeight="1">
      <c r="A381" s="82" t="s">
        <v>448</v>
      </c>
      <c r="B381" s="19" t="s">
        <v>427</v>
      </c>
      <c r="C381" s="17">
        <v>42</v>
      </c>
      <c r="D381" s="77" t="s">
        <v>196</v>
      </c>
      <c r="E381" s="19">
        <v>0</v>
      </c>
      <c r="F381" s="33" t="s">
        <v>261</v>
      </c>
      <c r="G381" s="33" t="s">
        <v>428</v>
      </c>
      <c r="H381" s="33" t="s">
        <v>263</v>
      </c>
      <c r="I381" s="17" t="b">
        <v>0</v>
      </c>
      <c r="J381" s="17" t="s">
        <v>64</v>
      </c>
      <c r="K381" s="21" t="str">
        <f t="shared" si="10"/>
        <v>https://version2.ice-d.org/antarctica/sample/R2020-IEI048/</v>
      </c>
      <c r="L381" s="82" t="s">
        <v>112</v>
      </c>
      <c r="M381" s="82"/>
      <c r="O381" s="17" t="s">
        <v>429</v>
      </c>
      <c r="P381" s="22">
        <v>-74.871390000000005</v>
      </c>
      <c r="Q381" s="22">
        <v>163.64690999999999</v>
      </c>
      <c r="R381" s="22"/>
      <c r="S381" s="22">
        <v>260.3</v>
      </c>
      <c r="T381" s="22">
        <v>0</v>
      </c>
      <c r="U381" s="23">
        <v>300</v>
      </c>
      <c r="V381" s="84" t="s">
        <v>2340</v>
      </c>
      <c r="W381" s="44" t="s">
        <v>2453</v>
      </c>
      <c r="X381" s="22">
        <f t="shared" si="11"/>
        <v>260.3</v>
      </c>
      <c r="Y381" s="22">
        <v>6.3</v>
      </c>
      <c r="Z381" s="22">
        <v>2.7</v>
      </c>
      <c r="AA381" s="17" t="s">
        <v>73</v>
      </c>
      <c r="AB381" s="26">
        <v>7690</v>
      </c>
      <c r="AC381" s="26">
        <v>557</v>
      </c>
      <c r="AD381" s="26">
        <v>867</v>
      </c>
      <c r="AE381" s="27">
        <v>52830</v>
      </c>
      <c r="AF381" s="27">
        <v>3860</v>
      </c>
      <c r="AG381" s="27">
        <v>373280</v>
      </c>
      <c r="AH381" s="27">
        <v>26940</v>
      </c>
      <c r="AI381" s="17">
        <v>2018</v>
      </c>
      <c r="AJ381" s="17">
        <v>1</v>
      </c>
      <c r="AK381" s="17">
        <v>0</v>
      </c>
    </row>
    <row r="382" spans="1:37" ht="15.75" customHeight="1">
      <c r="A382" s="82" t="s">
        <v>448</v>
      </c>
      <c r="B382" s="19" t="s">
        <v>427</v>
      </c>
      <c r="C382" s="17">
        <v>42</v>
      </c>
      <c r="D382" s="77" t="s">
        <v>196</v>
      </c>
      <c r="E382" s="19">
        <v>0</v>
      </c>
      <c r="F382" s="33" t="s">
        <v>261</v>
      </c>
      <c r="G382" s="33" t="s">
        <v>428</v>
      </c>
      <c r="H382" s="33" t="s">
        <v>263</v>
      </c>
      <c r="I382" s="17" t="b">
        <v>0</v>
      </c>
      <c r="J382" s="17" t="s">
        <v>43</v>
      </c>
      <c r="K382" s="21" t="str">
        <f t="shared" si="10"/>
        <v>https://version2.ice-d.org/antarctica/sample/R2020-IEI048/</v>
      </c>
      <c r="L382" s="82" t="s">
        <v>112</v>
      </c>
      <c r="M382" s="82"/>
      <c r="O382" s="17" t="s">
        <v>429</v>
      </c>
      <c r="P382" s="22">
        <v>-74.871390000000005</v>
      </c>
      <c r="Q382" s="22">
        <v>163.64690999999999</v>
      </c>
      <c r="R382" s="22"/>
      <c r="S382" s="22">
        <v>260.3</v>
      </c>
      <c r="T382" s="22">
        <v>0</v>
      </c>
      <c r="U382" s="23">
        <v>300</v>
      </c>
      <c r="V382" s="84" t="s">
        <v>2341</v>
      </c>
      <c r="W382" s="44" t="s">
        <v>2453</v>
      </c>
      <c r="X382" s="22">
        <f t="shared" si="11"/>
        <v>260.3</v>
      </c>
      <c r="Y382" s="22">
        <v>6.3</v>
      </c>
      <c r="Z382" s="22">
        <v>2.7</v>
      </c>
      <c r="AA382" s="17" t="s">
        <v>73</v>
      </c>
      <c r="AB382" s="26">
        <v>7736</v>
      </c>
      <c r="AC382" s="26">
        <v>566</v>
      </c>
      <c r="AD382" s="26">
        <v>728</v>
      </c>
      <c r="AE382" s="27">
        <v>52830</v>
      </c>
      <c r="AF382" s="27">
        <v>3860</v>
      </c>
      <c r="AG382" s="27">
        <v>373280</v>
      </c>
      <c r="AH382" s="27">
        <v>26940</v>
      </c>
      <c r="AI382" s="17">
        <v>2018</v>
      </c>
      <c r="AJ382" s="17">
        <v>1</v>
      </c>
      <c r="AK382" s="17">
        <v>0</v>
      </c>
    </row>
    <row r="383" spans="1:37" ht="12.75" customHeight="1">
      <c r="A383" s="82" t="s">
        <v>449</v>
      </c>
      <c r="B383" s="19" t="s">
        <v>427</v>
      </c>
      <c r="C383" s="17">
        <v>42</v>
      </c>
      <c r="D383" s="77" t="s">
        <v>196</v>
      </c>
      <c r="E383" s="19">
        <v>0</v>
      </c>
      <c r="F383" s="33" t="s">
        <v>261</v>
      </c>
      <c r="G383" s="33" t="s">
        <v>428</v>
      </c>
      <c r="H383" s="33" t="s">
        <v>263</v>
      </c>
      <c r="I383" s="17" t="b">
        <v>0</v>
      </c>
      <c r="J383" s="17" t="s">
        <v>43</v>
      </c>
      <c r="K383" s="21" t="str">
        <f t="shared" si="10"/>
        <v>https://version2.ice-d.org/antarctica/sample/R2020-IEI052/</v>
      </c>
      <c r="L383" s="82" t="s">
        <v>112</v>
      </c>
      <c r="M383" s="82"/>
      <c r="O383" s="17" t="s">
        <v>429</v>
      </c>
      <c r="P383" s="22">
        <v>-74.873810000000006</v>
      </c>
      <c r="Q383" s="22">
        <v>163.65716</v>
      </c>
      <c r="R383" s="22"/>
      <c r="S383" s="22">
        <v>242.5</v>
      </c>
      <c r="T383" s="22">
        <v>0</v>
      </c>
      <c r="U383" s="23">
        <v>300</v>
      </c>
      <c r="V383" s="84" t="s">
        <v>2342</v>
      </c>
      <c r="W383" s="44" t="s">
        <v>2453</v>
      </c>
      <c r="X383" s="22">
        <f t="shared" si="11"/>
        <v>242.5</v>
      </c>
      <c r="Y383" s="22">
        <v>8.5</v>
      </c>
      <c r="Z383" s="22">
        <v>2.7</v>
      </c>
      <c r="AA383" s="17" t="s">
        <v>73</v>
      </c>
      <c r="AB383" s="26">
        <v>8533</v>
      </c>
      <c r="AC383" s="26">
        <v>571</v>
      </c>
      <c r="AD383" s="26">
        <v>762</v>
      </c>
      <c r="AE383" s="27">
        <v>56290</v>
      </c>
      <c r="AF383" s="27">
        <v>3760</v>
      </c>
      <c r="AG383" s="27">
        <v>441380</v>
      </c>
      <c r="AH383" s="27">
        <v>35150</v>
      </c>
      <c r="AI383" s="17">
        <v>2018</v>
      </c>
      <c r="AJ383" s="17">
        <v>1</v>
      </c>
      <c r="AK383" s="17">
        <v>0</v>
      </c>
    </row>
    <row r="384" spans="1:37" ht="12.75" customHeight="1">
      <c r="A384" s="82" t="s">
        <v>449</v>
      </c>
      <c r="B384" s="19" t="s">
        <v>427</v>
      </c>
      <c r="C384" s="17">
        <v>42</v>
      </c>
      <c r="D384" s="77" t="s">
        <v>196</v>
      </c>
      <c r="E384" s="19">
        <v>0</v>
      </c>
      <c r="F384" s="33" t="s">
        <v>261</v>
      </c>
      <c r="G384" s="33" t="s">
        <v>428</v>
      </c>
      <c r="H384" s="33" t="s">
        <v>263</v>
      </c>
      <c r="I384" s="17" t="b">
        <v>0</v>
      </c>
      <c r="J384" s="17" t="s">
        <v>64</v>
      </c>
      <c r="K384" s="21" t="str">
        <f t="shared" si="10"/>
        <v>https://version2.ice-d.org/antarctica/sample/R2020-IEI052/</v>
      </c>
      <c r="L384" s="82" t="s">
        <v>112</v>
      </c>
      <c r="M384" s="82"/>
      <c r="O384" s="17" t="s">
        <v>429</v>
      </c>
      <c r="P384" s="22">
        <v>-74.873810000000006</v>
      </c>
      <c r="Q384" s="22">
        <v>163.65716</v>
      </c>
      <c r="R384" s="22"/>
      <c r="S384" s="22">
        <v>242.5</v>
      </c>
      <c r="T384" s="22">
        <v>0</v>
      </c>
      <c r="U384" s="23">
        <v>300</v>
      </c>
      <c r="V384" s="84" t="s">
        <v>2343</v>
      </c>
      <c r="W384" s="44" t="s">
        <v>2453</v>
      </c>
      <c r="X384" s="22">
        <f t="shared" si="11"/>
        <v>242.5</v>
      </c>
      <c r="Y384" s="22">
        <v>8.5</v>
      </c>
      <c r="Z384" s="22">
        <v>2.7</v>
      </c>
      <c r="AA384" s="17" t="s">
        <v>73</v>
      </c>
      <c r="AB384" s="26">
        <v>9431</v>
      </c>
      <c r="AC384" s="26">
        <v>755</v>
      </c>
      <c r="AD384" s="26">
        <v>1111</v>
      </c>
      <c r="AE384" s="27">
        <v>56290</v>
      </c>
      <c r="AF384" s="27">
        <v>3760</v>
      </c>
      <c r="AG384" s="27">
        <v>441380</v>
      </c>
      <c r="AH384" s="27">
        <v>35150</v>
      </c>
      <c r="AI384" s="17">
        <v>2018</v>
      </c>
      <c r="AJ384" s="17">
        <v>1</v>
      </c>
      <c r="AK384" s="17">
        <v>0</v>
      </c>
    </row>
    <row r="385" spans="1:38" ht="12.75" customHeight="1">
      <c r="A385" s="76" t="s">
        <v>450</v>
      </c>
      <c r="B385" s="33" t="s">
        <v>451</v>
      </c>
      <c r="C385" s="27">
        <v>43</v>
      </c>
      <c r="D385" s="77" t="s">
        <v>196</v>
      </c>
      <c r="E385" s="33">
        <v>0</v>
      </c>
      <c r="F385" s="33" t="s">
        <v>452</v>
      </c>
      <c r="G385" s="33" t="s">
        <v>453</v>
      </c>
      <c r="H385" s="19" t="s">
        <v>263</v>
      </c>
      <c r="I385" s="17" t="b">
        <v>1</v>
      </c>
      <c r="J385" s="17" t="s">
        <v>43</v>
      </c>
      <c r="K385" s="21" t="str">
        <f>CONCATENATE("https://version2.ice-d.org/antarctica/sample/", A385, "/")</f>
        <v>https://version2.ice-d.org/antarctica/sample/S2017-T11-8-2/</v>
      </c>
      <c r="L385" s="76" t="s">
        <v>148</v>
      </c>
      <c r="M385" s="85" t="s">
        <v>454</v>
      </c>
      <c r="O385" s="17" t="s">
        <v>455</v>
      </c>
      <c r="P385" s="22">
        <v>-74.047349999999994</v>
      </c>
      <c r="Q385" s="22">
        <v>164.79093</v>
      </c>
      <c r="R385" s="22"/>
      <c r="S385" s="22">
        <v>357</v>
      </c>
      <c r="T385" s="22" t="s">
        <v>456</v>
      </c>
      <c r="U385" s="23">
        <v>400</v>
      </c>
      <c r="V385" s="23" t="s">
        <v>2426</v>
      </c>
      <c r="W385" s="44" t="s">
        <v>2427</v>
      </c>
      <c r="X385" s="22"/>
      <c r="Y385" s="22">
        <v>3.62</v>
      </c>
      <c r="Z385" s="22">
        <v>2.7</v>
      </c>
      <c r="AA385" s="17" t="s">
        <v>84</v>
      </c>
      <c r="AB385" s="26">
        <v>17102</v>
      </c>
      <c r="AC385" s="26">
        <v>394</v>
      </c>
      <c r="AD385" s="26">
        <v>1087</v>
      </c>
      <c r="AE385" s="27">
        <v>126882</v>
      </c>
      <c r="AF385" s="27">
        <v>2911</v>
      </c>
      <c r="AG385" s="28"/>
      <c r="AH385" s="28"/>
      <c r="AI385" s="17">
        <v>2016</v>
      </c>
      <c r="AJ385" s="17">
        <v>0</v>
      </c>
      <c r="AK385" s="34">
        <v>0</v>
      </c>
    </row>
    <row r="386" spans="1:38" ht="15.75" customHeight="1">
      <c r="A386" s="37" t="s">
        <v>457</v>
      </c>
      <c r="B386" s="19" t="s">
        <v>458</v>
      </c>
      <c r="C386" s="27">
        <v>44</v>
      </c>
      <c r="D386" s="77" t="s">
        <v>196</v>
      </c>
      <c r="E386" s="33">
        <v>0</v>
      </c>
      <c r="F386" s="33" t="s">
        <v>452</v>
      </c>
      <c r="G386" s="33" t="s">
        <v>459</v>
      </c>
      <c r="H386" s="33" t="s">
        <v>390</v>
      </c>
      <c r="I386" s="17" t="b">
        <v>1</v>
      </c>
      <c r="K386" s="21" t="s">
        <v>460</v>
      </c>
      <c r="L386" s="37" t="s">
        <v>39</v>
      </c>
      <c r="M386" s="200" t="s">
        <v>44</v>
      </c>
      <c r="O386" s="17" t="s">
        <v>461</v>
      </c>
      <c r="P386" s="22">
        <v>-74.622669999999999</v>
      </c>
      <c r="Q386" s="22">
        <v>164.10966999999999</v>
      </c>
      <c r="R386" s="22"/>
      <c r="S386" s="22">
        <v>284</v>
      </c>
      <c r="T386" s="22">
        <v>0</v>
      </c>
      <c r="U386" s="23">
        <v>400</v>
      </c>
      <c r="V386" s="23" t="s">
        <v>2426</v>
      </c>
      <c r="W386" s="44" t="s">
        <v>2427</v>
      </c>
      <c r="X386" s="22">
        <f t="shared" ref="X386:X552" si="12">S386-T386</f>
        <v>284</v>
      </c>
      <c r="Y386" s="22">
        <v>3.5</v>
      </c>
      <c r="Z386" s="22">
        <v>2.65</v>
      </c>
      <c r="AA386" s="17" t="s">
        <v>51</v>
      </c>
      <c r="AB386" s="26">
        <v>17996</v>
      </c>
      <c r="AC386" s="26">
        <v>1926</v>
      </c>
      <c r="AD386" s="26">
        <v>249</v>
      </c>
      <c r="AE386" s="27">
        <v>200000</v>
      </c>
      <c r="AF386" s="27">
        <v>25000</v>
      </c>
      <c r="AG386" s="27">
        <v>990000</v>
      </c>
      <c r="AH386" s="27">
        <v>105000</v>
      </c>
      <c r="AI386" s="27">
        <v>2006</v>
      </c>
      <c r="AJ386" s="17">
        <v>0</v>
      </c>
      <c r="AK386" s="34">
        <v>1</v>
      </c>
      <c r="AL386" s="17" t="s">
        <v>462</v>
      </c>
    </row>
    <row r="387" spans="1:38" ht="15.75" customHeight="1">
      <c r="A387" s="37" t="s">
        <v>463</v>
      </c>
      <c r="B387" s="19" t="s">
        <v>458</v>
      </c>
      <c r="C387" s="27">
        <v>44</v>
      </c>
      <c r="D387" s="77" t="s">
        <v>196</v>
      </c>
      <c r="E387" s="33">
        <v>0</v>
      </c>
      <c r="F387" s="33" t="s">
        <v>452</v>
      </c>
      <c r="G387" s="33" t="s">
        <v>459</v>
      </c>
      <c r="H387" s="33" t="s">
        <v>390</v>
      </c>
      <c r="I387" s="17" t="b">
        <v>1</v>
      </c>
      <c r="K387" s="21" t="s">
        <v>464</v>
      </c>
      <c r="L387" s="37" t="s">
        <v>39</v>
      </c>
      <c r="M387" s="155"/>
      <c r="O387" s="17" t="s">
        <v>461</v>
      </c>
      <c r="P387" s="22">
        <v>-74.62133</v>
      </c>
      <c r="Q387" s="22">
        <v>164.11349999999999</v>
      </c>
      <c r="R387" s="22"/>
      <c r="S387" s="22">
        <v>290</v>
      </c>
      <c r="T387" s="22">
        <v>0</v>
      </c>
      <c r="U387" s="23">
        <v>400</v>
      </c>
      <c r="V387" s="23" t="s">
        <v>2426</v>
      </c>
      <c r="W387" s="44" t="s">
        <v>2427</v>
      </c>
      <c r="X387" s="22">
        <f t="shared" si="12"/>
        <v>290</v>
      </c>
      <c r="Y387" s="22">
        <v>5</v>
      </c>
      <c r="Z387" s="22">
        <v>2.65</v>
      </c>
      <c r="AA387" s="17" t="s">
        <v>51</v>
      </c>
      <c r="AB387" s="26">
        <v>6724</v>
      </c>
      <c r="AC387" s="26">
        <v>729</v>
      </c>
      <c r="AD387" s="26">
        <v>932</v>
      </c>
      <c r="AE387" s="27">
        <v>80000</v>
      </c>
      <c r="AF387" s="27">
        <v>5000</v>
      </c>
      <c r="AG387" s="27">
        <v>370000</v>
      </c>
      <c r="AH387" s="27">
        <v>40000</v>
      </c>
      <c r="AI387" s="27">
        <v>2006</v>
      </c>
      <c r="AJ387" s="17">
        <v>0</v>
      </c>
      <c r="AK387" s="34">
        <v>1</v>
      </c>
      <c r="AL387" s="17" t="s">
        <v>462</v>
      </c>
    </row>
    <row r="388" spans="1:38" ht="15.75" customHeight="1">
      <c r="A388" s="37" t="s">
        <v>463</v>
      </c>
      <c r="B388" s="19" t="s">
        <v>458</v>
      </c>
      <c r="C388" s="27">
        <v>44</v>
      </c>
      <c r="D388" s="77" t="s">
        <v>196</v>
      </c>
      <c r="E388" s="33">
        <v>0</v>
      </c>
      <c r="F388" s="33" t="s">
        <v>452</v>
      </c>
      <c r="G388" s="33" t="s">
        <v>459</v>
      </c>
      <c r="H388" s="33" t="s">
        <v>390</v>
      </c>
      <c r="I388" s="17" t="b">
        <v>1</v>
      </c>
      <c r="K388" s="21" t="s">
        <v>464</v>
      </c>
      <c r="L388" s="37" t="s">
        <v>39</v>
      </c>
      <c r="M388" s="155"/>
      <c r="O388" s="17" t="s">
        <v>461</v>
      </c>
      <c r="P388" s="22">
        <v>-74.62133</v>
      </c>
      <c r="Q388" s="22">
        <v>164.11349999999999</v>
      </c>
      <c r="R388" s="22"/>
      <c r="S388" s="22">
        <v>290</v>
      </c>
      <c r="T388" s="22">
        <v>0</v>
      </c>
      <c r="U388" s="23">
        <v>400</v>
      </c>
      <c r="V388" s="23" t="s">
        <v>2426</v>
      </c>
      <c r="W388" s="44" t="s">
        <v>2427</v>
      </c>
      <c r="X388" s="22">
        <f t="shared" si="12"/>
        <v>290</v>
      </c>
      <c r="Y388" s="22">
        <v>5</v>
      </c>
      <c r="Z388" s="22">
        <v>2.65</v>
      </c>
      <c r="AA388" s="17" t="s">
        <v>51</v>
      </c>
      <c r="AB388" s="26">
        <v>10283</v>
      </c>
      <c r="AC388" s="26">
        <v>644</v>
      </c>
      <c r="AD388" s="26">
        <v>886</v>
      </c>
      <c r="AE388" s="27">
        <v>80000</v>
      </c>
      <c r="AF388" s="27">
        <v>5000</v>
      </c>
      <c r="AG388" s="27">
        <v>370000</v>
      </c>
      <c r="AH388" s="27">
        <v>40000</v>
      </c>
      <c r="AI388" s="27">
        <v>2006</v>
      </c>
      <c r="AJ388" s="17">
        <v>0</v>
      </c>
      <c r="AK388" s="34">
        <v>1</v>
      </c>
      <c r="AL388" s="17" t="s">
        <v>462</v>
      </c>
    </row>
    <row r="389" spans="1:38" ht="14.25" customHeight="1">
      <c r="A389" s="37" t="s">
        <v>465</v>
      </c>
      <c r="B389" s="19" t="s">
        <v>458</v>
      </c>
      <c r="C389" s="27">
        <v>44</v>
      </c>
      <c r="D389" s="77" t="s">
        <v>196</v>
      </c>
      <c r="E389" s="33">
        <v>0</v>
      </c>
      <c r="F389" s="33" t="s">
        <v>452</v>
      </c>
      <c r="G389" s="86" t="s">
        <v>466</v>
      </c>
      <c r="H389" s="33" t="s">
        <v>390</v>
      </c>
      <c r="I389" s="17" t="b">
        <v>1</v>
      </c>
      <c r="J389" s="17" t="s">
        <v>247</v>
      </c>
      <c r="K389" s="21" t="str">
        <f t="shared" ref="K389:K413" si="13">CONCATENATE("https://version2.ice-d.org/antarctica/sample/", A389, "/")</f>
        <v>https://version2.ice-d.org/antarctica/sample/14-BTN-001-MZS/</v>
      </c>
      <c r="L389" s="37" t="s">
        <v>39</v>
      </c>
      <c r="M389" s="200" t="s">
        <v>44</v>
      </c>
      <c r="O389" s="17" t="s">
        <v>467</v>
      </c>
      <c r="P389" s="22">
        <v>-74.700423999999998</v>
      </c>
      <c r="Q389" s="22">
        <v>164.10193599999999</v>
      </c>
      <c r="R389" s="22"/>
      <c r="S389" s="22">
        <v>125.3</v>
      </c>
      <c r="T389" s="22">
        <v>0</v>
      </c>
      <c r="U389" s="23">
        <v>400</v>
      </c>
      <c r="V389" s="23" t="s">
        <v>2426</v>
      </c>
      <c r="W389" s="44" t="s">
        <v>2427</v>
      </c>
      <c r="X389" s="22">
        <f t="shared" si="12"/>
        <v>125.3</v>
      </c>
      <c r="Y389" s="22">
        <v>4</v>
      </c>
      <c r="Z389" s="22">
        <v>2.7</v>
      </c>
      <c r="AA389" s="17" t="s">
        <v>58</v>
      </c>
      <c r="AB389" s="26">
        <v>8439</v>
      </c>
      <c r="AC389" s="26">
        <v>220</v>
      </c>
      <c r="AD389" s="26">
        <v>766</v>
      </c>
      <c r="AE389" s="27">
        <v>626091</v>
      </c>
      <c r="AF389" s="27">
        <v>12029</v>
      </c>
      <c r="AG389" s="27">
        <v>3977000</v>
      </c>
      <c r="AH389" s="27">
        <v>86900</v>
      </c>
      <c r="AI389" s="17">
        <v>2015</v>
      </c>
      <c r="AJ389" s="17">
        <v>1</v>
      </c>
      <c r="AK389" s="34">
        <v>0</v>
      </c>
    </row>
    <row r="390" spans="1:38" ht="14.25" customHeight="1">
      <c r="A390" s="37" t="s">
        <v>468</v>
      </c>
      <c r="B390" s="19" t="s">
        <v>458</v>
      </c>
      <c r="C390" s="27">
        <v>44</v>
      </c>
      <c r="D390" s="77" t="s">
        <v>196</v>
      </c>
      <c r="E390" s="33">
        <v>0</v>
      </c>
      <c r="F390" s="33" t="s">
        <v>452</v>
      </c>
      <c r="G390" s="86" t="s">
        <v>466</v>
      </c>
      <c r="H390" s="33" t="s">
        <v>390</v>
      </c>
      <c r="I390" s="17" t="b">
        <v>1</v>
      </c>
      <c r="J390" s="17" t="s">
        <v>128</v>
      </c>
      <c r="K390" s="21" t="str">
        <f t="shared" si="13"/>
        <v>https://version2.ice-d.org/antarctica/sample/14-BTN-002-MZS/</v>
      </c>
      <c r="L390" s="37" t="s">
        <v>39</v>
      </c>
      <c r="M390" s="155"/>
      <c r="O390" s="17" t="s">
        <v>467</v>
      </c>
      <c r="P390" s="22">
        <v>-74.700423999999998</v>
      </c>
      <c r="Q390" s="22">
        <v>164.10193599999999</v>
      </c>
      <c r="R390" s="22"/>
      <c r="S390" s="22">
        <v>125.3</v>
      </c>
      <c r="T390" s="22">
        <v>0</v>
      </c>
      <c r="U390" s="23">
        <v>400</v>
      </c>
      <c r="V390" s="23" t="s">
        <v>2426</v>
      </c>
      <c r="W390" s="44" t="s">
        <v>2427</v>
      </c>
      <c r="X390" s="22">
        <f t="shared" si="12"/>
        <v>125.3</v>
      </c>
      <c r="Y390" s="22">
        <v>7</v>
      </c>
      <c r="Z390" s="22">
        <v>2.7</v>
      </c>
      <c r="AA390" s="17" t="s">
        <v>73</v>
      </c>
      <c r="AB390" s="26">
        <v>5766</v>
      </c>
      <c r="AC390" s="26">
        <v>1894</v>
      </c>
      <c r="AD390" s="26">
        <v>1979</v>
      </c>
      <c r="AE390" s="27">
        <v>42455</v>
      </c>
      <c r="AF390" s="27">
        <v>1446</v>
      </c>
      <c r="AG390" s="28"/>
      <c r="AH390" s="28"/>
      <c r="AI390" s="17">
        <v>2015</v>
      </c>
      <c r="AJ390" s="17">
        <v>1</v>
      </c>
      <c r="AK390" s="34">
        <v>0</v>
      </c>
    </row>
    <row r="391" spans="1:38" ht="14.25" customHeight="1">
      <c r="A391" s="37" t="s">
        <v>468</v>
      </c>
      <c r="B391" s="19" t="s">
        <v>458</v>
      </c>
      <c r="C391" s="27">
        <v>44</v>
      </c>
      <c r="D391" s="77" t="s">
        <v>196</v>
      </c>
      <c r="E391" s="33">
        <v>0</v>
      </c>
      <c r="F391" s="33" t="s">
        <v>452</v>
      </c>
      <c r="G391" s="86" t="s">
        <v>466</v>
      </c>
      <c r="H391" s="33" t="s">
        <v>390</v>
      </c>
      <c r="I391" s="17" t="b">
        <v>1</v>
      </c>
      <c r="J391" s="17" t="s">
        <v>43</v>
      </c>
      <c r="K391" s="21" t="str">
        <f t="shared" si="13"/>
        <v>https://version2.ice-d.org/antarctica/sample/14-BTN-002-MZS/</v>
      </c>
      <c r="L391" s="37" t="s">
        <v>39</v>
      </c>
      <c r="M391" s="155"/>
      <c r="O391" s="17" t="s">
        <v>467</v>
      </c>
      <c r="P391" s="22">
        <v>-74.700423999999998</v>
      </c>
      <c r="Q391" s="22">
        <v>164.10193599999999</v>
      </c>
      <c r="R391" s="22"/>
      <c r="S391" s="22">
        <v>125.3</v>
      </c>
      <c r="T391" s="22">
        <v>0</v>
      </c>
      <c r="U391" s="23">
        <v>400</v>
      </c>
      <c r="V391" s="23" t="s">
        <v>2426</v>
      </c>
      <c r="W391" s="44" t="s">
        <v>2427</v>
      </c>
      <c r="X391" s="22">
        <f t="shared" si="12"/>
        <v>125.3</v>
      </c>
      <c r="Y391" s="22">
        <v>7</v>
      </c>
      <c r="Z391" s="22">
        <v>2.7</v>
      </c>
      <c r="AA391" s="17" t="s">
        <v>73</v>
      </c>
      <c r="AB391" s="26">
        <v>7186</v>
      </c>
      <c r="AC391" s="26">
        <v>245</v>
      </c>
      <c r="AD391" s="26">
        <v>490</v>
      </c>
      <c r="AE391" s="27">
        <v>42455</v>
      </c>
      <c r="AF391" s="27">
        <v>1446</v>
      </c>
      <c r="AG391" s="28"/>
      <c r="AH391" s="28"/>
      <c r="AI391" s="17">
        <v>2015</v>
      </c>
      <c r="AJ391" s="17">
        <v>1</v>
      </c>
      <c r="AK391" s="34">
        <v>0</v>
      </c>
    </row>
    <row r="392" spans="1:38" ht="14.25" customHeight="1">
      <c r="A392" s="37" t="s">
        <v>468</v>
      </c>
      <c r="B392" s="19" t="s">
        <v>458</v>
      </c>
      <c r="C392" s="27">
        <v>44</v>
      </c>
      <c r="D392" s="77" t="s">
        <v>196</v>
      </c>
      <c r="E392" s="33">
        <v>0</v>
      </c>
      <c r="F392" s="33" t="s">
        <v>452</v>
      </c>
      <c r="G392" s="86" t="s">
        <v>466</v>
      </c>
      <c r="H392" s="33" t="s">
        <v>390</v>
      </c>
      <c r="I392" s="17" t="b">
        <v>1</v>
      </c>
      <c r="J392" s="17" t="s">
        <v>247</v>
      </c>
      <c r="K392" s="21" t="str">
        <f t="shared" si="13"/>
        <v>https://version2.ice-d.org/antarctica/sample/14-BTN-002-MZS/</v>
      </c>
      <c r="L392" s="37" t="s">
        <v>39</v>
      </c>
      <c r="M392" s="200" t="s">
        <v>44</v>
      </c>
      <c r="O392" s="17" t="s">
        <v>467</v>
      </c>
      <c r="P392" s="22">
        <v>-74.700423999999998</v>
      </c>
      <c r="Q392" s="22">
        <v>164.10193599999999</v>
      </c>
      <c r="R392" s="22"/>
      <c r="S392" s="22">
        <v>125.3</v>
      </c>
      <c r="T392" s="22">
        <v>0</v>
      </c>
      <c r="U392" s="23">
        <v>400</v>
      </c>
      <c r="V392" s="23" t="s">
        <v>2426</v>
      </c>
      <c r="W392" s="44" t="s">
        <v>2427</v>
      </c>
      <c r="X392" s="22">
        <f t="shared" si="12"/>
        <v>125.3</v>
      </c>
      <c r="Y392" s="22">
        <v>7</v>
      </c>
      <c r="Z392" s="22">
        <v>2.7</v>
      </c>
      <c r="AA392" s="17" t="s">
        <v>73</v>
      </c>
      <c r="AB392" s="26">
        <v>7663</v>
      </c>
      <c r="AC392" s="26">
        <v>193</v>
      </c>
      <c r="AD392" s="26">
        <v>660</v>
      </c>
      <c r="AE392" s="27">
        <v>42455</v>
      </c>
      <c r="AF392" s="27">
        <v>1446</v>
      </c>
      <c r="AG392" s="28"/>
      <c r="AH392" s="28"/>
      <c r="AI392" s="17">
        <v>2015</v>
      </c>
      <c r="AJ392" s="17">
        <v>1</v>
      </c>
      <c r="AK392" s="34">
        <v>0</v>
      </c>
    </row>
    <row r="393" spans="1:38" ht="14.25" customHeight="1">
      <c r="A393" s="37" t="s">
        <v>468</v>
      </c>
      <c r="B393" s="19" t="s">
        <v>458</v>
      </c>
      <c r="C393" s="27">
        <v>44</v>
      </c>
      <c r="D393" s="77" t="s">
        <v>196</v>
      </c>
      <c r="E393" s="33">
        <v>0</v>
      </c>
      <c r="F393" s="33" t="s">
        <v>452</v>
      </c>
      <c r="G393" s="86" t="s">
        <v>466</v>
      </c>
      <c r="H393" s="33" t="s">
        <v>390</v>
      </c>
      <c r="I393" s="17" t="b">
        <v>1</v>
      </c>
      <c r="J393" s="17" t="s">
        <v>128</v>
      </c>
      <c r="K393" s="21" t="str">
        <f t="shared" si="13"/>
        <v>https://version2.ice-d.org/antarctica/sample/14-BTN-002-MZS/</v>
      </c>
      <c r="L393" s="37" t="s">
        <v>39</v>
      </c>
      <c r="M393" s="155"/>
      <c r="O393" s="17" t="s">
        <v>467</v>
      </c>
      <c r="P393" s="22">
        <v>-74.700423999999998</v>
      </c>
      <c r="Q393" s="22">
        <v>164.10193599999999</v>
      </c>
      <c r="R393" s="22"/>
      <c r="S393" s="22">
        <v>125.3</v>
      </c>
      <c r="T393" s="22">
        <v>0</v>
      </c>
      <c r="U393" s="23">
        <v>400</v>
      </c>
      <c r="V393" s="23" t="s">
        <v>2426</v>
      </c>
      <c r="W393" s="44" t="s">
        <v>2427</v>
      </c>
      <c r="X393" s="22">
        <f t="shared" si="12"/>
        <v>125.3</v>
      </c>
      <c r="Y393" s="22">
        <v>7</v>
      </c>
      <c r="Z393" s="22">
        <v>2.7</v>
      </c>
      <c r="AA393" s="17" t="s">
        <v>73</v>
      </c>
      <c r="AB393" s="26">
        <v>8249</v>
      </c>
      <c r="AC393" s="26">
        <v>1491</v>
      </c>
      <c r="AD393" s="26">
        <v>1704</v>
      </c>
      <c r="AE393" s="27">
        <v>42455</v>
      </c>
      <c r="AF393" s="27">
        <v>1446</v>
      </c>
      <c r="AG393" s="28"/>
      <c r="AH393" s="28"/>
      <c r="AI393" s="17">
        <v>2015</v>
      </c>
      <c r="AJ393" s="17">
        <v>1</v>
      </c>
      <c r="AK393" s="34">
        <v>0</v>
      </c>
    </row>
    <row r="394" spans="1:38" ht="14.25" customHeight="1">
      <c r="A394" s="37" t="s">
        <v>469</v>
      </c>
      <c r="B394" s="19" t="s">
        <v>458</v>
      </c>
      <c r="C394" s="27">
        <v>44</v>
      </c>
      <c r="D394" s="77" t="s">
        <v>196</v>
      </c>
      <c r="E394" s="33">
        <v>0</v>
      </c>
      <c r="F394" s="33" t="s">
        <v>452</v>
      </c>
      <c r="G394" s="86" t="s">
        <v>466</v>
      </c>
      <c r="H394" s="33" t="s">
        <v>390</v>
      </c>
      <c r="I394" s="17" t="b">
        <v>1</v>
      </c>
      <c r="J394" s="17" t="s">
        <v>247</v>
      </c>
      <c r="K394" s="21" t="str">
        <f t="shared" si="13"/>
        <v>https://version2.ice-d.org/antarctica/sample/14-BTN-003-MZS/</v>
      </c>
      <c r="L394" s="37" t="s">
        <v>39</v>
      </c>
      <c r="M394" s="155"/>
      <c r="O394" s="17" t="s">
        <v>467</v>
      </c>
      <c r="P394" s="22">
        <v>-74.700423999999998</v>
      </c>
      <c r="Q394" s="22">
        <v>164.10193599999999</v>
      </c>
      <c r="R394" s="22"/>
      <c r="S394" s="22">
        <v>125.3</v>
      </c>
      <c r="T394" s="22">
        <v>0</v>
      </c>
      <c r="U394" s="23">
        <v>400</v>
      </c>
      <c r="V394" s="23" t="s">
        <v>2426</v>
      </c>
      <c r="W394" s="44" t="s">
        <v>2427</v>
      </c>
      <c r="X394" s="22">
        <f t="shared" si="12"/>
        <v>125.3</v>
      </c>
      <c r="Y394" s="22">
        <v>5</v>
      </c>
      <c r="Z394" s="22">
        <v>2.7</v>
      </c>
      <c r="AA394" s="17" t="s">
        <v>73</v>
      </c>
      <c r="AB394" s="26">
        <v>8077</v>
      </c>
      <c r="AC394" s="26">
        <v>258</v>
      </c>
      <c r="AD394" s="26">
        <v>732</v>
      </c>
      <c r="AE394" s="27">
        <v>278993</v>
      </c>
      <c r="AF394" s="27">
        <v>5405</v>
      </c>
      <c r="AG394" s="28"/>
      <c r="AH394" s="28"/>
      <c r="AI394" s="17">
        <v>2015</v>
      </c>
      <c r="AJ394" s="17">
        <v>1</v>
      </c>
      <c r="AK394" s="34">
        <v>0</v>
      </c>
    </row>
    <row r="395" spans="1:38" ht="13">
      <c r="A395" s="38" t="s">
        <v>470</v>
      </c>
      <c r="B395" s="33" t="s">
        <v>471</v>
      </c>
      <c r="C395" s="27">
        <v>45</v>
      </c>
      <c r="D395" s="77" t="s">
        <v>196</v>
      </c>
      <c r="E395" s="33">
        <v>0</v>
      </c>
      <c r="F395" s="33" t="s">
        <v>472</v>
      </c>
      <c r="G395" s="33" t="s">
        <v>473</v>
      </c>
      <c r="H395" s="33" t="s">
        <v>390</v>
      </c>
      <c r="I395" s="17" t="b">
        <v>1</v>
      </c>
      <c r="J395" s="17" t="s">
        <v>247</v>
      </c>
      <c r="K395" s="21" t="str">
        <f t="shared" si="13"/>
        <v>https://version2.ice-d.org/antarctica/sample/14-AVG-001-RDF/</v>
      </c>
      <c r="L395" s="38" t="s">
        <v>39</v>
      </c>
      <c r="M395" s="201"/>
      <c r="O395" s="17" t="s">
        <v>474</v>
      </c>
      <c r="P395" s="17">
        <v>-73.958730000000003</v>
      </c>
      <c r="Q395" s="17">
        <v>165.07239999999999</v>
      </c>
      <c r="R395" s="22"/>
      <c r="S395" s="17">
        <v>125.9</v>
      </c>
      <c r="T395" s="22">
        <v>50</v>
      </c>
      <c r="U395" s="23">
        <v>400</v>
      </c>
      <c r="V395" s="23" t="s">
        <v>2426</v>
      </c>
      <c r="W395" s="44" t="s">
        <v>2427</v>
      </c>
      <c r="X395" s="22">
        <f t="shared" si="12"/>
        <v>75.900000000000006</v>
      </c>
      <c r="Y395" s="22"/>
      <c r="Z395" s="22">
        <v>2.7</v>
      </c>
      <c r="AA395" s="17" t="s">
        <v>58</v>
      </c>
      <c r="AB395" s="35">
        <v>7815</v>
      </c>
      <c r="AC395" s="36">
        <v>832</v>
      </c>
      <c r="AD395" s="35">
        <v>1056</v>
      </c>
      <c r="AE395" s="27"/>
      <c r="AF395" s="27"/>
      <c r="AG395" s="28"/>
      <c r="AH395" s="28"/>
      <c r="AI395" s="17">
        <v>2015</v>
      </c>
      <c r="AJ395" s="17">
        <v>1</v>
      </c>
      <c r="AK395" s="17">
        <v>0</v>
      </c>
    </row>
    <row r="396" spans="1:38" ht="13">
      <c r="A396" s="38" t="s">
        <v>470</v>
      </c>
      <c r="B396" s="33" t="s">
        <v>471</v>
      </c>
      <c r="C396" s="27">
        <v>45</v>
      </c>
      <c r="D396" s="77" t="s">
        <v>196</v>
      </c>
      <c r="E396" s="33">
        <v>0</v>
      </c>
      <c r="F396" s="33" t="s">
        <v>472</v>
      </c>
      <c r="G396" s="33" t="s">
        <v>473</v>
      </c>
      <c r="H396" s="33" t="s">
        <v>390</v>
      </c>
      <c r="I396" s="17" t="b">
        <v>1</v>
      </c>
      <c r="J396" s="17" t="s">
        <v>247</v>
      </c>
      <c r="K396" s="21" t="str">
        <f t="shared" si="13"/>
        <v>https://version2.ice-d.org/antarctica/sample/14-AVG-001-RDF/</v>
      </c>
      <c r="L396" s="38" t="s">
        <v>39</v>
      </c>
      <c r="M396" s="155"/>
      <c r="O396" s="17" t="s">
        <v>474</v>
      </c>
      <c r="P396" s="17">
        <v>-73.958730000000003</v>
      </c>
      <c r="Q396" s="17">
        <v>165.07239999999999</v>
      </c>
      <c r="R396" s="22"/>
      <c r="S396" s="17">
        <v>125.9</v>
      </c>
      <c r="T396" s="22">
        <v>50</v>
      </c>
      <c r="U396" s="23">
        <v>400</v>
      </c>
      <c r="V396" s="23" t="s">
        <v>2426</v>
      </c>
      <c r="W396" s="44" t="s">
        <v>2427</v>
      </c>
      <c r="X396" s="22">
        <f t="shared" si="12"/>
        <v>75.900000000000006</v>
      </c>
      <c r="Y396" s="22"/>
      <c r="Z396" s="22">
        <v>2.7</v>
      </c>
      <c r="AA396" s="17" t="s">
        <v>58</v>
      </c>
      <c r="AB396" s="35">
        <v>6793</v>
      </c>
      <c r="AC396" s="36">
        <v>164</v>
      </c>
      <c r="AD396" s="60">
        <v>552</v>
      </c>
      <c r="AE396" s="27"/>
      <c r="AF396" s="27"/>
      <c r="AG396" s="28"/>
      <c r="AH396" s="28"/>
      <c r="AI396" s="17">
        <v>2015</v>
      </c>
      <c r="AJ396" s="17">
        <v>1</v>
      </c>
      <c r="AK396" s="17">
        <v>0</v>
      </c>
    </row>
    <row r="397" spans="1:38" ht="13">
      <c r="A397" s="38" t="s">
        <v>475</v>
      </c>
      <c r="B397" s="33" t="s">
        <v>471</v>
      </c>
      <c r="C397" s="27">
        <v>45</v>
      </c>
      <c r="D397" s="77" t="s">
        <v>196</v>
      </c>
      <c r="E397" s="33">
        <v>0</v>
      </c>
      <c r="F397" s="33" t="s">
        <v>472</v>
      </c>
      <c r="G397" s="33" t="s">
        <v>473</v>
      </c>
      <c r="H397" s="33" t="s">
        <v>390</v>
      </c>
      <c r="I397" s="17" t="b">
        <v>1</v>
      </c>
      <c r="J397" s="17" t="s">
        <v>247</v>
      </c>
      <c r="K397" s="21" t="str">
        <f t="shared" si="13"/>
        <v>https://version2.ice-d.org/antarctica/sample/14-AVG-002-RDF/</v>
      </c>
      <c r="L397" s="38" t="s">
        <v>39</v>
      </c>
      <c r="M397" s="155"/>
      <c r="O397" s="17" t="s">
        <v>474</v>
      </c>
      <c r="P397" s="17">
        <v>-73.958529999999996</v>
      </c>
      <c r="Q397" s="17">
        <v>165.07239000000001</v>
      </c>
      <c r="R397" s="22"/>
      <c r="S397" s="17">
        <v>115.5</v>
      </c>
      <c r="T397" s="22">
        <v>50</v>
      </c>
      <c r="U397" s="23">
        <v>400</v>
      </c>
      <c r="V397" s="23" t="s">
        <v>2426</v>
      </c>
      <c r="W397" s="44" t="s">
        <v>2427</v>
      </c>
      <c r="X397" s="22">
        <f t="shared" si="12"/>
        <v>65.5</v>
      </c>
      <c r="Y397" s="22"/>
      <c r="Z397" s="22">
        <v>2.7</v>
      </c>
      <c r="AA397" s="17" t="s">
        <v>58</v>
      </c>
      <c r="AB397" s="36">
        <v>8426</v>
      </c>
      <c r="AC397" s="36">
        <v>922</v>
      </c>
      <c r="AD397" s="60">
        <v>1178</v>
      </c>
      <c r="AE397" s="27"/>
      <c r="AF397" s="27"/>
      <c r="AG397" s="28"/>
      <c r="AH397" s="28"/>
      <c r="AI397" s="17">
        <v>2015</v>
      </c>
      <c r="AJ397" s="17">
        <v>1</v>
      </c>
      <c r="AK397" s="17">
        <v>0</v>
      </c>
    </row>
    <row r="398" spans="1:38" ht="12.75" customHeight="1">
      <c r="A398" s="38" t="s">
        <v>476</v>
      </c>
      <c r="B398" s="33" t="s">
        <v>471</v>
      </c>
      <c r="C398" s="27">
        <v>45</v>
      </c>
      <c r="D398" s="77" t="s">
        <v>196</v>
      </c>
      <c r="E398" s="33">
        <v>0</v>
      </c>
      <c r="F398" s="33" t="s">
        <v>472</v>
      </c>
      <c r="G398" s="33" t="s">
        <v>473</v>
      </c>
      <c r="H398" s="33" t="s">
        <v>390</v>
      </c>
      <c r="I398" s="17" t="b">
        <v>1</v>
      </c>
      <c r="J398" s="17" t="s">
        <v>247</v>
      </c>
      <c r="K398" s="21" t="str">
        <f t="shared" si="13"/>
        <v>https://version2.ice-d.org/antarctica/sample/14-AVG-003-RDF/</v>
      </c>
      <c r="L398" s="38" t="s">
        <v>39</v>
      </c>
      <c r="M398" s="155"/>
      <c r="O398" s="17" t="s">
        <v>474</v>
      </c>
      <c r="P398" s="17">
        <v>-73.964240000000004</v>
      </c>
      <c r="Q398" s="17">
        <v>165.07988</v>
      </c>
      <c r="R398" s="22"/>
      <c r="S398" s="17">
        <v>200.3</v>
      </c>
      <c r="T398" s="22">
        <v>50</v>
      </c>
      <c r="U398" s="23">
        <v>400</v>
      </c>
      <c r="V398" s="23" t="s">
        <v>2426</v>
      </c>
      <c r="W398" s="44" t="s">
        <v>2427</v>
      </c>
      <c r="X398" s="22">
        <f t="shared" si="12"/>
        <v>150.30000000000001</v>
      </c>
      <c r="Y398" s="22"/>
      <c r="Z398" s="22">
        <v>2.7</v>
      </c>
      <c r="AA398" s="17" t="s">
        <v>58</v>
      </c>
      <c r="AB398" s="35">
        <v>9701</v>
      </c>
      <c r="AC398" s="36">
        <v>1117</v>
      </c>
      <c r="AD398" s="60">
        <v>1449</v>
      </c>
      <c r="AE398" s="27"/>
      <c r="AF398" s="27"/>
      <c r="AG398" s="28"/>
      <c r="AH398" s="28"/>
      <c r="AI398" s="17">
        <v>2015</v>
      </c>
      <c r="AJ398" s="17">
        <v>1</v>
      </c>
      <c r="AK398" s="17">
        <v>0</v>
      </c>
    </row>
    <row r="399" spans="1:38" ht="12.75" customHeight="1">
      <c r="A399" s="38" t="s">
        <v>477</v>
      </c>
      <c r="B399" s="33" t="s">
        <v>471</v>
      </c>
      <c r="C399" s="27">
        <v>45</v>
      </c>
      <c r="D399" s="77" t="s">
        <v>196</v>
      </c>
      <c r="E399" s="33">
        <v>0</v>
      </c>
      <c r="F399" s="33" t="s">
        <v>472</v>
      </c>
      <c r="G399" s="33" t="s">
        <v>473</v>
      </c>
      <c r="H399" s="33" t="s">
        <v>390</v>
      </c>
      <c r="I399" s="17" t="b">
        <v>1</v>
      </c>
      <c r="J399" s="17" t="s">
        <v>247</v>
      </c>
      <c r="K399" s="21" t="str">
        <f t="shared" si="13"/>
        <v>https://version2.ice-d.org/antarctica/sample/14-AVG-004-RDF-A/</v>
      </c>
      <c r="L399" s="38" t="s">
        <v>39</v>
      </c>
      <c r="M399" s="155"/>
      <c r="O399" s="17" t="s">
        <v>474</v>
      </c>
      <c r="P399" s="17">
        <v>-73.965329999999994</v>
      </c>
      <c r="Q399" s="17">
        <v>165.08225999999999</v>
      </c>
      <c r="R399" s="22"/>
      <c r="S399" s="17">
        <v>242.6</v>
      </c>
      <c r="T399" s="22">
        <v>50</v>
      </c>
      <c r="U399" s="23">
        <v>400</v>
      </c>
      <c r="V399" s="23" t="s">
        <v>2426</v>
      </c>
      <c r="W399" s="44" t="s">
        <v>2427</v>
      </c>
      <c r="X399" s="22">
        <f t="shared" si="12"/>
        <v>192.6</v>
      </c>
      <c r="Y399" s="22"/>
      <c r="Z399" s="22">
        <v>2.7</v>
      </c>
      <c r="AA399" s="17" t="s">
        <v>58</v>
      </c>
      <c r="AB399" s="35">
        <v>11326</v>
      </c>
      <c r="AC399" s="36">
        <v>1430</v>
      </c>
      <c r="AD399" s="60">
        <v>1875</v>
      </c>
      <c r="AE399" s="27"/>
      <c r="AF399" s="27"/>
      <c r="AG399" s="28"/>
      <c r="AH399" s="28"/>
      <c r="AI399" s="17">
        <v>2015</v>
      </c>
      <c r="AJ399" s="17">
        <v>1</v>
      </c>
      <c r="AK399" s="17">
        <v>0</v>
      </c>
    </row>
    <row r="400" spans="1:38" ht="12.75" customHeight="1">
      <c r="A400" s="38" t="s">
        <v>478</v>
      </c>
      <c r="B400" s="33" t="s">
        <v>471</v>
      </c>
      <c r="C400" s="27">
        <v>45</v>
      </c>
      <c r="D400" s="77" t="s">
        <v>196</v>
      </c>
      <c r="E400" s="33">
        <v>0</v>
      </c>
      <c r="F400" s="33" t="s">
        <v>472</v>
      </c>
      <c r="G400" s="33" t="s">
        <v>473</v>
      </c>
      <c r="H400" s="33" t="s">
        <v>390</v>
      </c>
      <c r="I400" s="17" t="b">
        <v>1</v>
      </c>
      <c r="J400" s="17" t="s">
        <v>247</v>
      </c>
      <c r="K400" s="21" t="str">
        <f t="shared" si="13"/>
        <v>https://version2.ice-d.org/antarctica/sample/14-AVG-004-RDF-B/</v>
      </c>
      <c r="L400" s="38" t="s">
        <v>39</v>
      </c>
      <c r="M400" s="155"/>
      <c r="O400" s="17" t="s">
        <v>474</v>
      </c>
      <c r="P400" s="17">
        <v>-73.965329999999994</v>
      </c>
      <c r="Q400" s="17">
        <v>165.08225999999999</v>
      </c>
      <c r="R400" s="22"/>
      <c r="S400" s="17">
        <v>242.6</v>
      </c>
      <c r="T400" s="22">
        <v>50</v>
      </c>
      <c r="U400" s="23">
        <v>400</v>
      </c>
      <c r="V400" s="23" t="s">
        <v>2426</v>
      </c>
      <c r="W400" s="44" t="s">
        <v>2427</v>
      </c>
      <c r="X400" s="22">
        <f t="shared" si="12"/>
        <v>192.6</v>
      </c>
      <c r="Y400" s="22"/>
      <c r="Z400" s="22">
        <v>2.7</v>
      </c>
      <c r="AA400" s="17" t="s">
        <v>58</v>
      </c>
      <c r="AB400" s="35">
        <v>11085</v>
      </c>
      <c r="AC400" s="36">
        <v>1369</v>
      </c>
      <c r="AD400" s="60">
        <v>1798</v>
      </c>
      <c r="AE400" s="27"/>
      <c r="AF400" s="27"/>
      <c r="AG400" s="28"/>
      <c r="AH400" s="28"/>
      <c r="AI400" s="17">
        <v>2015</v>
      </c>
      <c r="AJ400" s="17">
        <v>1</v>
      </c>
      <c r="AK400" s="17">
        <v>0</v>
      </c>
    </row>
    <row r="401" spans="1:38" ht="12.75" customHeight="1">
      <c r="A401" s="38" t="s">
        <v>479</v>
      </c>
      <c r="B401" s="33" t="s">
        <v>471</v>
      </c>
      <c r="C401" s="27">
        <v>45</v>
      </c>
      <c r="D401" s="77" t="s">
        <v>196</v>
      </c>
      <c r="E401" s="33">
        <v>0</v>
      </c>
      <c r="F401" s="33" t="s">
        <v>472</v>
      </c>
      <c r="G401" s="33" t="s">
        <v>473</v>
      </c>
      <c r="H401" s="33" t="s">
        <v>390</v>
      </c>
      <c r="I401" s="17" t="b">
        <v>1</v>
      </c>
      <c r="J401" s="17" t="s">
        <v>247</v>
      </c>
      <c r="K401" s="21" t="str">
        <f t="shared" si="13"/>
        <v>https://version2.ice-d.org/antarctica/sample/14-AVG-005-RDF/</v>
      </c>
      <c r="L401" s="38" t="s">
        <v>39</v>
      </c>
      <c r="M401" s="155"/>
      <c r="O401" s="17" t="s">
        <v>474</v>
      </c>
      <c r="P401" s="17">
        <v>-73.960750000000004</v>
      </c>
      <c r="Q401" s="17">
        <v>165.07508999999999</v>
      </c>
      <c r="R401" s="22"/>
      <c r="S401" s="17">
        <v>184.6</v>
      </c>
      <c r="T401" s="22">
        <v>50</v>
      </c>
      <c r="U401" s="23">
        <v>400</v>
      </c>
      <c r="V401" s="23" t="s">
        <v>2426</v>
      </c>
      <c r="W401" s="44" t="s">
        <v>2427</v>
      </c>
      <c r="X401" s="22">
        <f t="shared" si="12"/>
        <v>134.6</v>
      </c>
      <c r="Y401" s="22"/>
      <c r="Z401" s="22">
        <v>2.7</v>
      </c>
      <c r="AA401" s="17" t="s">
        <v>58</v>
      </c>
      <c r="AB401" s="35">
        <v>9591</v>
      </c>
      <c r="AC401" s="36">
        <v>1083</v>
      </c>
      <c r="AD401" s="60">
        <v>1411</v>
      </c>
      <c r="AE401" s="27"/>
      <c r="AF401" s="27"/>
      <c r="AG401" s="28"/>
      <c r="AH401" s="28"/>
      <c r="AI401" s="17">
        <v>2015</v>
      </c>
      <c r="AJ401" s="17">
        <v>1</v>
      </c>
      <c r="AK401" s="17">
        <v>0</v>
      </c>
    </row>
    <row r="402" spans="1:38" ht="12.75" customHeight="1">
      <c r="A402" s="39" t="s">
        <v>480</v>
      </c>
      <c r="B402" s="33" t="s">
        <v>481</v>
      </c>
      <c r="C402" s="27">
        <v>46</v>
      </c>
      <c r="D402" s="33" t="s">
        <v>196</v>
      </c>
      <c r="E402" s="33">
        <v>0</v>
      </c>
      <c r="F402" s="33" t="s">
        <v>482</v>
      </c>
      <c r="G402" s="33" t="s">
        <v>483</v>
      </c>
      <c r="H402" s="33" t="s">
        <v>390</v>
      </c>
      <c r="I402" s="17" t="b">
        <v>1</v>
      </c>
      <c r="J402" s="17" t="s">
        <v>43</v>
      </c>
      <c r="K402" s="21" t="str">
        <f t="shared" si="13"/>
        <v>https://version2.ice-d.org/antarctica/sample/13-HAT-006-LW/</v>
      </c>
      <c r="L402" s="39" t="s">
        <v>148</v>
      </c>
      <c r="M402" s="162" t="s">
        <v>2406</v>
      </c>
      <c r="N402" s="17" t="s">
        <v>39</v>
      </c>
      <c r="O402" s="17" t="s">
        <v>484</v>
      </c>
      <c r="P402" s="22">
        <v>-79.926659999999998</v>
      </c>
      <c r="Q402" s="22">
        <v>156.84691000000001</v>
      </c>
      <c r="R402" s="22"/>
      <c r="S402" s="22">
        <v>1259.7</v>
      </c>
      <c r="T402" s="17">
        <v>845</v>
      </c>
      <c r="U402" s="23">
        <v>500</v>
      </c>
      <c r="V402" s="149" t="s">
        <v>2001</v>
      </c>
      <c r="W402" s="44" t="s">
        <v>2428</v>
      </c>
      <c r="X402" s="22">
        <f t="shared" si="12"/>
        <v>414.70000000000005</v>
      </c>
      <c r="Y402" s="22">
        <v>4</v>
      </c>
      <c r="Z402" s="22">
        <v>2.5</v>
      </c>
      <c r="AA402" s="17" t="s">
        <v>84</v>
      </c>
      <c r="AB402" s="26">
        <v>17993</v>
      </c>
      <c r="AC402" s="26">
        <v>345</v>
      </c>
      <c r="AD402" s="26">
        <v>1121</v>
      </c>
      <c r="AE402" s="27">
        <v>312965</v>
      </c>
      <c r="AF402" s="27">
        <v>5968.35</v>
      </c>
      <c r="AG402" s="28"/>
      <c r="AH402" s="28"/>
      <c r="AI402" s="17">
        <v>2013</v>
      </c>
      <c r="AJ402" s="17">
        <v>1</v>
      </c>
      <c r="AK402" s="34">
        <v>0</v>
      </c>
    </row>
    <row r="403" spans="1:38" ht="12.75" customHeight="1">
      <c r="A403" s="39" t="s">
        <v>485</v>
      </c>
      <c r="B403" s="33" t="s">
        <v>481</v>
      </c>
      <c r="C403" s="27">
        <v>46</v>
      </c>
      <c r="D403" s="33" t="s">
        <v>196</v>
      </c>
      <c r="E403" s="33">
        <v>0</v>
      </c>
      <c r="F403" s="33" t="s">
        <v>482</v>
      </c>
      <c r="G403" s="33" t="s">
        <v>483</v>
      </c>
      <c r="H403" s="33" t="s">
        <v>390</v>
      </c>
      <c r="I403" s="17" t="b">
        <v>1</v>
      </c>
      <c r="J403" s="17" t="s">
        <v>43</v>
      </c>
      <c r="K403" s="21" t="str">
        <f t="shared" si="13"/>
        <v>https://version2.ice-d.org/antarctica/sample/13-HAT-009-LW/</v>
      </c>
      <c r="L403" s="39" t="s">
        <v>148</v>
      </c>
      <c r="M403" s="155"/>
      <c r="N403" s="17" t="s">
        <v>39</v>
      </c>
      <c r="O403" s="17" t="s">
        <v>484</v>
      </c>
      <c r="P403" s="22">
        <v>-79.917749999999998</v>
      </c>
      <c r="Q403" s="22">
        <v>156.80046999999999</v>
      </c>
      <c r="R403" s="22"/>
      <c r="S403" s="22">
        <v>1061.3</v>
      </c>
      <c r="T403" s="17">
        <v>845</v>
      </c>
      <c r="U403" s="23">
        <v>500</v>
      </c>
      <c r="V403" s="23" t="s">
        <v>2001</v>
      </c>
      <c r="W403" s="44" t="s">
        <v>2428</v>
      </c>
      <c r="X403" s="22">
        <f t="shared" si="12"/>
        <v>216.29999999999995</v>
      </c>
      <c r="Y403" s="22">
        <v>5</v>
      </c>
      <c r="Z403" s="22">
        <v>2.65</v>
      </c>
      <c r="AA403" s="17" t="s">
        <v>84</v>
      </c>
      <c r="AB403" s="26">
        <v>13715</v>
      </c>
      <c r="AC403" s="26">
        <v>294</v>
      </c>
      <c r="AD403" s="26">
        <v>864</v>
      </c>
      <c r="AE403" s="27">
        <v>198615</v>
      </c>
      <c r="AF403" s="27">
        <v>4249.1899999999996</v>
      </c>
      <c r="AG403" s="28"/>
      <c r="AH403" s="28"/>
      <c r="AI403" s="17">
        <v>2013</v>
      </c>
      <c r="AJ403" s="17">
        <v>1</v>
      </c>
      <c r="AK403" s="34">
        <v>0</v>
      </c>
    </row>
    <row r="404" spans="1:38" ht="12.75" customHeight="1">
      <c r="A404" s="39" t="s">
        <v>486</v>
      </c>
      <c r="B404" s="33" t="s">
        <v>481</v>
      </c>
      <c r="C404" s="27">
        <v>46</v>
      </c>
      <c r="D404" s="33" t="s">
        <v>196</v>
      </c>
      <c r="E404" s="33">
        <v>0</v>
      </c>
      <c r="F404" s="33" t="s">
        <v>482</v>
      </c>
      <c r="G404" s="33" t="s">
        <v>483</v>
      </c>
      <c r="H404" s="33" t="s">
        <v>390</v>
      </c>
      <c r="I404" s="17" t="b">
        <v>1</v>
      </c>
      <c r="J404" s="17" t="s">
        <v>64</v>
      </c>
      <c r="K404" s="21" t="str">
        <f t="shared" si="13"/>
        <v>https://version2.ice-d.org/antarctica/sample/13-HAT-010-LW/</v>
      </c>
      <c r="L404" s="39" t="s">
        <v>148</v>
      </c>
      <c r="M404" s="155"/>
      <c r="N404" s="17" t="s">
        <v>39</v>
      </c>
      <c r="O404" s="17" t="s">
        <v>484</v>
      </c>
      <c r="P404" s="22">
        <v>-79.917699999999996</v>
      </c>
      <c r="Q404" s="22">
        <v>156.80041</v>
      </c>
      <c r="R404" s="22"/>
      <c r="S404" s="22">
        <v>1061.3</v>
      </c>
      <c r="T404" s="17">
        <v>845</v>
      </c>
      <c r="U404" s="23">
        <v>500</v>
      </c>
      <c r="V404" s="23" t="s">
        <v>2001</v>
      </c>
      <c r="W404" s="44" t="s">
        <v>2428</v>
      </c>
      <c r="X404" s="22">
        <f t="shared" si="12"/>
        <v>216.29999999999995</v>
      </c>
      <c r="Y404" s="22">
        <v>4</v>
      </c>
      <c r="Z404" s="22">
        <v>2.65</v>
      </c>
      <c r="AA404" s="17" t="s">
        <v>84</v>
      </c>
      <c r="AB404" s="26">
        <v>6041</v>
      </c>
      <c r="AC404" s="26">
        <v>263</v>
      </c>
      <c r="AD404" s="26">
        <v>584</v>
      </c>
      <c r="AE404" s="27">
        <v>95910.9</v>
      </c>
      <c r="AF404" s="27">
        <v>3153.79</v>
      </c>
      <c r="AG404" s="27">
        <v>621799</v>
      </c>
      <c r="AH404" s="27">
        <v>26955.599999999999</v>
      </c>
      <c r="AI404" s="17">
        <v>2013</v>
      </c>
      <c r="AJ404" s="17">
        <v>1</v>
      </c>
      <c r="AK404" s="34">
        <v>0</v>
      </c>
    </row>
    <row r="405" spans="1:38" ht="12.75" customHeight="1">
      <c r="A405" s="39" t="s">
        <v>486</v>
      </c>
      <c r="B405" s="33" t="s">
        <v>481</v>
      </c>
      <c r="C405" s="27">
        <v>46</v>
      </c>
      <c r="D405" s="33" t="s">
        <v>196</v>
      </c>
      <c r="E405" s="33">
        <v>0</v>
      </c>
      <c r="F405" s="33" t="s">
        <v>482</v>
      </c>
      <c r="G405" s="33" t="s">
        <v>483</v>
      </c>
      <c r="H405" s="33" t="s">
        <v>390</v>
      </c>
      <c r="I405" s="17" t="b">
        <v>1</v>
      </c>
      <c r="J405" s="17" t="s">
        <v>43</v>
      </c>
      <c r="K405" s="21" t="str">
        <f t="shared" si="13"/>
        <v>https://version2.ice-d.org/antarctica/sample/13-HAT-010-LW/</v>
      </c>
      <c r="L405" s="39" t="s">
        <v>148</v>
      </c>
      <c r="M405" s="155"/>
      <c r="N405" s="17" t="s">
        <v>39</v>
      </c>
      <c r="O405" s="17" t="s">
        <v>484</v>
      </c>
      <c r="P405" s="22">
        <v>-79.917699999999996</v>
      </c>
      <c r="Q405" s="22">
        <v>156.80041</v>
      </c>
      <c r="R405" s="22"/>
      <c r="S405" s="22">
        <v>1061.3</v>
      </c>
      <c r="T405" s="17">
        <v>845</v>
      </c>
      <c r="U405" s="23">
        <v>500</v>
      </c>
      <c r="V405" s="23" t="s">
        <v>2001</v>
      </c>
      <c r="W405" s="44" t="s">
        <v>2428</v>
      </c>
      <c r="X405" s="22">
        <f t="shared" si="12"/>
        <v>216.29999999999995</v>
      </c>
      <c r="Y405" s="22">
        <v>4</v>
      </c>
      <c r="Z405" s="22">
        <v>2.65</v>
      </c>
      <c r="AA405" s="17" t="s">
        <v>84</v>
      </c>
      <c r="AB405" s="26">
        <v>6568</v>
      </c>
      <c r="AC405" s="26">
        <v>216</v>
      </c>
      <c r="AD405" s="26">
        <v>444</v>
      </c>
      <c r="AE405" s="27">
        <v>95910.9</v>
      </c>
      <c r="AF405" s="27">
        <v>3153.79</v>
      </c>
      <c r="AG405" s="27">
        <v>621799</v>
      </c>
      <c r="AH405" s="27">
        <v>26955.599999999999</v>
      </c>
      <c r="AI405" s="17">
        <v>2013</v>
      </c>
      <c r="AJ405" s="17">
        <v>1</v>
      </c>
      <c r="AK405" s="34">
        <v>0</v>
      </c>
    </row>
    <row r="406" spans="1:38" ht="12.75" customHeight="1">
      <c r="A406" s="39" t="s">
        <v>487</v>
      </c>
      <c r="B406" s="33" t="s">
        <v>481</v>
      </c>
      <c r="C406" s="27">
        <v>46</v>
      </c>
      <c r="D406" s="33" t="s">
        <v>196</v>
      </c>
      <c r="E406" s="33">
        <v>0</v>
      </c>
      <c r="F406" s="33" t="s">
        <v>482</v>
      </c>
      <c r="G406" s="33" t="s">
        <v>483</v>
      </c>
      <c r="H406" s="33" t="s">
        <v>390</v>
      </c>
      <c r="I406" s="17" t="b">
        <v>1</v>
      </c>
      <c r="J406" s="17" t="s">
        <v>215</v>
      </c>
      <c r="K406" s="21" t="str">
        <f t="shared" si="13"/>
        <v>https://version2.ice-d.org/antarctica/sample/13-HAT-018-LW/</v>
      </c>
      <c r="L406" s="39" t="s">
        <v>148</v>
      </c>
      <c r="M406" s="155"/>
      <c r="N406" s="17" t="s">
        <v>39</v>
      </c>
      <c r="O406" s="17" t="s">
        <v>484</v>
      </c>
      <c r="P406" s="22">
        <v>-79.912430000000001</v>
      </c>
      <c r="Q406" s="22">
        <v>156.78796</v>
      </c>
      <c r="R406" s="22"/>
      <c r="S406" s="22">
        <v>1012.6</v>
      </c>
      <c r="T406" s="17">
        <v>845</v>
      </c>
      <c r="U406" s="23">
        <v>500</v>
      </c>
      <c r="V406" s="23" t="s">
        <v>2001</v>
      </c>
      <c r="W406" s="44" t="s">
        <v>2428</v>
      </c>
      <c r="X406" s="22">
        <f t="shared" si="12"/>
        <v>167.60000000000002</v>
      </c>
      <c r="Y406" s="22">
        <v>4.5</v>
      </c>
      <c r="Z406" s="22">
        <v>2.65</v>
      </c>
      <c r="AA406" s="17" t="s">
        <v>84</v>
      </c>
      <c r="AB406" s="26">
        <v>6613</v>
      </c>
      <c r="AC406" s="26">
        <v>198</v>
      </c>
      <c r="AD406" s="26">
        <v>438</v>
      </c>
      <c r="AE406" s="27">
        <v>91785.9</v>
      </c>
      <c r="AF406" s="27">
        <v>2746.09</v>
      </c>
      <c r="AG406" s="27">
        <v>682194</v>
      </c>
      <c r="AH406" s="27">
        <v>28785.7</v>
      </c>
      <c r="AI406" s="17">
        <v>2013</v>
      </c>
      <c r="AJ406" s="17">
        <v>1</v>
      </c>
      <c r="AK406" s="34">
        <v>0</v>
      </c>
    </row>
    <row r="407" spans="1:38" ht="12.75" customHeight="1">
      <c r="A407" s="39" t="s">
        <v>487</v>
      </c>
      <c r="B407" s="33" t="s">
        <v>481</v>
      </c>
      <c r="C407" s="27">
        <v>46</v>
      </c>
      <c r="D407" s="33" t="s">
        <v>196</v>
      </c>
      <c r="E407" s="33">
        <v>0</v>
      </c>
      <c r="F407" s="33" t="s">
        <v>482</v>
      </c>
      <c r="G407" s="33" t="s">
        <v>483</v>
      </c>
      <c r="H407" s="33" t="s">
        <v>390</v>
      </c>
      <c r="I407" s="17" t="b">
        <v>1</v>
      </c>
      <c r="J407" s="17" t="s">
        <v>64</v>
      </c>
      <c r="K407" s="21" t="str">
        <f t="shared" si="13"/>
        <v>https://version2.ice-d.org/antarctica/sample/13-HAT-018-LW/</v>
      </c>
      <c r="L407" s="39" t="s">
        <v>148</v>
      </c>
      <c r="M407" s="155"/>
      <c r="N407" s="17" t="s">
        <v>39</v>
      </c>
      <c r="O407" s="17" t="s">
        <v>484</v>
      </c>
      <c r="P407" s="22">
        <v>-79.912430000000001</v>
      </c>
      <c r="Q407" s="22">
        <v>156.78796</v>
      </c>
      <c r="R407" s="22"/>
      <c r="S407" s="22">
        <v>1012.6</v>
      </c>
      <c r="T407" s="17">
        <v>845</v>
      </c>
      <c r="U407" s="23">
        <v>500</v>
      </c>
      <c r="V407" s="23" t="s">
        <v>2001</v>
      </c>
      <c r="W407" s="44" t="s">
        <v>2428</v>
      </c>
      <c r="X407" s="22">
        <f t="shared" si="12"/>
        <v>167.60000000000002</v>
      </c>
      <c r="Y407" s="22">
        <v>4.5</v>
      </c>
      <c r="Z407" s="22">
        <v>2.65</v>
      </c>
      <c r="AA407" s="17" t="s">
        <v>84</v>
      </c>
      <c r="AB407" s="26">
        <v>6963</v>
      </c>
      <c r="AC407" s="26">
        <v>295</v>
      </c>
      <c r="AD407" s="26">
        <v>669</v>
      </c>
      <c r="AE407" s="27">
        <v>91785.9</v>
      </c>
      <c r="AF407" s="27">
        <v>2746.09</v>
      </c>
      <c r="AG407" s="27">
        <v>682194</v>
      </c>
      <c r="AH407" s="27">
        <v>28785.7</v>
      </c>
      <c r="AI407" s="17">
        <v>2013</v>
      </c>
      <c r="AJ407" s="17">
        <v>1</v>
      </c>
      <c r="AK407" s="34">
        <v>0</v>
      </c>
    </row>
    <row r="408" spans="1:38" ht="12.75" customHeight="1">
      <c r="A408" s="39" t="s">
        <v>488</v>
      </c>
      <c r="B408" s="33" t="s">
        <v>481</v>
      </c>
      <c r="C408" s="27">
        <v>46</v>
      </c>
      <c r="D408" s="33" t="s">
        <v>196</v>
      </c>
      <c r="E408" s="33">
        <v>0</v>
      </c>
      <c r="F408" s="33" t="s">
        <v>482</v>
      </c>
      <c r="G408" s="33" t="s">
        <v>483</v>
      </c>
      <c r="H408" s="33" t="s">
        <v>390</v>
      </c>
      <c r="I408" s="17" t="b">
        <v>1</v>
      </c>
      <c r="J408" s="17" t="s">
        <v>43</v>
      </c>
      <c r="K408" s="21" t="str">
        <f t="shared" si="13"/>
        <v>https://version2.ice-d.org/antarctica/sample/13-HAT-020-LW/</v>
      </c>
      <c r="L408" s="39" t="s">
        <v>148</v>
      </c>
      <c r="M408" s="155"/>
      <c r="N408" s="17" t="s">
        <v>39</v>
      </c>
      <c r="O408" s="17" t="s">
        <v>484</v>
      </c>
      <c r="P408" s="22">
        <v>-79.913460000000001</v>
      </c>
      <c r="Q408" s="22">
        <v>156.79339999999999</v>
      </c>
      <c r="R408" s="22"/>
      <c r="S408" s="22">
        <v>1015.8</v>
      </c>
      <c r="T408" s="17">
        <v>845</v>
      </c>
      <c r="U408" s="23">
        <v>500</v>
      </c>
      <c r="V408" s="23" t="s">
        <v>2001</v>
      </c>
      <c r="W408" s="44" t="s">
        <v>2428</v>
      </c>
      <c r="X408" s="22">
        <f t="shared" si="12"/>
        <v>170.79999999999995</v>
      </c>
      <c r="Y408" s="22">
        <v>4</v>
      </c>
      <c r="Z408" s="22">
        <v>2.65</v>
      </c>
      <c r="AA408" s="17" t="s">
        <v>84</v>
      </c>
      <c r="AB408" s="26">
        <v>6670</v>
      </c>
      <c r="AC408" s="26">
        <v>159</v>
      </c>
      <c r="AD408" s="26">
        <v>425</v>
      </c>
      <c r="AE408" s="27">
        <v>93500.9</v>
      </c>
      <c r="AF408" s="27">
        <v>2220.5100000000002</v>
      </c>
      <c r="AG408" s="27">
        <v>671718</v>
      </c>
      <c r="AH408" s="27">
        <v>31946.7</v>
      </c>
      <c r="AI408" s="17">
        <v>2013</v>
      </c>
      <c r="AJ408" s="17">
        <v>1</v>
      </c>
      <c r="AK408" s="34">
        <v>0</v>
      </c>
    </row>
    <row r="409" spans="1:38" ht="12.75" customHeight="1">
      <c r="A409" s="39" t="s">
        <v>488</v>
      </c>
      <c r="B409" s="33" t="s">
        <v>481</v>
      </c>
      <c r="C409" s="27">
        <v>46</v>
      </c>
      <c r="D409" s="33" t="s">
        <v>196</v>
      </c>
      <c r="E409" s="33">
        <v>0</v>
      </c>
      <c r="F409" s="33" t="s">
        <v>482</v>
      </c>
      <c r="G409" s="33" t="s">
        <v>483</v>
      </c>
      <c r="H409" s="33" t="s">
        <v>390</v>
      </c>
      <c r="I409" s="17" t="b">
        <v>1</v>
      </c>
      <c r="J409" s="17" t="s">
        <v>64</v>
      </c>
      <c r="K409" s="21" t="str">
        <f t="shared" si="13"/>
        <v>https://version2.ice-d.org/antarctica/sample/13-HAT-020-LW/</v>
      </c>
      <c r="L409" s="39" t="s">
        <v>148</v>
      </c>
      <c r="M409" s="155"/>
      <c r="N409" s="17" t="s">
        <v>39</v>
      </c>
      <c r="O409" s="17" t="s">
        <v>484</v>
      </c>
      <c r="P409" s="17">
        <v>-79.913460000000001</v>
      </c>
      <c r="Q409" s="17">
        <v>156.79339999999999</v>
      </c>
      <c r="S409" s="17">
        <v>1015.8</v>
      </c>
      <c r="T409" s="17">
        <v>845</v>
      </c>
      <c r="U409" s="23">
        <v>500</v>
      </c>
      <c r="V409" s="23" t="s">
        <v>2001</v>
      </c>
      <c r="W409" s="44" t="s">
        <v>2428</v>
      </c>
      <c r="X409" s="22">
        <f t="shared" si="12"/>
        <v>170.79999999999995</v>
      </c>
      <c r="Y409" s="17">
        <v>4</v>
      </c>
      <c r="Z409" s="17">
        <v>2.65</v>
      </c>
      <c r="AA409" s="17" t="s">
        <v>84</v>
      </c>
      <c r="AB409" s="56">
        <v>6791</v>
      </c>
      <c r="AC409" s="56">
        <v>324</v>
      </c>
      <c r="AD409" s="56">
        <v>670</v>
      </c>
      <c r="AE409" s="28">
        <v>93500.9</v>
      </c>
      <c r="AF409" s="28">
        <v>2220.5100000000002</v>
      </c>
      <c r="AG409" s="28">
        <v>671718</v>
      </c>
      <c r="AH409" s="28">
        <v>31946.7</v>
      </c>
      <c r="AI409" s="17">
        <v>2013</v>
      </c>
      <c r="AJ409" s="17">
        <v>1</v>
      </c>
      <c r="AK409" s="34">
        <v>0</v>
      </c>
    </row>
    <row r="410" spans="1:38" ht="12.75" customHeight="1">
      <c r="A410" s="39" t="s">
        <v>489</v>
      </c>
      <c r="B410" s="33" t="s">
        <v>481</v>
      </c>
      <c r="C410" s="27">
        <v>46</v>
      </c>
      <c r="D410" s="33" t="s">
        <v>196</v>
      </c>
      <c r="E410" s="33">
        <v>0</v>
      </c>
      <c r="F410" s="33" t="s">
        <v>482</v>
      </c>
      <c r="G410" s="33" t="s">
        <v>483</v>
      </c>
      <c r="H410" s="33" t="s">
        <v>390</v>
      </c>
      <c r="I410" s="17" t="b">
        <v>1</v>
      </c>
      <c r="J410" s="17" t="s">
        <v>43</v>
      </c>
      <c r="K410" s="21" t="str">
        <f t="shared" si="13"/>
        <v>https://version2.ice-d.org/antarctica/sample/13-HAT-031-LW/</v>
      </c>
      <c r="L410" s="39" t="s">
        <v>148</v>
      </c>
      <c r="M410" s="155"/>
      <c r="N410" s="17" t="s">
        <v>39</v>
      </c>
      <c r="O410" s="17" t="s">
        <v>484</v>
      </c>
      <c r="P410" s="22">
        <v>-79.890439999999998</v>
      </c>
      <c r="Q410" s="22">
        <v>156.75995</v>
      </c>
      <c r="R410" s="22"/>
      <c r="S410" s="22">
        <v>1124.8</v>
      </c>
      <c r="T410" s="17">
        <v>845</v>
      </c>
      <c r="U410" s="23">
        <v>500</v>
      </c>
      <c r="V410" s="23" t="s">
        <v>2001</v>
      </c>
      <c r="W410" s="44" t="s">
        <v>2428</v>
      </c>
      <c r="X410" s="22">
        <f t="shared" si="12"/>
        <v>279.79999999999995</v>
      </c>
      <c r="Y410" s="22">
        <v>4</v>
      </c>
      <c r="Z410" s="22">
        <v>2.5</v>
      </c>
      <c r="AA410" s="17" t="s">
        <v>84</v>
      </c>
      <c r="AB410" s="26">
        <v>10378</v>
      </c>
      <c r="AC410" s="26">
        <v>207</v>
      </c>
      <c r="AD410" s="26">
        <v>648</v>
      </c>
      <c r="AE410" s="27">
        <v>161162</v>
      </c>
      <c r="AF410" s="27">
        <v>3211.17</v>
      </c>
      <c r="AG410" s="28"/>
      <c r="AH410" s="28"/>
      <c r="AI410" s="17">
        <v>2013</v>
      </c>
      <c r="AJ410" s="17">
        <v>1</v>
      </c>
      <c r="AK410" s="34">
        <v>0</v>
      </c>
    </row>
    <row r="411" spans="1:38" ht="12.75" customHeight="1">
      <c r="A411" s="39" t="s">
        <v>490</v>
      </c>
      <c r="B411" s="33" t="s">
        <v>481</v>
      </c>
      <c r="C411" s="27">
        <v>46</v>
      </c>
      <c r="D411" s="33" t="s">
        <v>196</v>
      </c>
      <c r="E411" s="33">
        <v>0</v>
      </c>
      <c r="F411" s="33" t="s">
        <v>482</v>
      </c>
      <c r="G411" s="33" t="s">
        <v>483</v>
      </c>
      <c r="H411" s="33" t="s">
        <v>390</v>
      </c>
      <c r="I411" s="17" t="b">
        <v>1</v>
      </c>
      <c r="J411" s="17" t="s">
        <v>43</v>
      </c>
      <c r="K411" s="21" t="str">
        <f t="shared" si="13"/>
        <v>https://version2.ice-d.org/antarctica/sample/13-HAT-041-LW/</v>
      </c>
      <c r="L411" s="39" t="s">
        <v>148</v>
      </c>
      <c r="M411" s="155"/>
      <c r="N411" s="17" t="s">
        <v>39</v>
      </c>
      <c r="O411" s="17" t="s">
        <v>484</v>
      </c>
      <c r="P411" s="22">
        <v>-79.918639999999996</v>
      </c>
      <c r="Q411" s="22">
        <v>157.04752999999999</v>
      </c>
      <c r="R411" s="22"/>
      <c r="S411" s="22">
        <v>998.2</v>
      </c>
      <c r="T411" s="17">
        <v>845</v>
      </c>
      <c r="U411" s="23">
        <v>500</v>
      </c>
      <c r="V411" s="23" t="s">
        <v>2001</v>
      </c>
      <c r="W411" s="44" t="s">
        <v>2428</v>
      </c>
      <c r="X411" s="22">
        <f t="shared" si="12"/>
        <v>153.20000000000005</v>
      </c>
      <c r="Y411" s="22">
        <v>5</v>
      </c>
      <c r="Z411" s="22">
        <v>2.5</v>
      </c>
      <c r="AA411" s="17" t="s">
        <v>84</v>
      </c>
      <c r="AB411" s="26">
        <v>16585</v>
      </c>
      <c r="AC411" s="26">
        <v>505</v>
      </c>
      <c r="AD411" s="26">
        <v>1105</v>
      </c>
      <c r="AE411" s="27">
        <v>227042</v>
      </c>
      <c r="AF411" s="27">
        <v>6884.57</v>
      </c>
      <c r="AG411" s="28"/>
      <c r="AH411" s="28"/>
      <c r="AI411" s="17">
        <v>2013</v>
      </c>
      <c r="AJ411" s="17">
        <v>1</v>
      </c>
      <c r="AK411" s="34">
        <v>0</v>
      </c>
    </row>
    <row r="412" spans="1:38" ht="12.75" customHeight="1">
      <c r="A412" s="39" t="s">
        <v>491</v>
      </c>
      <c r="B412" s="33" t="s">
        <v>481</v>
      </c>
      <c r="C412" s="27">
        <v>46</v>
      </c>
      <c r="D412" s="33" t="s">
        <v>196</v>
      </c>
      <c r="E412" s="33">
        <v>0</v>
      </c>
      <c r="F412" s="33" t="s">
        <v>482</v>
      </c>
      <c r="G412" s="33" t="s">
        <v>483</v>
      </c>
      <c r="H412" s="33" t="s">
        <v>390</v>
      </c>
      <c r="I412" s="17" t="b">
        <v>1</v>
      </c>
      <c r="J412" s="17" t="s">
        <v>43</v>
      </c>
      <c r="K412" s="21" t="str">
        <f t="shared" si="13"/>
        <v>https://version2.ice-d.org/antarctica/sample/13-HAT-049a-LW/</v>
      </c>
      <c r="L412" s="39" t="s">
        <v>148</v>
      </c>
      <c r="M412" s="155"/>
      <c r="N412" s="17" t="s">
        <v>39</v>
      </c>
      <c r="O412" s="17" t="s">
        <v>484</v>
      </c>
      <c r="P412" s="22">
        <v>-79.932910000000007</v>
      </c>
      <c r="Q412" s="22">
        <v>156.96286000000001</v>
      </c>
      <c r="R412" s="22"/>
      <c r="S412" s="22">
        <v>857</v>
      </c>
      <c r="T412" s="17">
        <v>845</v>
      </c>
      <c r="U412" s="23">
        <v>500</v>
      </c>
      <c r="V412" s="23" t="s">
        <v>2001</v>
      </c>
      <c r="W412" s="44" t="s">
        <v>2428</v>
      </c>
      <c r="X412" s="22">
        <f t="shared" si="12"/>
        <v>12</v>
      </c>
      <c r="Y412" s="22">
        <v>6</v>
      </c>
      <c r="Z412" s="22">
        <v>2.5</v>
      </c>
      <c r="AA412" s="17" t="s">
        <v>84</v>
      </c>
      <c r="AB412" s="26">
        <v>400</v>
      </c>
      <c r="AC412" s="26">
        <v>37</v>
      </c>
      <c r="AD412" s="26">
        <v>44</v>
      </c>
      <c r="AE412" s="27">
        <v>4879.76</v>
      </c>
      <c r="AF412" s="27">
        <v>452.69099999999997</v>
      </c>
      <c r="AG412" s="28"/>
      <c r="AH412" s="28"/>
      <c r="AI412" s="17">
        <v>2013</v>
      </c>
      <c r="AJ412" s="17">
        <v>1</v>
      </c>
      <c r="AK412" s="34">
        <v>0</v>
      </c>
    </row>
    <row r="413" spans="1:38" ht="12.75" customHeight="1">
      <c r="A413" s="39" t="s">
        <v>492</v>
      </c>
      <c r="B413" s="33" t="s">
        <v>481</v>
      </c>
      <c r="C413" s="27">
        <v>46</v>
      </c>
      <c r="D413" s="33" t="s">
        <v>196</v>
      </c>
      <c r="E413" s="33">
        <v>0</v>
      </c>
      <c r="F413" s="33" t="s">
        <v>482</v>
      </c>
      <c r="G413" s="33" t="s">
        <v>483</v>
      </c>
      <c r="H413" s="33" t="s">
        <v>390</v>
      </c>
      <c r="I413" s="17" t="b">
        <v>1</v>
      </c>
      <c r="J413" s="17" t="s">
        <v>43</v>
      </c>
      <c r="K413" s="21" t="str">
        <f t="shared" si="13"/>
        <v>https://version2.ice-d.org/antarctica/sample/13-HAT-058-LW/</v>
      </c>
      <c r="L413" s="39" t="s">
        <v>148</v>
      </c>
      <c r="M413" s="155"/>
      <c r="N413" s="17" t="s">
        <v>39</v>
      </c>
      <c r="O413" s="17" t="s">
        <v>484</v>
      </c>
      <c r="P413" s="22">
        <v>-79.916960000000003</v>
      </c>
      <c r="Q413" s="22">
        <v>156.90154000000001</v>
      </c>
      <c r="R413" s="22"/>
      <c r="S413" s="22">
        <v>865.4</v>
      </c>
      <c r="T413" s="17">
        <v>845</v>
      </c>
      <c r="U413" s="23">
        <v>500</v>
      </c>
      <c r="V413" s="23" t="s">
        <v>2001</v>
      </c>
      <c r="W413" s="44" t="s">
        <v>2428</v>
      </c>
      <c r="X413" s="22">
        <f t="shared" si="12"/>
        <v>20.399999999999977</v>
      </c>
      <c r="Y413" s="22">
        <v>6.75</v>
      </c>
      <c r="Z413" s="22">
        <v>2.65</v>
      </c>
      <c r="AA413" s="17" t="s">
        <v>84</v>
      </c>
      <c r="AB413" s="26">
        <v>1229</v>
      </c>
      <c r="AC413" s="26">
        <v>59</v>
      </c>
      <c r="AD413" s="26">
        <v>93</v>
      </c>
      <c r="AE413" s="27">
        <v>15460.8</v>
      </c>
      <c r="AF413" s="27">
        <v>737.35599999999999</v>
      </c>
      <c r="AG413" s="28"/>
      <c r="AH413" s="28"/>
      <c r="AI413" s="17">
        <v>2013</v>
      </c>
      <c r="AJ413" s="17">
        <v>1</v>
      </c>
      <c r="AK413" s="34">
        <v>0</v>
      </c>
    </row>
    <row r="414" spans="1:38" ht="18" customHeight="1">
      <c r="A414" s="63" t="s">
        <v>493</v>
      </c>
      <c r="B414" s="33" t="s">
        <v>481</v>
      </c>
      <c r="C414" s="27">
        <v>47</v>
      </c>
      <c r="D414" s="33" t="s">
        <v>196</v>
      </c>
      <c r="E414" s="33">
        <v>0</v>
      </c>
      <c r="F414" s="33" t="s">
        <v>482</v>
      </c>
      <c r="G414" s="19" t="s">
        <v>494</v>
      </c>
      <c r="H414" s="33" t="s">
        <v>390</v>
      </c>
      <c r="I414" s="17" t="b">
        <v>1</v>
      </c>
      <c r="J414" s="17" t="s">
        <v>43</v>
      </c>
      <c r="K414" s="21" t="s">
        <v>495</v>
      </c>
      <c r="L414" s="63" t="s">
        <v>148</v>
      </c>
      <c r="M414" s="192" t="s">
        <v>496</v>
      </c>
      <c r="N414" s="17" t="s">
        <v>39</v>
      </c>
      <c r="O414" s="17" t="s">
        <v>497</v>
      </c>
      <c r="P414" s="22">
        <v>-79.89073028</v>
      </c>
      <c r="Q414" s="22">
        <v>156.75927780000001</v>
      </c>
      <c r="R414" s="22"/>
      <c r="S414" s="22">
        <v>1115</v>
      </c>
      <c r="T414" s="17">
        <v>845</v>
      </c>
      <c r="U414" s="23">
        <v>500</v>
      </c>
      <c r="V414" s="23" t="s">
        <v>2001</v>
      </c>
      <c r="W414" s="44" t="s">
        <v>2428</v>
      </c>
      <c r="X414" s="22">
        <f t="shared" si="12"/>
        <v>270</v>
      </c>
      <c r="Y414" s="22">
        <v>5</v>
      </c>
      <c r="Z414" s="22">
        <v>2.25</v>
      </c>
      <c r="AA414" s="17" t="s">
        <v>46</v>
      </c>
      <c r="AB414" s="26">
        <v>15771</v>
      </c>
      <c r="AC414" s="26">
        <v>1438</v>
      </c>
      <c r="AD414" s="26">
        <v>1714</v>
      </c>
      <c r="AE414" s="27">
        <v>240100</v>
      </c>
      <c r="AF414" s="27">
        <v>21800</v>
      </c>
      <c r="AG414" s="28"/>
      <c r="AH414" s="28"/>
      <c r="AI414" s="17">
        <v>2008</v>
      </c>
      <c r="AJ414" s="17">
        <v>0</v>
      </c>
      <c r="AK414" s="17">
        <v>1</v>
      </c>
      <c r="AL414" s="17" t="s">
        <v>498</v>
      </c>
    </row>
    <row r="415" spans="1:38" ht="18" customHeight="1">
      <c r="A415" s="63" t="s">
        <v>499</v>
      </c>
      <c r="B415" s="33" t="s">
        <v>481</v>
      </c>
      <c r="C415" s="27">
        <v>47</v>
      </c>
      <c r="D415" s="33" t="s">
        <v>196</v>
      </c>
      <c r="E415" s="33">
        <v>0</v>
      </c>
      <c r="F415" s="33" t="s">
        <v>482</v>
      </c>
      <c r="G415" s="19" t="s">
        <v>494</v>
      </c>
      <c r="H415" s="33" t="s">
        <v>390</v>
      </c>
      <c r="I415" s="17" t="b">
        <v>1</v>
      </c>
      <c r="J415" s="17" t="s">
        <v>43</v>
      </c>
      <c r="K415" s="21" t="s">
        <v>500</v>
      </c>
      <c r="L415" s="63" t="s">
        <v>148</v>
      </c>
      <c r="M415" s="155"/>
      <c r="N415" s="17" t="s">
        <v>39</v>
      </c>
      <c r="O415" s="17" t="s">
        <v>501</v>
      </c>
      <c r="P415" s="22">
        <v>-79.916896109999996</v>
      </c>
      <c r="Q415" s="22">
        <v>156.91094079999999</v>
      </c>
      <c r="R415" s="22"/>
      <c r="S415" s="22">
        <v>852</v>
      </c>
      <c r="T415" s="17">
        <v>845</v>
      </c>
      <c r="U415" s="23">
        <v>500</v>
      </c>
      <c r="V415" s="23" t="s">
        <v>2001</v>
      </c>
      <c r="W415" s="44" t="s">
        <v>2428</v>
      </c>
      <c r="X415" s="22">
        <f t="shared" si="12"/>
        <v>7</v>
      </c>
      <c r="Y415" s="22">
        <v>3</v>
      </c>
      <c r="Z415" s="22">
        <v>2.25</v>
      </c>
      <c r="AA415" s="17" t="s">
        <v>46</v>
      </c>
      <c r="AB415" s="26">
        <v>705</v>
      </c>
      <c r="AC415" s="26">
        <v>108</v>
      </c>
      <c r="AD415" s="26">
        <v>116</v>
      </c>
      <c r="AE415" s="27">
        <v>9100</v>
      </c>
      <c r="AF415" s="27">
        <v>1400</v>
      </c>
      <c r="AG415" s="27">
        <v>100100</v>
      </c>
      <c r="AH415" s="27">
        <v>50000</v>
      </c>
      <c r="AI415" s="17">
        <v>2008</v>
      </c>
      <c r="AJ415" s="17">
        <v>0</v>
      </c>
      <c r="AK415" s="17">
        <v>0</v>
      </c>
      <c r="AL415" s="17" t="s">
        <v>502</v>
      </c>
    </row>
    <row r="416" spans="1:38" ht="18" customHeight="1">
      <c r="A416" s="63" t="s">
        <v>499</v>
      </c>
      <c r="B416" s="33" t="s">
        <v>481</v>
      </c>
      <c r="C416" s="27">
        <v>47</v>
      </c>
      <c r="D416" s="33" t="s">
        <v>196</v>
      </c>
      <c r="E416" s="33">
        <v>0</v>
      </c>
      <c r="F416" s="33" t="s">
        <v>482</v>
      </c>
      <c r="G416" s="19" t="s">
        <v>494</v>
      </c>
      <c r="H416" s="33" t="s">
        <v>390</v>
      </c>
      <c r="I416" s="17" t="b">
        <v>1</v>
      </c>
      <c r="J416" s="17" t="s">
        <v>64</v>
      </c>
      <c r="K416" s="21" t="s">
        <v>500</v>
      </c>
      <c r="L416" s="63" t="s">
        <v>148</v>
      </c>
      <c r="M416" s="155"/>
      <c r="N416" s="17" t="s">
        <v>39</v>
      </c>
      <c r="O416" s="17" t="s">
        <v>503</v>
      </c>
      <c r="P416" s="22">
        <v>-79.916896109999996</v>
      </c>
      <c r="Q416" s="22">
        <v>156.91094079999999</v>
      </c>
      <c r="R416" s="22"/>
      <c r="S416" s="22">
        <v>852</v>
      </c>
      <c r="T416" s="17">
        <v>845</v>
      </c>
      <c r="U416" s="23">
        <v>500</v>
      </c>
      <c r="V416" s="23" t="s">
        <v>2001</v>
      </c>
      <c r="W416" s="44" t="s">
        <v>2428</v>
      </c>
      <c r="X416" s="22">
        <f t="shared" si="12"/>
        <v>7</v>
      </c>
      <c r="Y416" s="22">
        <v>3</v>
      </c>
      <c r="Z416" s="22">
        <v>2.25</v>
      </c>
      <c r="AA416" s="17" t="s">
        <v>46</v>
      </c>
      <c r="AB416" s="26">
        <v>1103</v>
      </c>
      <c r="AC416" s="26">
        <v>551</v>
      </c>
      <c r="AD416" s="26">
        <v>559</v>
      </c>
      <c r="AE416" s="27">
        <v>9100</v>
      </c>
      <c r="AF416" s="27">
        <v>1400</v>
      </c>
      <c r="AG416" s="27">
        <v>100100</v>
      </c>
      <c r="AH416" s="27">
        <v>50000</v>
      </c>
      <c r="AI416" s="17">
        <v>2008</v>
      </c>
      <c r="AJ416" s="17">
        <v>0</v>
      </c>
      <c r="AK416" s="17">
        <v>0</v>
      </c>
      <c r="AL416" s="17" t="s">
        <v>502</v>
      </c>
    </row>
    <row r="417" spans="1:39" ht="12.75" customHeight="1">
      <c r="A417" s="63" t="s">
        <v>504</v>
      </c>
      <c r="B417" s="33" t="s">
        <v>481</v>
      </c>
      <c r="C417" s="27">
        <v>47</v>
      </c>
      <c r="D417" s="33" t="s">
        <v>196</v>
      </c>
      <c r="E417" s="33">
        <v>0</v>
      </c>
      <c r="F417" s="33" t="s">
        <v>482</v>
      </c>
      <c r="G417" s="19" t="s">
        <v>494</v>
      </c>
      <c r="H417" s="33" t="s">
        <v>390</v>
      </c>
      <c r="I417" s="17" t="b">
        <v>1</v>
      </c>
      <c r="J417" s="17" t="s">
        <v>64</v>
      </c>
      <c r="K417" s="21" t="s">
        <v>505</v>
      </c>
      <c r="L417" s="63" t="s">
        <v>148</v>
      </c>
      <c r="M417" s="155"/>
      <c r="N417" s="17" t="s">
        <v>39</v>
      </c>
      <c r="O417" s="17" t="s">
        <v>506</v>
      </c>
      <c r="P417" s="22">
        <v>-79.916975280000003</v>
      </c>
      <c r="Q417" s="22">
        <v>156.9099008</v>
      </c>
      <c r="R417" s="22"/>
      <c r="S417" s="22">
        <v>850</v>
      </c>
      <c r="T417" s="17">
        <v>845</v>
      </c>
      <c r="U417" s="23">
        <v>500</v>
      </c>
      <c r="V417" s="23" t="s">
        <v>2001</v>
      </c>
      <c r="W417" s="44" t="s">
        <v>2428</v>
      </c>
      <c r="X417" s="22">
        <f t="shared" si="12"/>
        <v>5</v>
      </c>
      <c r="Y417" s="22">
        <v>5</v>
      </c>
      <c r="Z417" s="22">
        <v>2.65</v>
      </c>
      <c r="AA417" s="17" t="s">
        <v>46</v>
      </c>
      <c r="AB417" s="26">
        <v>15215</v>
      </c>
      <c r="AC417" s="26">
        <v>957</v>
      </c>
      <c r="AD417" s="26">
        <v>1629</v>
      </c>
      <c r="AE417" s="27">
        <v>224300</v>
      </c>
      <c r="AF417" s="27">
        <v>6400</v>
      </c>
      <c r="AG417" s="27">
        <v>1281000</v>
      </c>
      <c r="AH417" s="27">
        <v>80000</v>
      </c>
      <c r="AI417" s="17">
        <v>2008</v>
      </c>
      <c r="AJ417" s="17">
        <v>0</v>
      </c>
      <c r="AK417" s="17">
        <v>1</v>
      </c>
      <c r="AL417" s="17" t="s">
        <v>498</v>
      </c>
    </row>
    <row r="418" spans="1:39" ht="18" customHeight="1">
      <c r="A418" s="63" t="s">
        <v>507</v>
      </c>
      <c r="B418" s="33" t="s">
        <v>481</v>
      </c>
      <c r="C418" s="27">
        <v>47</v>
      </c>
      <c r="D418" s="33" t="s">
        <v>196</v>
      </c>
      <c r="E418" s="33">
        <v>0</v>
      </c>
      <c r="F418" s="33" t="s">
        <v>482</v>
      </c>
      <c r="G418" s="19" t="s">
        <v>494</v>
      </c>
      <c r="H418" s="33" t="s">
        <v>390</v>
      </c>
      <c r="I418" s="17" t="b">
        <v>1</v>
      </c>
      <c r="J418" s="17" t="s">
        <v>64</v>
      </c>
      <c r="K418" s="21" t="s">
        <v>508</v>
      </c>
      <c r="L418" s="63" t="s">
        <v>148</v>
      </c>
      <c r="M418" s="155"/>
      <c r="N418" s="17" t="s">
        <v>39</v>
      </c>
      <c r="O418" s="17" t="s">
        <v>509</v>
      </c>
      <c r="P418" s="22">
        <v>-79.921614169999998</v>
      </c>
      <c r="Q418" s="22">
        <v>156.8993586</v>
      </c>
      <c r="R418" s="22"/>
      <c r="S418" s="22">
        <v>892</v>
      </c>
      <c r="T418" s="17">
        <v>845</v>
      </c>
      <c r="U418" s="23">
        <v>500</v>
      </c>
      <c r="V418" s="23" t="s">
        <v>2001</v>
      </c>
      <c r="W418" s="44" t="s">
        <v>2428</v>
      </c>
      <c r="X418" s="22">
        <f t="shared" si="12"/>
        <v>47</v>
      </c>
      <c r="Y418" s="22">
        <v>3</v>
      </c>
      <c r="Z418" s="22">
        <v>2.65</v>
      </c>
      <c r="AA418" s="17" t="s">
        <v>51</v>
      </c>
      <c r="AB418" s="26">
        <v>1462</v>
      </c>
      <c r="AC418" s="26">
        <v>214</v>
      </c>
      <c r="AD418" s="26">
        <v>248</v>
      </c>
      <c r="AE418" s="27">
        <v>32800</v>
      </c>
      <c r="AF418" s="27">
        <v>1900</v>
      </c>
      <c r="AG418" s="27">
        <v>136700</v>
      </c>
      <c r="AH418" s="27">
        <v>20000</v>
      </c>
      <c r="AI418" s="17">
        <v>2008</v>
      </c>
      <c r="AJ418" s="17">
        <v>0</v>
      </c>
      <c r="AK418" s="17">
        <v>0</v>
      </c>
      <c r="AL418" s="17" t="s">
        <v>502</v>
      </c>
    </row>
    <row r="419" spans="1:39" ht="18" customHeight="1">
      <c r="A419" s="63" t="s">
        <v>507</v>
      </c>
      <c r="B419" s="33" t="s">
        <v>481</v>
      </c>
      <c r="C419" s="27">
        <v>47</v>
      </c>
      <c r="D419" s="33" t="s">
        <v>196</v>
      </c>
      <c r="E419" s="33">
        <v>0</v>
      </c>
      <c r="F419" s="33" t="s">
        <v>482</v>
      </c>
      <c r="G419" s="19" t="s">
        <v>494</v>
      </c>
      <c r="H419" s="33" t="s">
        <v>390</v>
      </c>
      <c r="I419" s="17" t="b">
        <v>1</v>
      </c>
      <c r="J419" s="17" t="s">
        <v>43</v>
      </c>
      <c r="K419" s="21" t="s">
        <v>508</v>
      </c>
      <c r="L419" s="63" t="s">
        <v>148</v>
      </c>
      <c r="M419" s="155"/>
      <c r="N419" s="17" t="s">
        <v>39</v>
      </c>
      <c r="O419" s="17" t="s">
        <v>510</v>
      </c>
      <c r="P419" s="22">
        <v>-79.921614169999998</v>
      </c>
      <c r="Q419" s="22">
        <v>156.8993586</v>
      </c>
      <c r="R419" s="22"/>
      <c r="S419" s="22">
        <v>892</v>
      </c>
      <c r="T419" s="17">
        <v>845</v>
      </c>
      <c r="U419" s="23">
        <v>500</v>
      </c>
      <c r="V419" s="23" t="s">
        <v>2001</v>
      </c>
      <c r="W419" s="44" t="s">
        <v>2428</v>
      </c>
      <c r="X419" s="22">
        <f t="shared" si="12"/>
        <v>47</v>
      </c>
      <c r="Y419" s="22">
        <v>3</v>
      </c>
      <c r="Z419" s="22">
        <v>2.65</v>
      </c>
      <c r="AA419" s="17" t="s">
        <v>51</v>
      </c>
      <c r="AB419" s="26">
        <v>2540</v>
      </c>
      <c r="AC419" s="26">
        <v>147</v>
      </c>
      <c r="AD419" s="26">
        <v>210</v>
      </c>
      <c r="AE419" s="27">
        <v>32800</v>
      </c>
      <c r="AF419" s="27">
        <v>1900</v>
      </c>
      <c r="AG419" s="27">
        <v>136700</v>
      </c>
      <c r="AH419" s="27">
        <v>20000</v>
      </c>
      <c r="AI419" s="17">
        <v>2008</v>
      </c>
      <c r="AJ419" s="17">
        <v>0</v>
      </c>
      <c r="AK419" s="17">
        <v>0</v>
      </c>
      <c r="AL419" s="17" t="s">
        <v>502</v>
      </c>
    </row>
    <row r="420" spans="1:39" ht="18" customHeight="1">
      <c r="A420" s="63" t="s">
        <v>511</v>
      </c>
      <c r="B420" s="33" t="s">
        <v>481</v>
      </c>
      <c r="C420" s="27">
        <v>47</v>
      </c>
      <c r="D420" s="33" t="s">
        <v>196</v>
      </c>
      <c r="E420" s="33">
        <v>0</v>
      </c>
      <c r="F420" s="33" t="s">
        <v>482</v>
      </c>
      <c r="G420" s="19" t="s">
        <v>494</v>
      </c>
      <c r="H420" s="33" t="s">
        <v>390</v>
      </c>
      <c r="I420" s="17" t="b">
        <v>1</v>
      </c>
      <c r="J420" s="17" t="s">
        <v>64</v>
      </c>
      <c r="K420" s="21" t="s">
        <v>512</v>
      </c>
      <c r="L420" s="63" t="s">
        <v>148</v>
      </c>
      <c r="M420" s="155"/>
      <c r="N420" s="17" t="s">
        <v>39</v>
      </c>
      <c r="O420" s="17" t="s">
        <v>513</v>
      </c>
      <c r="P420" s="22">
        <v>-79.920095559999993</v>
      </c>
      <c r="Q420" s="22">
        <v>156.92387919999999</v>
      </c>
      <c r="R420" s="22"/>
      <c r="S420" s="22">
        <v>852</v>
      </c>
      <c r="T420" s="17">
        <v>845</v>
      </c>
      <c r="U420" s="23">
        <v>500</v>
      </c>
      <c r="V420" s="23" t="s">
        <v>2001</v>
      </c>
      <c r="W420" s="44" t="s">
        <v>2428</v>
      </c>
      <c r="X420" s="22">
        <f t="shared" si="12"/>
        <v>7</v>
      </c>
      <c r="Y420" s="22">
        <v>5</v>
      </c>
      <c r="Z420" s="22">
        <v>2.65</v>
      </c>
      <c r="AA420" s="17" t="s">
        <v>51</v>
      </c>
      <c r="AB420" s="26">
        <v>670</v>
      </c>
      <c r="AC420" s="26">
        <v>112</v>
      </c>
      <c r="AD420" s="26">
        <v>126</v>
      </c>
      <c r="AE420" s="27">
        <v>12000</v>
      </c>
      <c r="AF420" s="27">
        <v>1400</v>
      </c>
      <c r="AG420" s="27">
        <v>59800</v>
      </c>
      <c r="AH420" s="27">
        <v>10000</v>
      </c>
      <c r="AI420" s="17">
        <v>2008</v>
      </c>
      <c r="AJ420" s="17">
        <v>0</v>
      </c>
      <c r="AK420" s="17">
        <v>0</v>
      </c>
      <c r="AL420" s="17" t="s">
        <v>502</v>
      </c>
    </row>
    <row r="421" spans="1:39" ht="18" customHeight="1">
      <c r="A421" s="63" t="s">
        <v>511</v>
      </c>
      <c r="B421" s="33" t="s">
        <v>481</v>
      </c>
      <c r="C421" s="27">
        <v>47</v>
      </c>
      <c r="D421" s="33" t="s">
        <v>196</v>
      </c>
      <c r="E421" s="33">
        <v>0</v>
      </c>
      <c r="F421" s="33" t="s">
        <v>482</v>
      </c>
      <c r="G421" s="19" t="s">
        <v>494</v>
      </c>
      <c r="H421" s="33" t="s">
        <v>390</v>
      </c>
      <c r="I421" s="17" t="b">
        <v>1</v>
      </c>
      <c r="J421" s="17" t="s">
        <v>43</v>
      </c>
      <c r="K421" s="21" t="s">
        <v>512</v>
      </c>
      <c r="L421" s="63" t="s">
        <v>148</v>
      </c>
      <c r="M421" s="155"/>
      <c r="N421" s="17" t="s">
        <v>39</v>
      </c>
      <c r="O421" s="17" t="s">
        <v>514</v>
      </c>
      <c r="P421" s="22">
        <v>-79.920095559999993</v>
      </c>
      <c r="Q421" s="22">
        <v>156.92387919999999</v>
      </c>
      <c r="R421" s="22"/>
      <c r="S421" s="22">
        <v>852</v>
      </c>
      <c r="T421" s="17">
        <v>845</v>
      </c>
      <c r="U421" s="23">
        <v>500</v>
      </c>
      <c r="V421" s="23" t="s">
        <v>2001</v>
      </c>
      <c r="W421" s="44" t="s">
        <v>2428</v>
      </c>
      <c r="X421" s="22">
        <f t="shared" si="12"/>
        <v>7</v>
      </c>
      <c r="Y421" s="22">
        <v>5</v>
      </c>
      <c r="Z421" s="22">
        <v>2.65</v>
      </c>
      <c r="AA421" s="17" t="s">
        <v>51</v>
      </c>
      <c r="AB421" s="26">
        <v>951</v>
      </c>
      <c r="AC421" s="26">
        <v>111</v>
      </c>
      <c r="AD421" s="26">
        <v>124</v>
      </c>
      <c r="AE421" s="27">
        <v>12000</v>
      </c>
      <c r="AF421" s="27">
        <v>1400</v>
      </c>
      <c r="AG421" s="27">
        <v>59800</v>
      </c>
      <c r="AH421" s="27">
        <v>10000</v>
      </c>
      <c r="AI421" s="17">
        <v>2008</v>
      </c>
      <c r="AJ421" s="17">
        <v>0</v>
      </c>
      <c r="AK421" s="17">
        <v>0</v>
      </c>
      <c r="AL421" s="17" t="s">
        <v>502</v>
      </c>
    </row>
    <row r="422" spans="1:39" ht="18" customHeight="1">
      <c r="A422" s="63" t="s">
        <v>515</v>
      </c>
      <c r="B422" s="33" t="s">
        <v>481</v>
      </c>
      <c r="C422" s="27">
        <v>47</v>
      </c>
      <c r="D422" s="33" t="s">
        <v>196</v>
      </c>
      <c r="E422" s="33">
        <v>0</v>
      </c>
      <c r="F422" s="33" t="s">
        <v>482</v>
      </c>
      <c r="G422" s="19" t="s">
        <v>494</v>
      </c>
      <c r="H422" s="33" t="s">
        <v>390</v>
      </c>
      <c r="I422" s="17" t="b">
        <v>1</v>
      </c>
      <c r="J422" s="17" t="s">
        <v>43</v>
      </c>
      <c r="K422" s="21" t="s">
        <v>516</v>
      </c>
      <c r="L422" s="63" t="s">
        <v>148</v>
      </c>
      <c r="M422" s="155"/>
      <c r="N422" s="17" t="s">
        <v>39</v>
      </c>
      <c r="O422" s="17" t="s">
        <v>517</v>
      </c>
      <c r="P422" s="22">
        <v>-79.920401389999995</v>
      </c>
      <c r="Q422" s="22">
        <v>156.92515169999999</v>
      </c>
      <c r="R422" s="22"/>
      <c r="S422" s="22">
        <v>845</v>
      </c>
      <c r="T422" s="17">
        <v>845</v>
      </c>
      <c r="U422" s="23">
        <v>500</v>
      </c>
      <c r="V422" s="23" t="s">
        <v>2001</v>
      </c>
      <c r="W422" s="44" t="s">
        <v>2428</v>
      </c>
      <c r="X422" s="22">
        <f t="shared" si="12"/>
        <v>0</v>
      </c>
      <c r="Y422" s="22">
        <v>5</v>
      </c>
      <c r="Z422" s="22">
        <v>2.25</v>
      </c>
      <c r="AA422" s="17" t="s">
        <v>51</v>
      </c>
      <c r="AB422" s="26">
        <v>14512</v>
      </c>
      <c r="AC422" s="26">
        <v>436</v>
      </c>
      <c r="AD422" s="26">
        <v>964</v>
      </c>
      <c r="AE422" s="27">
        <v>173600</v>
      </c>
      <c r="AF422" s="27">
        <v>5200</v>
      </c>
      <c r="AG422" s="27">
        <v>1279000</v>
      </c>
      <c r="AH422" s="27">
        <v>130000</v>
      </c>
      <c r="AI422" s="17">
        <v>2008</v>
      </c>
      <c r="AJ422" s="17">
        <v>0</v>
      </c>
      <c r="AK422" s="17">
        <v>1</v>
      </c>
      <c r="AL422" s="17" t="s">
        <v>498</v>
      </c>
    </row>
    <row r="423" spans="1:39" ht="18" customHeight="1">
      <c r="A423" s="63" t="s">
        <v>515</v>
      </c>
      <c r="B423" s="33" t="s">
        <v>481</v>
      </c>
      <c r="C423" s="27">
        <v>47</v>
      </c>
      <c r="D423" s="33" t="s">
        <v>196</v>
      </c>
      <c r="E423" s="33">
        <v>0</v>
      </c>
      <c r="F423" s="33" t="s">
        <v>482</v>
      </c>
      <c r="G423" s="19" t="s">
        <v>494</v>
      </c>
      <c r="H423" s="33" t="s">
        <v>390</v>
      </c>
      <c r="I423" s="17" t="b">
        <v>1</v>
      </c>
      <c r="J423" s="17" t="s">
        <v>64</v>
      </c>
      <c r="K423" s="21" t="s">
        <v>516</v>
      </c>
      <c r="L423" s="63" t="s">
        <v>148</v>
      </c>
      <c r="M423" s="155"/>
      <c r="N423" s="17" t="s">
        <v>39</v>
      </c>
      <c r="O423" s="17" t="s">
        <v>518</v>
      </c>
      <c r="P423" s="22">
        <v>-79.920401389999995</v>
      </c>
      <c r="Q423" s="22">
        <v>156.92515169999999</v>
      </c>
      <c r="R423" s="22"/>
      <c r="S423" s="22">
        <v>845</v>
      </c>
      <c r="T423" s="17">
        <v>845</v>
      </c>
      <c r="U423" s="23">
        <v>500</v>
      </c>
      <c r="V423" s="23" t="s">
        <v>2001</v>
      </c>
      <c r="W423" s="44" t="s">
        <v>2428</v>
      </c>
      <c r="X423" s="22">
        <f t="shared" si="12"/>
        <v>0</v>
      </c>
      <c r="Y423" s="22">
        <v>5</v>
      </c>
      <c r="Z423" s="22">
        <v>2.25</v>
      </c>
      <c r="AA423" s="17" t="s">
        <v>51</v>
      </c>
      <c r="AB423" s="26">
        <v>15166</v>
      </c>
      <c r="AC423" s="26">
        <v>1553</v>
      </c>
      <c r="AD423" s="26">
        <v>2034</v>
      </c>
      <c r="AE423" s="27">
        <v>173600</v>
      </c>
      <c r="AF423" s="27">
        <v>5200</v>
      </c>
      <c r="AG423" s="27">
        <v>1279000</v>
      </c>
      <c r="AH423" s="27">
        <v>130000</v>
      </c>
      <c r="AI423" s="17">
        <v>2008</v>
      </c>
      <c r="AJ423" s="17">
        <v>0</v>
      </c>
      <c r="AK423" s="17">
        <v>1</v>
      </c>
      <c r="AL423" s="17" t="s">
        <v>498</v>
      </c>
    </row>
    <row r="424" spans="1:39" ht="12.75" customHeight="1">
      <c r="A424" s="87" t="s">
        <v>2355</v>
      </c>
      <c r="B424" s="33" t="s">
        <v>481</v>
      </c>
      <c r="C424" s="27">
        <v>47</v>
      </c>
      <c r="D424" s="33" t="s">
        <v>196</v>
      </c>
      <c r="E424" s="33">
        <v>0</v>
      </c>
      <c r="F424" s="33" t="s">
        <v>482</v>
      </c>
      <c r="G424" s="33" t="s">
        <v>483</v>
      </c>
      <c r="H424" s="33" t="s">
        <v>390</v>
      </c>
      <c r="I424" s="17" t="b">
        <v>1</v>
      </c>
      <c r="J424" s="17" t="s">
        <v>247</v>
      </c>
      <c r="K424" s="17" t="s">
        <v>519</v>
      </c>
      <c r="L424" s="88" t="s">
        <v>520</v>
      </c>
      <c r="M424" s="202" t="s">
        <v>521</v>
      </c>
      <c r="O424" s="17" t="s">
        <v>484</v>
      </c>
      <c r="P424" s="89">
        <v>-79.890789999999996</v>
      </c>
      <c r="Q424" s="89">
        <v>156.75648000000001</v>
      </c>
      <c r="R424" s="22"/>
      <c r="S424" s="90">
        <v>1120</v>
      </c>
      <c r="T424" s="17">
        <v>860</v>
      </c>
      <c r="U424" s="23">
        <v>500</v>
      </c>
      <c r="V424" s="23" t="s">
        <v>2001</v>
      </c>
      <c r="W424" s="44" t="s">
        <v>2428</v>
      </c>
      <c r="X424" s="91">
        <f t="shared" si="12"/>
        <v>260</v>
      </c>
      <c r="Y424" s="22"/>
      <c r="Z424" s="22"/>
      <c r="AB424" s="92">
        <v>9520</v>
      </c>
      <c r="AC424" s="92">
        <v>40</v>
      </c>
      <c r="AD424" s="92">
        <v>40</v>
      </c>
      <c r="AE424" s="27"/>
      <c r="AF424" s="27"/>
      <c r="AG424" s="28"/>
      <c r="AH424" s="28"/>
      <c r="AK424" s="34">
        <v>0</v>
      </c>
      <c r="AM424" s="17" t="s">
        <v>522</v>
      </c>
    </row>
    <row r="425" spans="1:39" ht="12.75" customHeight="1">
      <c r="A425" s="87" t="s">
        <v>2356</v>
      </c>
      <c r="B425" s="33" t="s">
        <v>481</v>
      </c>
      <c r="C425" s="27">
        <v>47</v>
      </c>
      <c r="D425" s="33" t="s">
        <v>196</v>
      </c>
      <c r="E425" s="33">
        <v>0</v>
      </c>
      <c r="F425" s="33" t="s">
        <v>482</v>
      </c>
      <c r="G425" s="33" t="s">
        <v>483</v>
      </c>
      <c r="H425" s="33" t="s">
        <v>390</v>
      </c>
      <c r="I425" s="17" t="b">
        <v>1</v>
      </c>
      <c r="J425" s="17" t="s">
        <v>247</v>
      </c>
      <c r="K425" s="17" t="s">
        <v>519</v>
      </c>
      <c r="L425" s="88" t="s">
        <v>520</v>
      </c>
      <c r="M425" s="155"/>
      <c r="O425" s="17" t="s">
        <v>484</v>
      </c>
      <c r="P425" s="89">
        <v>-79.890640000000005</v>
      </c>
      <c r="Q425" s="89">
        <v>156.76331999999999</v>
      </c>
      <c r="R425" s="22"/>
      <c r="S425" s="90">
        <v>1106</v>
      </c>
      <c r="T425" s="17">
        <v>860</v>
      </c>
      <c r="U425" s="23">
        <v>500</v>
      </c>
      <c r="V425" s="23" t="s">
        <v>2001</v>
      </c>
      <c r="W425" s="44" t="s">
        <v>2428</v>
      </c>
      <c r="X425" s="91">
        <f t="shared" si="12"/>
        <v>246</v>
      </c>
      <c r="Y425" s="22"/>
      <c r="Z425" s="22"/>
      <c r="AB425" s="92">
        <v>9670</v>
      </c>
      <c r="AC425" s="92">
        <v>130</v>
      </c>
      <c r="AD425" s="92">
        <v>130</v>
      </c>
      <c r="AE425" s="27"/>
      <c r="AF425" s="27"/>
      <c r="AG425" s="28"/>
      <c r="AH425" s="28"/>
      <c r="AK425" s="34">
        <v>0</v>
      </c>
      <c r="AM425" s="17" t="s">
        <v>522</v>
      </c>
    </row>
    <row r="426" spans="1:39" ht="12.75" customHeight="1">
      <c r="A426" s="87" t="s">
        <v>2357</v>
      </c>
      <c r="B426" s="33" t="s">
        <v>481</v>
      </c>
      <c r="C426" s="27">
        <v>47</v>
      </c>
      <c r="D426" s="33" t="s">
        <v>196</v>
      </c>
      <c r="E426" s="33">
        <v>0</v>
      </c>
      <c r="F426" s="33" t="s">
        <v>482</v>
      </c>
      <c r="G426" s="33" t="s">
        <v>483</v>
      </c>
      <c r="H426" s="33" t="s">
        <v>390</v>
      </c>
      <c r="I426" s="17" t="b">
        <v>1</v>
      </c>
      <c r="J426" s="17" t="s">
        <v>247</v>
      </c>
      <c r="K426" s="17" t="s">
        <v>519</v>
      </c>
      <c r="L426" s="88" t="s">
        <v>520</v>
      </c>
      <c r="M426" s="155"/>
      <c r="O426" s="17" t="s">
        <v>484</v>
      </c>
      <c r="P426" s="93">
        <v>-79.9191</v>
      </c>
      <c r="Q426" s="94">
        <v>156.89320000000001</v>
      </c>
      <c r="R426" s="22"/>
      <c r="S426" s="90">
        <v>909</v>
      </c>
      <c r="T426" s="17">
        <v>860</v>
      </c>
      <c r="U426" s="23">
        <v>500</v>
      </c>
      <c r="V426" s="23" t="s">
        <v>2001</v>
      </c>
      <c r="W426" s="44" t="s">
        <v>2428</v>
      </c>
      <c r="X426" s="91">
        <f t="shared" si="12"/>
        <v>49</v>
      </c>
      <c r="Y426" s="22"/>
      <c r="Z426" s="22"/>
      <c r="AB426" s="92">
        <v>3310</v>
      </c>
      <c r="AC426" s="92">
        <v>80</v>
      </c>
      <c r="AD426" s="92">
        <v>80</v>
      </c>
      <c r="AE426" s="27"/>
      <c r="AF426" s="27"/>
      <c r="AG426" s="28"/>
      <c r="AH426" s="28"/>
      <c r="AK426" s="34">
        <v>0</v>
      </c>
      <c r="AM426" s="17" t="s">
        <v>522</v>
      </c>
    </row>
    <row r="427" spans="1:39" ht="12.75" customHeight="1">
      <c r="A427" s="87" t="s">
        <v>2358</v>
      </c>
      <c r="B427" s="33" t="s">
        <v>481</v>
      </c>
      <c r="C427" s="27">
        <v>47</v>
      </c>
      <c r="D427" s="33" t="s">
        <v>196</v>
      </c>
      <c r="E427" s="33">
        <v>0</v>
      </c>
      <c r="F427" s="33" t="s">
        <v>482</v>
      </c>
      <c r="G427" s="33" t="s">
        <v>483</v>
      </c>
      <c r="H427" s="33" t="s">
        <v>390</v>
      </c>
      <c r="I427" s="17" t="b">
        <v>1</v>
      </c>
      <c r="J427" s="17" t="s">
        <v>247</v>
      </c>
      <c r="K427" s="17" t="s">
        <v>519</v>
      </c>
      <c r="L427" s="88" t="s">
        <v>520</v>
      </c>
      <c r="M427" s="155"/>
      <c r="O427" s="17" t="s">
        <v>484</v>
      </c>
      <c r="P427" s="93">
        <v>-79.917199999999994</v>
      </c>
      <c r="Q427" s="89">
        <v>156.75764000000001</v>
      </c>
      <c r="R427" s="22"/>
      <c r="S427" s="90">
        <v>1020</v>
      </c>
      <c r="T427" s="17">
        <v>860</v>
      </c>
      <c r="U427" s="23">
        <v>500</v>
      </c>
      <c r="V427" s="23" t="s">
        <v>2001</v>
      </c>
      <c r="W427" s="44" t="s">
        <v>2428</v>
      </c>
      <c r="X427" s="91">
        <f t="shared" si="12"/>
        <v>160</v>
      </c>
      <c r="Y427" s="22"/>
      <c r="Z427" s="22"/>
      <c r="AB427" s="92">
        <v>7970</v>
      </c>
      <c r="AC427" s="92">
        <v>50</v>
      </c>
      <c r="AD427" s="92">
        <v>50</v>
      </c>
      <c r="AE427" s="27"/>
      <c r="AF427" s="27"/>
      <c r="AG427" s="28"/>
      <c r="AH427" s="28"/>
      <c r="AK427" s="34">
        <v>0</v>
      </c>
      <c r="AM427" s="17" t="s">
        <v>523</v>
      </c>
    </row>
    <row r="428" spans="1:39" ht="12.75" customHeight="1">
      <c r="A428" s="87" t="s">
        <v>2359</v>
      </c>
      <c r="B428" s="33" t="s">
        <v>481</v>
      </c>
      <c r="C428" s="27">
        <v>47</v>
      </c>
      <c r="D428" s="33" t="s">
        <v>196</v>
      </c>
      <c r="E428" s="33">
        <v>0</v>
      </c>
      <c r="F428" s="33" t="s">
        <v>482</v>
      </c>
      <c r="G428" s="33" t="s">
        <v>483</v>
      </c>
      <c r="H428" s="33" t="s">
        <v>390</v>
      </c>
      <c r="I428" s="17" t="b">
        <v>1</v>
      </c>
      <c r="J428" s="17" t="s">
        <v>247</v>
      </c>
      <c r="K428" s="17" t="s">
        <v>519</v>
      </c>
      <c r="L428" s="88" t="s">
        <v>520</v>
      </c>
      <c r="M428" s="155"/>
      <c r="O428" s="17" t="s">
        <v>484</v>
      </c>
      <c r="P428" s="89">
        <v>-79.890910000000005</v>
      </c>
      <c r="Q428" s="94">
        <v>156.75700000000001</v>
      </c>
      <c r="R428" s="22"/>
      <c r="S428" s="90">
        <v>1113</v>
      </c>
      <c r="T428" s="17">
        <v>860</v>
      </c>
      <c r="U428" s="23">
        <v>500</v>
      </c>
      <c r="V428" s="23" t="s">
        <v>2001</v>
      </c>
      <c r="W428" s="44" t="s">
        <v>2428</v>
      </c>
      <c r="X428" s="91">
        <f t="shared" si="12"/>
        <v>253</v>
      </c>
      <c r="Y428" s="22"/>
      <c r="Z428" s="22"/>
      <c r="AB428" s="92">
        <v>9850</v>
      </c>
      <c r="AC428" s="92">
        <v>120</v>
      </c>
      <c r="AD428" s="92">
        <v>120</v>
      </c>
      <c r="AE428" s="27"/>
      <c r="AF428" s="27"/>
      <c r="AG428" s="28"/>
      <c r="AH428" s="28"/>
      <c r="AK428" s="34">
        <v>0</v>
      </c>
      <c r="AM428" s="17" t="s">
        <v>522</v>
      </c>
    </row>
    <row r="429" spans="1:39" ht="12.75" customHeight="1">
      <c r="A429" s="87" t="s">
        <v>2360</v>
      </c>
      <c r="B429" s="33" t="s">
        <v>481</v>
      </c>
      <c r="C429" s="27">
        <v>47</v>
      </c>
      <c r="D429" s="33" t="s">
        <v>196</v>
      </c>
      <c r="E429" s="33">
        <v>0</v>
      </c>
      <c r="F429" s="33" t="s">
        <v>482</v>
      </c>
      <c r="G429" s="33" t="s">
        <v>483</v>
      </c>
      <c r="H429" s="33" t="s">
        <v>390</v>
      </c>
      <c r="I429" s="17" t="b">
        <v>1</v>
      </c>
      <c r="J429" s="17" t="s">
        <v>247</v>
      </c>
      <c r="K429" s="17" t="s">
        <v>519</v>
      </c>
      <c r="L429" s="88" t="s">
        <v>520</v>
      </c>
      <c r="M429" s="155"/>
      <c r="O429" s="17" t="s">
        <v>484</v>
      </c>
      <c r="P429" s="89">
        <v>-79.890559999999994</v>
      </c>
      <c r="Q429" s="89">
        <v>156.75764000000001</v>
      </c>
      <c r="R429" s="22"/>
      <c r="S429" s="90">
        <v>1104</v>
      </c>
      <c r="T429" s="17">
        <v>860</v>
      </c>
      <c r="U429" s="23">
        <v>500</v>
      </c>
      <c r="V429" s="23" t="s">
        <v>2001</v>
      </c>
      <c r="W429" s="44" t="s">
        <v>2428</v>
      </c>
      <c r="X429" s="91">
        <f t="shared" si="12"/>
        <v>244</v>
      </c>
      <c r="Y429" s="22"/>
      <c r="Z429" s="22"/>
      <c r="AB429" s="92">
        <v>9230</v>
      </c>
      <c r="AC429" s="92">
        <v>100</v>
      </c>
      <c r="AD429" s="92">
        <v>100</v>
      </c>
      <c r="AE429" s="27"/>
      <c r="AF429" s="27"/>
      <c r="AG429" s="28"/>
      <c r="AH429" s="28"/>
      <c r="AK429" s="34">
        <v>0</v>
      </c>
      <c r="AM429" s="17" t="s">
        <v>522</v>
      </c>
    </row>
    <row r="430" spans="1:39" ht="12.75" customHeight="1">
      <c r="A430" s="87" t="s">
        <v>2361</v>
      </c>
      <c r="B430" s="33" t="s">
        <v>481</v>
      </c>
      <c r="C430" s="27">
        <v>47</v>
      </c>
      <c r="D430" s="33" t="s">
        <v>196</v>
      </c>
      <c r="E430" s="33">
        <v>0</v>
      </c>
      <c r="F430" s="33" t="s">
        <v>482</v>
      </c>
      <c r="G430" s="33" t="s">
        <v>483</v>
      </c>
      <c r="H430" s="33" t="s">
        <v>390</v>
      </c>
      <c r="I430" s="17" t="b">
        <v>1</v>
      </c>
      <c r="J430" s="17" t="s">
        <v>247</v>
      </c>
      <c r="K430" s="17" t="s">
        <v>519</v>
      </c>
      <c r="L430" s="88" t="s">
        <v>520</v>
      </c>
      <c r="M430" s="155"/>
      <c r="O430" s="17" t="s">
        <v>484</v>
      </c>
      <c r="P430" s="89">
        <v>-79.88879</v>
      </c>
      <c r="Q430" s="89">
        <v>156.81822</v>
      </c>
      <c r="R430" s="22"/>
      <c r="S430" s="90">
        <v>1028</v>
      </c>
      <c r="T430" s="17">
        <v>860</v>
      </c>
      <c r="U430" s="23">
        <v>500</v>
      </c>
      <c r="V430" s="23" t="s">
        <v>2001</v>
      </c>
      <c r="W430" s="44" t="s">
        <v>2428</v>
      </c>
      <c r="X430" s="91">
        <f t="shared" si="12"/>
        <v>168</v>
      </c>
      <c r="Y430" s="22"/>
      <c r="Z430" s="22"/>
      <c r="AB430" s="92">
        <v>6440</v>
      </c>
      <c r="AC430" s="92">
        <v>50</v>
      </c>
      <c r="AD430" s="92">
        <v>50</v>
      </c>
      <c r="AE430" s="27"/>
      <c r="AF430" s="27"/>
      <c r="AG430" s="28"/>
      <c r="AH430" s="28"/>
      <c r="AK430" s="34">
        <v>0</v>
      </c>
      <c r="AM430" s="17" t="s">
        <v>522</v>
      </c>
    </row>
    <row r="431" spans="1:39" ht="12.75" customHeight="1">
      <c r="A431" s="87" t="s">
        <v>2362</v>
      </c>
      <c r="B431" s="33" t="s">
        <v>481</v>
      </c>
      <c r="C431" s="27">
        <v>47</v>
      </c>
      <c r="D431" s="33" t="s">
        <v>196</v>
      </c>
      <c r="E431" s="33">
        <v>0</v>
      </c>
      <c r="F431" s="33" t="s">
        <v>482</v>
      </c>
      <c r="G431" s="33" t="s">
        <v>483</v>
      </c>
      <c r="H431" s="33" t="s">
        <v>390</v>
      </c>
      <c r="I431" s="17" t="b">
        <v>1</v>
      </c>
      <c r="J431" s="17" t="s">
        <v>247</v>
      </c>
      <c r="K431" s="17" t="s">
        <v>519</v>
      </c>
      <c r="L431" s="88" t="s">
        <v>520</v>
      </c>
      <c r="M431" s="155"/>
      <c r="O431" s="17" t="s">
        <v>484</v>
      </c>
      <c r="P431" s="93">
        <v>-79.910899999999998</v>
      </c>
      <c r="Q431" s="89">
        <v>156.79848999999999</v>
      </c>
      <c r="R431" s="22"/>
      <c r="S431" s="90">
        <v>1006</v>
      </c>
      <c r="T431" s="17">
        <v>860</v>
      </c>
      <c r="U431" s="23">
        <v>500</v>
      </c>
      <c r="V431" s="23" t="s">
        <v>2001</v>
      </c>
      <c r="W431" s="44" t="s">
        <v>2428</v>
      </c>
      <c r="X431" s="91">
        <f t="shared" si="12"/>
        <v>146</v>
      </c>
      <c r="Y431" s="22"/>
      <c r="Z431" s="22"/>
      <c r="AB431" s="92">
        <v>7850</v>
      </c>
      <c r="AC431" s="92">
        <v>90</v>
      </c>
      <c r="AD431" s="92">
        <v>90</v>
      </c>
      <c r="AE431" s="27"/>
      <c r="AF431" s="27"/>
      <c r="AG431" s="28"/>
      <c r="AH431" s="28"/>
      <c r="AK431" s="34">
        <v>0</v>
      </c>
      <c r="AM431" s="17" t="s">
        <v>522</v>
      </c>
    </row>
    <row r="432" spans="1:39" ht="12.75" customHeight="1">
      <c r="A432" s="87" t="s">
        <v>2363</v>
      </c>
      <c r="B432" s="33" t="s">
        <v>481</v>
      </c>
      <c r="C432" s="27">
        <v>47</v>
      </c>
      <c r="D432" s="33" t="s">
        <v>196</v>
      </c>
      <c r="E432" s="33">
        <v>0</v>
      </c>
      <c r="F432" s="33" t="s">
        <v>482</v>
      </c>
      <c r="G432" s="33" t="s">
        <v>483</v>
      </c>
      <c r="H432" s="33" t="s">
        <v>390</v>
      </c>
      <c r="I432" s="17" t="b">
        <v>1</v>
      </c>
      <c r="J432" s="17" t="s">
        <v>247</v>
      </c>
      <c r="K432" s="17" t="s">
        <v>519</v>
      </c>
      <c r="L432" s="88" t="s">
        <v>520</v>
      </c>
      <c r="M432" s="155"/>
      <c r="O432" s="17" t="s">
        <v>484</v>
      </c>
      <c r="P432" s="93">
        <v>-79.910899999999998</v>
      </c>
      <c r="Q432" s="89">
        <v>156.79786999999999</v>
      </c>
      <c r="R432" s="22"/>
      <c r="S432" s="90">
        <v>1009</v>
      </c>
      <c r="T432" s="17">
        <v>860</v>
      </c>
      <c r="U432" s="23">
        <v>500</v>
      </c>
      <c r="V432" s="23" t="s">
        <v>2001</v>
      </c>
      <c r="W432" s="44" t="s">
        <v>2428</v>
      </c>
      <c r="X432" s="91">
        <f t="shared" si="12"/>
        <v>149</v>
      </c>
      <c r="Y432" s="22"/>
      <c r="Z432" s="22"/>
      <c r="AB432" s="92">
        <v>7760</v>
      </c>
      <c r="AC432" s="92">
        <v>80</v>
      </c>
      <c r="AD432" s="92">
        <v>80</v>
      </c>
      <c r="AE432" s="27"/>
      <c r="AF432" s="27"/>
      <c r="AG432" s="28"/>
      <c r="AH432" s="28"/>
      <c r="AK432" s="34">
        <v>0</v>
      </c>
      <c r="AM432" s="17" t="s">
        <v>522</v>
      </c>
    </row>
    <row r="433" spans="1:39" ht="12.75" customHeight="1">
      <c r="A433" s="87" t="s">
        <v>2364</v>
      </c>
      <c r="B433" s="33" t="s">
        <v>481</v>
      </c>
      <c r="C433" s="27">
        <v>47</v>
      </c>
      <c r="D433" s="33" t="s">
        <v>196</v>
      </c>
      <c r="E433" s="33">
        <v>0</v>
      </c>
      <c r="F433" s="33" t="s">
        <v>482</v>
      </c>
      <c r="G433" s="33" t="s">
        <v>483</v>
      </c>
      <c r="H433" s="33" t="s">
        <v>390</v>
      </c>
      <c r="I433" s="17" t="b">
        <v>1</v>
      </c>
      <c r="J433" s="17" t="s">
        <v>247</v>
      </c>
      <c r="K433" s="17" t="s">
        <v>519</v>
      </c>
      <c r="L433" s="88" t="s">
        <v>520</v>
      </c>
      <c r="M433" s="155"/>
      <c r="O433" s="17" t="s">
        <v>484</v>
      </c>
      <c r="P433" s="89">
        <v>-79.910889999999995</v>
      </c>
      <c r="Q433" s="89">
        <v>156.80061000000001</v>
      </c>
      <c r="R433" s="22"/>
      <c r="S433" s="90">
        <v>1014</v>
      </c>
      <c r="T433" s="17">
        <v>860</v>
      </c>
      <c r="U433" s="23">
        <v>500</v>
      </c>
      <c r="V433" s="23" t="s">
        <v>2001</v>
      </c>
      <c r="W433" s="44" t="s">
        <v>2428</v>
      </c>
      <c r="X433" s="91">
        <f t="shared" si="12"/>
        <v>154</v>
      </c>
      <c r="Y433" s="22"/>
      <c r="Z433" s="22"/>
      <c r="AB433" s="92">
        <v>7870</v>
      </c>
      <c r="AC433" s="92">
        <v>80</v>
      </c>
      <c r="AD433" s="92">
        <v>80</v>
      </c>
      <c r="AE433" s="27"/>
      <c r="AF433" s="27"/>
      <c r="AG433" s="28"/>
      <c r="AH433" s="28"/>
      <c r="AK433" s="34">
        <v>0</v>
      </c>
      <c r="AM433" s="17" t="s">
        <v>522</v>
      </c>
    </row>
    <row r="434" spans="1:39" ht="12.75" customHeight="1">
      <c r="A434" s="87" t="s">
        <v>2365</v>
      </c>
      <c r="B434" s="33" t="s">
        <v>481</v>
      </c>
      <c r="C434" s="27">
        <v>47</v>
      </c>
      <c r="D434" s="33" t="s">
        <v>196</v>
      </c>
      <c r="E434" s="33">
        <v>0</v>
      </c>
      <c r="F434" s="33" t="s">
        <v>482</v>
      </c>
      <c r="G434" s="33" t="s">
        <v>483</v>
      </c>
      <c r="H434" s="33" t="s">
        <v>390</v>
      </c>
      <c r="I434" s="17" t="b">
        <v>1</v>
      </c>
      <c r="J434" s="17" t="s">
        <v>247</v>
      </c>
      <c r="K434" s="17" t="s">
        <v>519</v>
      </c>
      <c r="L434" s="88" t="s">
        <v>520</v>
      </c>
      <c r="M434" s="155"/>
      <c r="O434" s="17" t="s">
        <v>484</v>
      </c>
      <c r="P434" s="89">
        <v>-79.911680000000004</v>
      </c>
      <c r="Q434" s="89">
        <v>156.79391000000001</v>
      </c>
      <c r="R434" s="22"/>
      <c r="S434" s="90">
        <v>1009</v>
      </c>
      <c r="T434" s="17">
        <v>860</v>
      </c>
      <c r="U434" s="23">
        <v>500</v>
      </c>
      <c r="V434" s="23" t="s">
        <v>2001</v>
      </c>
      <c r="W434" s="44" t="s">
        <v>2428</v>
      </c>
      <c r="X434" s="91">
        <f t="shared" si="12"/>
        <v>149</v>
      </c>
      <c r="Y434" s="22"/>
      <c r="Z434" s="22"/>
      <c r="AB434" s="92">
        <v>7800</v>
      </c>
      <c r="AC434" s="92">
        <v>80</v>
      </c>
      <c r="AD434" s="92">
        <v>80</v>
      </c>
      <c r="AE434" s="27"/>
      <c r="AF434" s="27"/>
      <c r="AG434" s="28"/>
      <c r="AH434" s="28"/>
      <c r="AK434" s="34">
        <v>0</v>
      </c>
      <c r="AM434" s="17" t="s">
        <v>522</v>
      </c>
    </row>
    <row r="435" spans="1:39" ht="12.75" customHeight="1">
      <c r="A435" s="87" t="s">
        <v>2366</v>
      </c>
      <c r="B435" s="33" t="s">
        <v>481</v>
      </c>
      <c r="C435" s="27">
        <v>47</v>
      </c>
      <c r="D435" s="33" t="s">
        <v>196</v>
      </c>
      <c r="E435" s="33">
        <v>0</v>
      </c>
      <c r="F435" s="33" t="s">
        <v>482</v>
      </c>
      <c r="G435" s="33" t="s">
        <v>483</v>
      </c>
      <c r="H435" s="33" t="s">
        <v>390</v>
      </c>
      <c r="I435" s="17" t="b">
        <v>1</v>
      </c>
      <c r="J435" s="17" t="s">
        <v>247</v>
      </c>
      <c r="K435" s="17" t="s">
        <v>519</v>
      </c>
      <c r="L435" s="88" t="s">
        <v>520</v>
      </c>
      <c r="M435" s="155"/>
      <c r="O435" s="17" t="s">
        <v>484</v>
      </c>
      <c r="P435" s="89">
        <v>-79.896450000000002</v>
      </c>
      <c r="Q435" s="89">
        <v>156.82907</v>
      </c>
      <c r="R435" s="22"/>
      <c r="S435" s="90">
        <v>960</v>
      </c>
      <c r="T435" s="17">
        <v>860</v>
      </c>
      <c r="U435" s="23">
        <v>500</v>
      </c>
      <c r="V435" s="23" t="s">
        <v>2001</v>
      </c>
      <c r="W435" s="44" t="s">
        <v>2428</v>
      </c>
      <c r="X435" s="91">
        <f t="shared" si="12"/>
        <v>100</v>
      </c>
      <c r="Y435" s="22"/>
      <c r="Z435" s="22"/>
      <c r="AB435" s="92">
        <v>4850</v>
      </c>
      <c r="AC435" s="92">
        <v>30</v>
      </c>
      <c r="AD435" s="92">
        <v>30</v>
      </c>
      <c r="AE435" s="27"/>
      <c r="AF435" s="27"/>
      <c r="AG435" s="28"/>
      <c r="AH435" s="28"/>
      <c r="AK435" s="34">
        <v>0</v>
      </c>
      <c r="AM435" s="17" t="s">
        <v>522</v>
      </c>
    </row>
    <row r="436" spans="1:39" ht="12.75" customHeight="1">
      <c r="A436" s="87" t="s">
        <v>2367</v>
      </c>
      <c r="B436" s="33" t="s">
        <v>481</v>
      </c>
      <c r="C436" s="27">
        <v>47</v>
      </c>
      <c r="D436" s="33" t="s">
        <v>196</v>
      </c>
      <c r="E436" s="33">
        <v>0</v>
      </c>
      <c r="F436" s="33" t="s">
        <v>482</v>
      </c>
      <c r="G436" s="33" t="s">
        <v>483</v>
      </c>
      <c r="H436" s="33" t="s">
        <v>390</v>
      </c>
      <c r="I436" s="17" t="b">
        <v>1</v>
      </c>
      <c r="J436" s="17" t="s">
        <v>247</v>
      </c>
      <c r="K436" s="17" t="s">
        <v>519</v>
      </c>
      <c r="L436" s="88" t="s">
        <v>520</v>
      </c>
      <c r="M436" s="155"/>
      <c r="O436" s="17" t="s">
        <v>484</v>
      </c>
      <c r="P436" s="89">
        <v>-79.895359999999997</v>
      </c>
      <c r="Q436" s="89">
        <v>156.81943999999999</v>
      </c>
      <c r="R436" s="22"/>
      <c r="S436" s="90">
        <v>983</v>
      </c>
      <c r="T436" s="17">
        <v>860</v>
      </c>
      <c r="U436" s="23">
        <v>500</v>
      </c>
      <c r="V436" s="23" t="s">
        <v>2001</v>
      </c>
      <c r="W436" s="44" t="s">
        <v>2428</v>
      </c>
      <c r="X436" s="91">
        <f t="shared" si="12"/>
        <v>123</v>
      </c>
      <c r="Y436" s="22"/>
      <c r="Z436" s="22"/>
      <c r="AB436" s="92">
        <v>5960</v>
      </c>
      <c r="AC436" s="92">
        <v>40</v>
      </c>
      <c r="AD436" s="92">
        <v>40</v>
      </c>
      <c r="AE436" s="27"/>
      <c r="AF436" s="27"/>
      <c r="AG436" s="28"/>
      <c r="AH436" s="28"/>
      <c r="AK436" s="34">
        <v>0</v>
      </c>
      <c r="AM436" s="17" t="s">
        <v>522</v>
      </c>
    </row>
    <row r="437" spans="1:39" ht="12.75" customHeight="1">
      <c r="A437" s="87" t="s">
        <v>2368</v>
      </c>
      <c r="B437" s="33" t="s">
        <v>481</v>
      </c>
      <c r="C437" s="27">
        <v>47</v>
      </c>
      <c r="D437" s="33" t="s">
        <v>196</v>
      </c>
      <c r="E437" s="33">
        <v>0</v>
      </c>
      <c r="F437" s="33" t="s">
        <v>482</v>
      </c>
      <c r="G437" s="33" t="s">
        <v>483</v>
      </c>
      <c r="H437" s="33" t="s">
        <v>390</v>
      </c>
      <c r="I437" s="17" t="b">
        <v>1</v>
      </c>
      <c r="J437" s="17" t="s">
        <v>247</v>
      </c>
      <c r="K437" s="17" t="s">
        <v>519</v>
      </c>
      <c r="L437" s="88" t="s">
        <v>520</v>
      </c>
      <c r="M437" s="155"/>
      <c r="O437" s="17" t="s">
        <v>484</v>
      </c>
      <c r="P437" s="89">
        <v>-79.895560000000003</v>
      </c>
      <c r="Q437" s="94">
        <v>156.81559999999999</v>
      </c>
      <c r="R437" s="22"/>
      <c r="S437" s="90">
        <v>991</v>
      </c>
      <c r="T437" s="17">
        <v>860</v>
      </c>
      <c r="U437" s="23">
        <v>500</v>
      </c>
      <c r="V437" s="23" t="s">
        <v>2001</v>
      </c>
      <c r="W437" s="44" t="s">
        <v>2428</v>
      </c>
      <c r="X437" s="91">
        <f t="shared" si="12"/>
        <v>131</v>
      </c>
      <c r="Y437" s="22"/>
      <c r="Z437" s="22"/>
      <c r="AB437" s="92">
        <v>5300</v>
      </c>
      <c r="AC437" s="92">
        <v>20</v>
      </c>
      <c r="AD437" s="92">
        <v>20</v>
      </c>
      <c r="AE437" s="27"/>
      <c r="AF437" s="27"/>
      <c r="AG437" s="28"/>
      <c r="AH437" s="28"/>
      <c r="AK437" s="34">
        <v>0</v>
      </c>
      <c r="AM437" s="17" t="s">
        <v>522</v>
      </c>
    </row>
    <row r="438" spans="1:39" ht="12.75" customHeight="1">
      <c r="A438" s="87" t="s">
        <v>2369</v>
      </c>
      <c r="B438" s="33" t="s">
        <v>481</v>
      </c>
      <c r="C438" s="27">
        <v>47</v>
      </c>
      <c r="D438" s="33" t="s">
        <v>196</v>
      </c>
      <c r="E438" s="33">
        <v>0</v>
      </c>
      <c r="F438" s="33" t="s">
        <v>482</v>
      </c>
      <c r="G438" s="33" t="s">
        <v>483</v>
      </c>
      <c r="H438" s="33" t="s">
        <v>390</v>
      </c>
      <c r="I438" s="17" t="b">
        <v>1</v>
      </c>
      <c r="J438" s="17" t="s">
        <v>247</v>
      </c>
      <c r="K438" s="17" t="s">
        <v>519</v>
      </c>
      <c r="L438" s="88" t="s">
        <v>520</v>
      </c>
      <c r="M438" s="155"/>
      <c r="O438" s="17" t="s">
        <v>484</v>
      </c>
      <c r="P438" s="89">
        <v>-79.891440000000003</v>
      </c>
      <c r="Q438" s="89">
        <v>156.78595999999999</v>
      </c>
      <c r="R438" s="22"/>
      <c r="S438" s="90">
        <v>1066</v>
      </c>
      <c r="T438" s="17">
        <v>860</v>
      </c>
      <c r="U438" s="23">
        <v>500</v>
      </c>
      <c r="V438" s="23" t="s">
        <v>2001</v>
      </c>
      <c r="W438" s="44" t="s">
        <v>2428</v>
      </c>
      <c r="X438" s="91">
        <f t="shared" si="12"/>
        <v>206</v>
      </c>
      <c r="Y438" s="22"/>
      <c r="Z438" s="22"/>
      <c r="AB438" s="92">
        <v>12620</v>
      </c>
      <c r="AC438" s="92">
        <v>100</v>
      </c>
      <c r="AD438" s="92">
        <v>100</v>
      </c>
      <c r="AE438" s="27"/>
      <c r="AF438" s="27"/>
      <c r="AG438" s="28"/>
      <c r="AH438" s="28"/>
      <c r="AK438" s="34">
        <v>1</v>
      </c>
      <c r="AL438" s="17" t="s">
        <v>524</v>
      </c>
      <c r="AM438" s="17" t="s">
        <v>522</v>
      </c>
    </row>
    <row r="439" spans="1:39" ht="12.75" customHeight="1">
      <c r="A439" s="87" t="s">
        <v>2370</v>
      </c>
      <c r="B439" s="33" t="s">
        <v>481</v>
      </c>
      <c r="C439" s="27">
        <v>47</v>
      </c>
      <c r="D439" s="33" t="s">
        <v>196</v>
      </c>
      <c r="E439" s="33">
        <v>0</v>
      </c>
      <c r="F439" s="33" t="s">
        <v>482</v>
      </c>
      <c r="G439" s="33" t="s">
        <v>483</v>
      </c>
      <c r="H439" s="33" t="s">
        <v>390</v>
      </c>
      <c r="I439" s="17" t="b">
        <v>1</v>
      </c>
      <c r="J439" s="17" t="s">
        <v>247</v>
      </c>
      <c r="K439" s="17" t="s">
        <v>519</v>
      </c>
      <c r="L439" s="88" t="s">
        <v>520</v>
      </c>
      <c r="M439" s="155"/>
      <c r="O439" s="17" t="s">
        <v>484</v>
      </c>
      <c r="P439" s="89">
        <v>-79.891120000000001</v>
      </c>
      <c r="Q439" s="89">
        <v>156.77162000000001</v>
      </c>
      <c r="R439" s="22"/>
      <c r="S439" s="90">
        <v>1091</v>
      </c>
      <c r="T439" s="17">
        <v>860</v>
      </c>
      <c r="U439" s="23">
        <v>500</v>
      </c>
      <c r="V439" s="23" t="s">
        <v>2001</v>
      </c>
      <c r="W439" s="44" t="s">
        <v>2428</v>
      </c>
      <c r="X439" s="91">
        <f t="shared" si="12"/>
        <v>231</v>
      </c>
      <c r="Y439" s="22"/>
      <c r="Z439" s="22"/>
      <c r="AB439" s="92">
        <v>10350</v>
      </c>
      <c r="AC439" s="92">
        <v>100</v>
      </c>
      <c r="AD439" s="92">
        <v>100</v>
      </c>
      <c r="AE439" s="27"/>
      <c r="AF439" s="27"/>
      <c r="AG439" s="28"/>
      <c r="AH439" s="28"/>
      <c r="AK439" s="34">
        <v>0</v>
      </c>
      <c r="AM439" s="17" t="s">
        <v>522</v>
      </c>
    </row>
    <row r="440" spans="1:39" ht="12.75" customHeight="1">
      <c r="A440" s="87" t="s">
        <v>2371</v>
      </c>
      <c r="B440" s="33" t="s">
        <v>481</v>
      </c>
      <c r="C440" s="27">
        <v>47</v>
      </c>
      <c r="D440" s="33" t="s">
        <v>196</v>
      </c>
      <c r="E440" s="33">
        <v>0</v>
      </c>
      <c r="F440" s="33" t="s">
        <v>482</v>
      </c>
      <c r="G440" s="33" t="s">
        <v>483</v>
      </c>
      <c r="H440" s="33" t="s">
        <v>390</v>
      </c>
      <c r="I440" s="17" t="b">
        <v>1</v>
      </c>
      <c r="J440" s="17" t="s">
        <v>247</v>
      </c>
      <c r="K440" s="17" t="s">
        <v>519</v>
      </c>
      <c r="L440" s="88" t="s">
        <v>520</v>
      </c>
      <c r="M440" s="155"/>
      <c r="O440" s="17" t="s">
        <v>484</v>
      </c>
      <c r="P440" s="89">
        <v>-79.890450000000001</v>
      </c>
      <c r="Q440" s="89">
        <v>156.76331999999999</v>
      </c>
      <c r="R440" s="22"/>
      <c r="S440" s="90">
        <v>1106</v>
      </c>
      <c r="T440" s="17">
        <v>860</v>
      </c>
      <c r="U440" s="23">
        <v>500</v>
      </c>
      <c r="V440" s="23" t="s">
        <v>2001</v>
      </c>
      <c r="W440" s="44" t="s">
        <v>2428</v>
      </c>
      <c r="X440" s="91">
        <f t="shared" si="12"/>
        <v>246</v>
      </c>
      <c r="Y440" s="22"/>
      <c r="Z440" s="22"/>
      <c r="AB440" s="92">
        <v>10210</v>
      </c>
      <c r="AC440" s="92">
        <v>40</v>
      </c>
      <c r="AD440" s="92">
        <v>40</v>
      </c>
      <c r="AE440" s="27"/>
      <c r="AF440" s="27"/>
      <c r="AG440" s="28"/>
      <c r="AH440" s="28"/>
      <c r="AK440" s="34">
        <v>0</v>
      </c>
      <c r="AM440" s="17" t="s">
        <v>522</v>
      </c>
    </row>
    <row r="441" spans="1:39" ht="12.75" customHeight="1">
      <c r="A441" s="87" t="s">
        <v>2372</v>
      </c>
      <c r="B441" s="33" t="s">
        <v>481</v>
      </c>
      <c r="C441" s="27">
        <v>47</v>
      </c>
      <c r="D441" s="33" t="s">
        <v>196</v>
      </c>
      <c r="E441" s="33">
        <v>0</v>
      </c>
      <c r="F441" s="33" t="s">
        <v>482</v>
      </c>
      <c r="G441" s="33" t="s">
        <v>483</v>
      </c>
      <c r="H441" s="33" t="s">
        <v>390</v>
      </c>
      <c r="I441" s="17" t="b">
        <v>1</v>
      </c>
      <c r="J441" s="17" t="s">
        <v>247</v>
      </c>
      <c r="K441" s="17" t="s">
        <v>519</v>
      </c>
      <c r="L441" s="88" t="s">
        <v>520</v>
      </c>
      <c r="M441" s="155"/>
      <c r="O441" s="17" t="s">
        <v>484</v>
      </c>
      <c r="P441" s="89">
        <v>-79.890110000000007</v>
      </c>
      <c r="Q441" s="89">
        <v>156.76419000000001</v>
      </c>
      <c r="R441" s="22"/>
      <c r="S441" s="90">
        <v>1108</v>
      </c>
      <c r="T441" s="17">
        <v>860</v>
      </c>
      <c r="U441" s="23">
        <v>500</v>
      </c>
      <c r="V441" s="23" t="s">
        <v>2001</v>
      </c>
      <c r="W441" s="44" t="s">
        <v>2428</v>
      </c>
      <c r="X441" s="91">
        <f t="shared" si="12"/>
        <v>248</v>
      </c>
      <c r="Y441" s="22"/>
      <c r="Z441" s="22"/>
      <c r="AB441" s="92">
        <v>11220</v>
      </c>
      <c r="AC441" s="92">
        <v>70</v>
      </c>
      <c r="AD441" s="92">
        <v>70</v>
      </c>
      <c r="AE441" s="27"/>
      <c r="AF441" s="27"/>
      <c r="AG441" s="28"/>
      <c r="AH441" s="28"/>
      <c r="AK441" s="34">
        <v>1</v>
      </c>
      <c r="AL441" s="17" t="s">
        <v>524</v>
      </c>
      <c r="AM441" s="17" t="s">
        <v>522</v>
      </c>
    </row>
    <row r="442" spans="1:39" ht="12.75" customHeight="1">
      <c r="A442" s="87" t="s">
        <v>2373</v>
      </c>
      <c r="B442" s="33" t="s">
        <v>481</v>
      </c>
      <c r="C442" s="27">
        <v>47</v>
      </c>
      <c r="D442" s="33" t="s">
        <v>196</v>
      </c>
      <c r="E442" s="33">
        <v>0</v>
      </c>
      <c r="F442" s="33" t="s">
        <v>482</v>
      </c>
      <c r="G442" s="33" t="s">
        <v>483</v>
      </c>
      <c r="H442" s="33" t="s">
        <v>390</v>
      </c>
      <c r="I442" s="17" t="b">
        <v>1</v>
      </c>
      <c r="J442" s="17" t="s">
        <v>247</v>
      </c>
      <c r="K442" s="17" t="s">
        <v>519</v>
      </c>
      <c r="L442" s="88" t="s">
        <v>520</v>
      </c>
      <c r="M442" s="155"/>
      <c r="O442" s="17" t="s">
        <v>484</v>
      </c>
      <c r="P442" s="89">
        <v>-79.913550000000001</v>
      </c>
      <c r="Q442" s="89">
        <v>156.80610999999999</v>
      </c>
      <c r="R442" s="22"/>
      <c r="S442" s="90">
        <v>993</v>
      </c>
      <c r="T442" s="17">
        <v>860</v>
      </c>
      <c r="U442" s="23">
        <v>500</v>
      </c>
      <c r="V442" s="23" t="s">
        <v>2001</v>
      </c>
      <c r="W442" s="44" t="s">
        <v>2428</v>
      </c>
      <c r="X442" s="91">
        <f t="shared" si="12"/>
        <v>133</v>
      </c>
      <c r="Y442" s="22"/>
      <c r="Z442" s="22"/>
      <c r="AB442" s="92">
        <v>6570</v>
      </c>
      <c r="AC442" s="92">
        <v>80</v>
      </c>
      <c r="AD442" s="92">
        <v>80</v>
      </c>
      <c r="AE442" s="27"/>
      <c r="AF442" s="27"/>
      <c r="AG442" s="28"/>
      <c r="AH442" s="28"/>
      <c r="AK442" s="34">
        <v>0</v>
      </c>
      <c r="AM442" s="17" t="s">
        <v>522</v>
      </c>
    </row>
    <row r="443" spans="1:39" ht="12.75" customHeight="1">
      <c r="A443" s="87" t="s">
        <v>2374</v>
      </c>
      <c r="B443" s="33" t="s">
        <v>481</v>
      </c>
      <c r="C443" s="27">
        <v>47</v>
      </c>
      <c r="D443" s="33" t="s">
        <v>196</v>
      </c>
      <c r="E443" s="33">
        <v>0</v>
      </c>
      <c r="F443" s="33" t="s">
        <v>482</v>
      </c>
      <c r="G443" s="33" t="s">
        <v>483</v>
      </c>
      <c r="H443" s="33" t="s">
        <v>390</v>
      </c>
      <c r="I443" s="17" t="b">
        <v>1</v>
      </c>
      <c r="J443" s="17" t="s">
        <v>247</v>
      </c>
      <c r="K443" s="17" t="s">
        <v>519</v>
      </c>
      <c r="L443" s="88" t="s">
        <v>520</v>
      </c>
      <c r="M443" s="155"/>
      <c r="O443" s="17" t="s">
        <v>484</v>
      </c>
      <c r="P443" s="89">
        <v>-79.916759999999996</v>
      </c>
      <c r="Q443" s="89">
        <v>156.79649000000001</v>
      </c>
      <c r="R443" s="22"/>
      <c r="S443" s="90">
        <v>1040</v>
      </c>
      <c r="T443" s="17">
        <v>860</v>
      </c>
      <c r="U443" s="23">
        <v>500</v>
      </c>
      <c r="V443" s="23" t="s">
        <v>2001</v>
      </c>
      <c r="W443" s="44" t="s">
        <v>2428</v>
      </c>
      <c r="X443" s="91">
        <f t="shared" si="12"/>
        <v>180</v>
      </c>
      <c r="Y443" s="22"/>
      <c r="Z443" s="22"/>
      <c r="AB443" s="92">
        <v>7880</v>
      </c>
      <c r="AC443" s="92">
        <v>150</v>
      </c>
      <c r="AD443" s="92">
        <v>150</v>
      </c>
      <c r="AE443" s="27"/>
      <c r="AF443" s="27"/>
      <c r="AG443" s="28"/>
      <c r="AH443" s="28"/>
      <c r="AK443" s="34">
        <v>0</v>
      </c>
      <c r="AM443" s="17" t="s">
        <v>522</v>
      </c>
    </row>
    <row r="444" spans="1:39" ht="12.75" customHeight="1">
      <c r="A444" s="87" t="s">
        <v>2375</v>
      </c>
      <c r="B444" s="33" t="s">
        <v>481</v>
      </c>
      <c r="C444" s="27">
        <v>47</v>
      </c>
      <c r="D444" s="33" t="s">
        <v>196</v>
      </c>
      <c r="E444" s="33">
        <v>0</v>
      </c>
      <c r="F444" s="33" t="s">
        <v>482</v>
      </c>
      <c r="G444" s="33" t="s">
        <v>483</v>
      </c>
      <c r="H444" s="33" t="s">
        <v>390</v>
      </c>
      <c r="I444" s="17" t="b">
        <v>1</v>
      </c>
      <c r="J444" s="17" t="s">
        <v>247</v>
      </c>
      <c r="K444" s="17" t="s">
        <v>519</v>
      </c>
      <c r="L444" s="88" t="s">
        <v>520</v>
      </c>
      <c r="M444" s="155"/>
      <c r="O444" s="17" t="s">
        <v>484</v>
      </c>
      <c r="P444" s="89">
        <v>-79.892740000000003</v>
      </c>
      <c r="Q444" s="89">
        <v>156.80466000000001</v>
      </c>
      <c r="R444" s="22"/>
      <c r="S444" s="90">
        <v>1020</v>
      </c>
      <c r="T444" s="17">
        <v>860</v>
      </c>
      <c r="U444" s="23">
        <v>500</v>
      </c>
      <c r="V444" s="23" t="s">
        <v>2001</v>
      </c>
      <c r="W444" s="44" t="s">
        <v>2428</v>
      </c>
      <c r="X444" s="91">
        <f t="shared" si="12"/>
        <v>160</v>
      </c>
      <c r="Y444" s="22"/>
      <c r="Z444" s="22"/>
      <c r="AB444" s="92">
        <v>6440</v>
      </c>
      <c r="AC444" s="92">
        <v>140</v>
      </c>
      <c r="AD444" s="92">
        <v>140</v>
      </c>
      <c r="AE444" s="27"/>
      <c r="AF444" s="27"/>
      <c r="AG444" s="28"/>
      <c r="AH444" s="28"/>
      <c r="AK444" s="34">
        <v>0</v>
      </c>
      <c r="AM444" s="17" t="s">
        <v>522</v>
      </c>
    </row>
    <row r="445" spans="1:39" ht="12.75" customHeight="1">
      <c r="A445" s="87" t="s">
        <v>2376</v>
      </c>
      <c r="B445" s="33" t="s">
        <v>481</v>
      </c>
      <c r="C445" s="27">
        <v>47</v>
      </c>
      <c r="D445" s="33" t="s">
        <v>196</v>
      </c>
      <c r="E445" s="33">
        <v>0</v>
      </c>
      <c r="F445" s="33" t="s">
        <v>482</v>
      </c>
      <c r="G445" s="33" t="s">
        <v>483</v>
      </c>
      <c r="H445" s="33" t="s">
        <v>390</v>
      </c>
      <c r="I445" s="17" t="b">
        <v>1</v>
      </c>
      <c r="J445" s="17" t="s">
        <v>247</v>
      </c>
      <c r="K445" s="17" t="s">
        <v>519</v>
      </c>
      <c r="L445" s="88" t="s">
        <v>520</v>
      </c>
      <c r="M445" s="155"/>
      <c r="O445" s="17" t="s">
        <v>484</v>
      </c>
      <c r="P445" s="89">
        <v>-79.888459999999995</v>
      </c>
      <c r="Q445" s="89">
        <v>156.82085000000001</v>
      </c>
      <c r="R445" s="22"/>
      <c r="S445" s="90">
        <v>1037</v>
      </c>
      <c r="T445" s="17">
        <v>860</v>
      </c>
      <c r="U445" s="23">
        <v>500</v>
      </c>
      <c r="V445" s="23" t="s">
        <v>2001</v>
      </c>
      <c r="W445" s="44" t="s">
        <v>2428</v>
      </c>
      <c r="X445" s="91">
        <f t="shared" si="12"/>
        <v>177</v>
      </c>
      <c r="Y445" s="22"/>
      <c r="Z445" s="22"/>
      <c r="AB445" s="92">
        <v>6290</v>
      </c>
      <c r="AC445" s="92">
        <v>120</v>
      </c>
      <c r="AD445" s="92">
        <v>120</v>
      </c>
      <c r="AE445" s="27"/>
      <c r="AF445" s="27"/>
      <c r="AG445" s="28"/>
      <c r="AH445" s="28"/>
      <c r="AK445" s="34">
        <v>0</v>
      </c>
      <c r="AM445" s="17" t="s">
        <v>522</v>
      </c>
    </row>
    <row r="446" spans="1:39" ht="12.75" customHeight="1">
      <c r="A446" s="87" t="s">
        <v>2377</v>
      </c>
      <c r="B446" s="33" t="s">
        <v>481</v>
      </c>
      <c r="C446" s="27">
        <v>47</v>
      </c>
      <c r="D446" s="33" t="s">
        <v>196</v>
      </c>
      <c r="E446" s="33">
        <v>0</v>
      </c>
      <c r="F446" s="33" t="s">
        <v>482</v>
      </c>
      <c r="G446" s="33" t="s">
        <v>483</v>
      </c>
      <c r="H446" s="33" t="s">
        <v>390</v>
      </c>
      <c r="I446" s="17" t="b">
        <v>1</v>
      </c>
      <c r="J446" s="17" t="s">
        <v>247</v>
      </c>
      <c r="K446" s="17" t="s">
        <v>519</v>
      </c>
      <c r="L446" s="88" t="s">
        <v>520</v>
      </c>
      <c r="M446" s="155"/>
      <c r="O446" s="17" t="s">
        <v>484</v>
      </c>
      <c r="P446" s="89">
        <v>-79.888630000000006</v>
      </c>
      <c r="Q446" s="89">
        <v>156.81898000000001</v>
      </c>
      <c r="R446" s="22"/>
      <c r="S446" s="90">
        <v>1038</v>
      </c>
      <c r="T446" s="17">
        <v>860</v>
      </c>
      <c r="U446" s="23">
        <v>500</v>
      </c>
      <c r="V446" s="23" t="s">
        <v>2001</v>
      </c>
      <c r="W446" s="44" t="s">
        <v>2428</v>
      </c>
      <c r="X446" s="91">
        <f t="shared" si="12"/>
        <v>178</v>
      </c>
      <c r="Y446" s="22"/>
      <c r="Z446" s="22"/>
      <c r="AB446" s="92">
        <v>6120</v>
      </c>
      <c r="AC446" s="92">
        <v>180</v>
      </c>
      <c r="AD446" s="92">
        <v>180</v>
      </c>
      <c r="AE446" s="27"/>
      <c r="AF446" s="27"/>
      <c r="AG446" s="28"/>
      <c r="AH446" s="28"/>
      <c r="AK446" s="34">
        <v>0</v>
      </c>
      <c r="AM446" s="17" t="s">
        <v>522</v>
      </c>
    </row>
    <row r="447" spans="1:39" ht="12.75" customHeight="1">
      <c r="A447" s="87" t="s">
        <v>2378</v>
      </c>
      <c r="B447" s="33" t="s">
        <v>481</v>
      </c>
      <c r="C447" s="27">
        <v>47</v>
      </c>
      <c r="D447" s="33" t="s">
        <v>196</v>
      </c>
      <c r="E447" s="33">
        <v>0</v>
      </c>
      <c r="F447" s="33" t="s">
        <v>482</v>
      </c>
      <c r="G447" s="33" t="s">
        <v>483</v>
      </c>
      <c r="H447" s="33" t="s">
        <v>390</v>
      </c>
      <c r="I447" s="17" t="b">
        <v>1</v>
      </c>
      <c r="J447" s="17" t="s">
        <v>247</v>
      </c>
      <c r="K447" s="17" t="s">
        <v>519</v>
      </c>
      <c r="L447" s="88" t="s">
        <v>520</v>
      </c>
      <c r="M447" s="155"/>
      <c r="O447" s="17" t="s">
        <v>484</v>
      </c>
      <c r="P447" s="93">
        <v>-79.8904</v>
      </c>
      <c r="Q447" s="89">
        <v>156.80691999999999</v>
      </c>
      <c r="R447" s="22"/>
      <c r="S447" s="90">
        <v>1029</v>
      </c>
      <c r="T447" s="17">
        <v>860</v>
      </c>
      <c r="U447" s="23">
        <v>500</v>
      </c>
      <c r="V447" s="23" t="s">
        <v>2001</v>
      </c>
      <c r="W447" s="44" t="s">
        <v>2428</v>
      </c>
      <c r="X447" s="91">
        <f t="shared" si="12"/>
        <v>169</v>
      </c>
      <c r="Y447" s="22"/>
      <c r="Z447" s="22"/>
      <c r="AB447" s="92">
        <v>6530</v>
      </c>
      <c r="AC447" s="92">
        <v>210</v>
      </c>
      <c r="AD447" s="92">
        <v>210</v>
      </c>
      <c r="AE447" s="27"/>
      <c r="AF447" s="27"/>
      <c r="AG447" s="28"/>
      <c r="AH447" s="28"/>
      <c r="AK447" s="34">
        <v>0</v>
      </c>
      <c r="AM447" s="17" t="s">
        <v>522</v>
      </c>
    </row>
    <row r="448" spans="1:39" ht="12.75" customHeight="1">
      <c r="A448" s="87" t="s">
        <v>2379</v>
      </c>
      <c r="B448" s="33" t="s">
        <v>481</v>
      </c>
      <c r="C448" s="27">
        <v>47</v>
      </c>
      <c r="D448" s="33" t="s">
        <v>196</v>
      </c>
      <c r="E448" s="33">
        <v>0</v>
      </c>
      <c r="F448" s="33" t="s">
        <v>482</v>
      </c>
      <c r="G448" s="33" t="s">
        <v>483</v>
      </c>
      <c r="H448" s="33" t="s">
        <v>390</v>
      </c>
      <c r="I448" s="17" t="b">
        <v>1</v>
      </c>
      <c r="J448" s="17" t="s">
        <v>247</v>
      </c>
      <c r="K448" s="17" t="s">
        <v>519</v>
      </c>
      <c r="L448" s="88" t="s">
        <v>520</v>
      </c>
      <c r="M448" s="155"/>
      <c r="O448" s="17" t="s">
        <v>484</v>
      </c>
      <c r="P448" s="93">
        <v>-79.897800000000004</v>
      </c>
      <c r="Q448" s="94">
        <v>156.8331</v>
      </c>
      <c r="R448" s="22"/>
      <c r="S448" s="90">
        <v>948</v>
      </c>
      <c r="T448" s="17">
        <v>860</v>
      </c>
      <c r="U448" s="23">
        <v>500</v>
      </c>
      <c r="V448" s="23" t="s">
        <v>2001</v>
      </c>
      <c r="W448" s="44" t="s">
        <v>2428</v>
      </c>
      <c r="X448" s="91">
        <f t="shared" si="12"/>
        <v>88</v>
      </c>
      <c r="Y448" s="22"/>
      <c r="Z448" s="22"/>
      <c r="AB448" s="92">
        <v>4580</v>
      </c>
      <c r="AC448" s="92">
        <v>70</v>
      </c>
      <c r="AD448" s="92">
        <v>70</v>
      </c>
      <c r="AE448" s="27"/>
      <c r="AF448" s="27"/>
      <c r="AG448" s="28"/>
      <c r="AH448" s="28"/>
      <c r="AK448" s="34">
        <v>0</v>
      </c>
      <c r="AM448" s="17" t="s">
        <v>522</v>
      </c>
    </row>
    <row r="449" spans="1:39" ht="12.75" customHeight="1">
      <c r="A449" s="87" t="s">
        <v>2380</v>
      </c>
      <c r="B449" s="33" t="s">
        <v>481</v>
      </c>
      <c r="C449" s="27">
        <v>47</v>
      </c>
      <c r="D449" s="33" t="s">
        <v>196</v>
      </c>
      <c r="E449" s="33">
        <v>0</v>
      </c>
      <c r="F449" s="33" t="s">
        <v>482</v>
      </c>
      <c r="G449" s="33" t="s">
        <v>483</v>
      </c>
      <c r="H449" s="33" t="s">
        <v>390</v>
      </c>
      <c r="I449" s="17" t="b">
        <v>1</v>
      </c>
      <c r="J449" s="17" t="s">
        <v>247</v>
      </c>
      <c r="K449" s="17" t="s">
        <v>519</v>
      </c>
      <c r="L449" s="88" t="s">
        <v>520</v>
      </c>
      <c r="M449" s="155"/>
      <c r="O449" s="17" t="s">
        <v>484</v>
      </c>
      <c r="P449" s="89">
        <v>-79.897589999999994</v>
      </c>
      <c r="Q449" s="89">
        <v>156.83139</v>
      </c>
      <c r="R449" s="22"/>
      <c r="S449" s="90">
        <v>950</v>
      </c>
      <c r="T449" s="17">
        <v>860</v>
      </c>
      <c r="U449" s="23">
        <v>500</v>
      </c>
      <c r="V449" s="23" t="s">
        <v>2001</v>
      </c>
      <c r="W449" s="44" t="s">
        <v>2428</v>
      </c>
      <c r="X449" s="91">
        <f t="shared" si="12"/>
        <v>90</v>
      </c>
      <c r="Y449" s="22"/>
      <c r="Z449" s="22"/>
      <c r="AB449" s="92">
        <v>4730</v>
      </c>
      <c r="AC449" s="92">
        <v>40</v>
      </c>
      <c r="AD449" s="92">
        <v>40</v>
      </c>
      <c r="AE449" s="27"/>
      <c r="AF449" s="27"/>
      <c r="AG449" s="28"/>
      <c r="AH449" s="28"/>
      <c r="AK449" s="34">
        <v>0</v>
      </c>
      <c r="AM449" s="17" t="s">
        <v>522</v>
      </c>
    </row>
    <row r="450" spans="1:39" ht="12.75" customHeight="1">
      <c r="A450" s="87" t="s">
        <v>2381</v>
      </c>
      <c r="B450" s="33" t="s">
        <v>481</v>
      </c>
      <c r="C450" s="27">
        <v>47</v>
      </c>
      <c r="D450" s="33" t="s">
        <v>196</v>
      </c>
      <c r="E450" s="33">
        <v>0</v>
      </c>
      <c r="F450" s="33" t="s">
        <v>482</v>
      </c>
      <c r="G450" s="33" t="s">
        <v>483</v>
      </c>
      <c r="H450" s="33" t="s">
        <v>390</v>
      </c>
      <c r="I450" s="17" t="b">
        <v>1</v>
      </c>
      <c r="J450" s="17" t="s">
        <v>247</v>
      </c>
      <c r="K450" s="17" t="s">
        <v>519</v>
      </c>
      <c r="L450" s="88" t="s">
        <v>520</v>
      </c>
      <c r="M450" s="155"/>
      <c r="O450" s="17" t="s">
        <v>484</v>
      </c>
      <c r="P450" s="89">
        <v>-79.897239999999996</v>
      </c>
      <c r="Q450" s="89">
        <v>156.83049</v>
      </c>
      <c r="R450" s="22"/>
      <c r="S450" s="90">
        <v>958</v>
      </c>
      <c r="T450" s="17">
        <v>860</v>
      </c>
      <c r="U450" s="23">
        <v>500</v>
      </c>
      <c r="V450" s="23" t="s">
        <v>2001</v>
      </c>
      <c r="W450" s="44" t="s">
        <v>2428</v>
      </c>
      <c r="X450" s="91">
        <f t="shared" si="12"/>
        <v>98</v>
      </c>
      <c r="Y450" s="22"/>
      <c r="Z450" s="22"/>
      <c r="AB450" s="92">
        <v>4620</v>
      </c>
      <c r="AC450" s="92">
        <v>90</v>
      </c>
      <c r="AD450" s="92">
        <v>90</v>
      </c>
      <c r="AE450" s="27"/>
      <c r="AF450" s="27"/>
      <c r="AG450" s="28"/>
      <c r="AH450" s="28"/>
      <c r="AK450" s="34">
        <v>0</v>
      </c>
      <c r="AM450" s="17" t="s">
        <v>522</v>
      </c>
    </row>
    <row r="451" spans="1:39" ht="12.75" customHeight="1">
      <c r="A451" s="87" t="s">
        <v>2382</v>
      </c>
      <c r="B451" s="33" t="s">
        <v>481</v>
      </c>
      <c r="C451" s="27">
        <v>47</v>
      </c>
      <c r="D451" s="33" t="s">
        <v>196</v>
      </c>
      <c r="E451" s="33">
        <v>0</v>
      </c>
      <c r="F451" s="33" t="s">
        <v>482</v>
      </c>
      <c r="G451" s="33" t="s">
        <v>483</v>
      </c>
      <c r="H451" s="33" t="s">
        <v>390</v>
      </c>
      <c r="I451" s="17" t="b">
        <v>1</v>
      </c>
      <c r="J451" s="17" t="s">
        <v>247</v>
      </c>
      <c r="K451" s="17" t="s">
        <v>519</v>
      </c>
      <c r="L451" s="88" t="s">
        <v>520</v>
      </c>
      <c r="M451" s="155"/>
      <c r="O451" s="17" t="s">
        <v>484</v>
      </c>
      <c r="P451" s="93">
        <v>-79.890799999999999</v>
      </c>
      <c r="Q451" s="89">
        <v>156.76294999999999</v>
      </c>
      <c r="R451" s="22"/>
      <c r="S451" s="90">
        <v>1110</v>
      </c>
      <c r="T451" s="17">
        <v>860</v>
      </c>
      <c r="U451" s="23">
        <v>500</v>
      </c>
      <c r="V451" s="23" t="s">
        <v>2001</v>
      </c>
      <c r="W451" s="44" t="s">
        <v>2428</v>
      </c>
      <c r="X451" s="91">
        <f t="shared" si="12"/>
        <v>250</v>
      </c>
      <c r="Y451" s="22"/>
      <c r="Z451" s="22"/>
      <c r="AB451" s="92">
        <v>8950</v>
      </c>
      <c r="AC451" s="92">
        <v>180</v>
      </c>
      <c r="AD451" s="92">
        <v>180</v>
      </c>
      <c r="AE451" s="27"/>
      <c r="AF451" s="27"/>
      <c r="AG451" s="28"/>
      <c r="AH451" s="28"/>
      <c r="AK451" s="34">
        <v>0</v>
      </c>
      <c r="AM451" s="17" t="s">
        <v>522</v>
      </c>
    </row>
    <row r="452" spans="1:39" ht="12.75" customHeight="1">
      <c r="A452" s="87" t="s">
        <v>2383</v>
      </c>
      <c r="B452" s="33" t="s">
        <v>481</v>
      </c>
      <c r="C452" s="27">
        <v>47</v>
      </c>
      <c r="D452" s="33" t="s">
        <v>196</v>
      </c>
      <c r="E452" s="33">
        <v>0</v>
      </c>
      <c r="F452" s="33" t="s">
        <v>482</v>
      </c>
      <c r="G452" s="33" t="s">
        <v>483</v>
      </c>
      <c r="H452" s="33" t="s">
        <v>390</v>
      </c>
      <c r="I452" s="17" t="b">
        <v>1</v>
      </c>
      <c r="J452" s="17" t="s">
        <v>247</v>
      </c>
      <c r="K452" s="17" t="s">
        <v>519</v>
      </c>
      <c r="L452" s="88" t="s">
        <v>520</v>
      </c>
      <c r="M452" s="155"/>
      <c r="O452" s="17" t="s">
        <v>484</v>
      </c>
      <c r="P452" s="89">
        <v>-79.890349999999998</v>
      </c>
      <c r="Q452" s="89">
        <v>156.80685</v>
      </c>
      <c r="R452" s="22"/>
      <c r="S452" s="90">
        <v>1028</v>
      </c>
      <c r="T452" s="17">
        <v>860</v>
      </c>
      <c r="U452" s="23">
        <v>500</v>
      </c>
      <c r="V452" s="23" t="s">
        <v>2001</v>
      </c>
      <c r="W452" s="44" t="s">
        <v>2428</v>
      </c>
      <c r="X452" s="91">
        <f t="shared" si="12"/>
        <v>168</v>
      </c>
      <c r="Y452" s="22"/>
      <c r="Z452" s="22"/>
      <c r="AB452" s="92">
        <v>6340</v>
      </c>
      <c r="AC452" s="92">
        <v>70</v>
      </c>
      <c r="AD452" s="92">
        <v>70</v>
      </c>
      <c r="AE452" s="27"/>
      <c r="AF452" s="27"/>
      <c r="AG452" s="28"/>
      <c r="AH452" s="28"/>
      <c r="AK452" s="34">
        <v>0</v>
      </c>
      <c r="AM452" s="17" t="s">
        <v>522</v>
      </c>
    </row>
    <row r="453" spans="1:39" ht="12.75" customHeight="1">
      <c r="A453" s="87" t="s">
        <v>2384</v>
      </c>
      <c r="B453" s="33" t="s">
        <v>481</v>
      </c>
      <c r="C453" s="27">
        <v>47</v>
      </c>
      <c r="D453" s="33" t="s">
        <v>196</v>
      </c>
      <c r="E453" s="33">
        <v>0</v>
      </c>
      <c r="F453" s="33" t="s">
        <v>482</v>
      </c>
      <c r="G453" s="33" t="s">
        <v>483</v>
      </c>
      <c r="H453" s="33" t="s">
        <v>390</v>
      </c>
      <c r="I453" s="17" t="b">
        <v>1</v>
      </c>
      <c r="J453" s="17" t="s">
        <v>247</v>
      </c>
      <c r="K453" s="17" t="s">
        <v>519</v>
      </c>
      <c r="L453" s="88" t="s">
        <v>520</v>
      </c>
      <c r="M453" s="155"/>
      <c r="O453" s="17" t="s">
        <v>484</v>
      </c>
      <c r="P453" s="89">
        <v>-79.88597</v>
      </c>
      <c r="Q453" s="89">
        <v>156.81592000000001</v>
      </c>
      <c r="R453" s="22"/>
      <c r="S453" s="90">
        <v>1061</v>
      </c>
      <c r="T453" s="17">
        <v>860</v>
      </c>
      <c r="U453" s="23">
        <v>500</v>
      </c>
      <c r="V453" s="23" t="s">
        <v>2001</v>
      </c>
      <c r="W453" s="44" t="s">
        <v>2428</v>
      </c>
      <c r="X453" s="91">
        <f t="shared" si="12"/>
        <v>201</v>
      </c>
      <c r="Y453" s="22"/>
      <c r="Z453" s="22"/>
      <c r="AB453" s="92">
        <v>7250</v>
      </c>
      <c r="AC453" s="92">
        <v>80</v>
      </c>
      <c r="AD453" s="92">
        <v>80</v>
      </c>
      <c r="AE453" s="27"/>
      <c r="AF453" s="27"/>
      <c r="AG453" s="28"/>
      <c r="AH453" s="28"/>
      <c r="AK453" s="34">
        <v>0</v>
      </c>
      <c r="AM453" s="17" t="s">
        <v>522</v>
      </c>
    </row>
    <row r="454" spans="1:39" ht="12.75" customHeight="1">
      <c r="A454" s="87" t="s">
        <v>2385</v>
      </c>
      <c r="B454" s="33" t="s">
        <v>481</v>
      </c>
      <c r="C454" s="27">
        <v>47</v>
      </c>
      <c r="D454" s="33" t="s">
        <v>196</v>
      </c>
      <c r="E454" s="33">
        <v>0</v>
      </c>
      <c r="F454" s="33" t="s">
        <v>482</v>
      </c>
      <c r="G454" s="33" t="s">
        <v>483</v>
      </c>
      <c r="H454" s="33" t="s">
        <v>390</v>
      </c>
      <c r="I454" s="17" t="b">
        <v>1</v>
      </c>
      <c r="J454" s="17" t="s">
        <v>247</v>
      </c>
      <c r="K454" s="17" t="s">
        <v>519</v>
      </c>
      <c r="L454" s="88" t="s">
        <v>520</v>
      </c>
      <c r="M454" s="155"/>
      <c r="O454" s="17" t="s">
        <v>484</v>
      </c>
      <c r="P454" s="89">
        <v>-79.911289999999994</v>
      </c>
      <c r="Q454" s="89">
        <v>156.79936000000001</v>
      </c>
      <c r="R454" s="22"/>
      <c r="S454" s="90">
        <v>1005</v>
      </c>
      <c r="T454" s="17">
        <v>860</v>
      </c>
      <c r="U454" s="23">
        <v>500</v>
      </c>
      <c r="V454" s="23" t="s">
        <v>2001</v>
      </c>
      <c r="W454" s="44" t="s">
        <v>2428</v>
      </c>
      <c r="X454" s="91">
        <f t="shared" si="12"/>
        <v>145</v>
      </c>
      <c r="Y454" s="22"/>
      <c r="Z454" s="22"/>
      <c r="AB454" s="92">
        <v>8670</v>
      </c>
      <c r="AC454" s="92">
        <v>120</v>
      </c>
      <c r="AD454" s="92">
        <v>120</v>
      </c>
      <c r="AE454" s="27"/>
      <c r="AF454" s="27"/>
      <c r="AG454" s="28"/>
      <c r="AH454" s="28"/>
      <c r="AK454" s="34">
        <v>1</v>
      </c>
      <c r="AL454" s="17" t="s">
        <v>525</v>
      </c>
      <c r="AM454" s="17" t="s">
        <v>522</v>
      </c>
    </row>
    <row r="455" spans="1:39" ht="12.75" customHeight="1">
      <c r="A455" s="87" t="s">
        <v>2386</v>
      </c>
      <c r="B455" s="33" t="s">
        <v>481</v>
      </c>
      <c r="C455" s="27">
        <v>47</v>
      </c>
      <c r="D455" s="33" t="s">
        <v>196</v>
      </c>
      <c r="E455" s="33">
        <v>0</v>
      </c>
      <c r="F455" s="33" t="s">
        <v>482</v>
      </c>
      <c r="G455" s="33" t="s">
        <v>483</v>
      </c>
      <c r="H455" s="33" t="s">
        <v>390</v>
      </c>
      <c r="I455" s="17" t="b">
        <v>1</v>
      </c>
      <c r="J455" s="17" t="s">
        <v>247</v>
      </c>
      <c r="K455" s="17" t="s">
        <v>519</v>
      </c>
      <c r="L455" s="88" t="s">
        <v>520</v>
      </c>
      <c r="M455" s="155"/>
      <c r="O455" s="17" t="s">
        <v>484</v>
      </c>
      <c r="P455" s="89">
        <v>-79.897350000000003</v>
      </c>
      <c r="Q455" s="94">
        <v>156.82990000000001</v>
      </c>
      <c r="R455" s="22"/>
      <c r="S455" s="90">
        <v>956</v>
      </c>
      <c r="T455" s="17">
        <v>860</v>
      </c>
      <c r="U455" s="23">
        <v>500</v>
      </c>
      <c r="V455" s="23" t="s">
        <v>2001</v>
      </c>
      <c r="W455" s="44" t="s">
        <v>2428</v>
      </c>
      <c r="X455" s="91">
        <f t="shared" si="12"/>
        <v>96</v>
      </c>
      <c r="Y455" s="22"/>
      <c r="Z455" s="22"/>
      <c r="AB455" s="92">
        <v>4840</v>
      </c>
      <c r="AC455" s="92">
        <v>30</v>
      </c>
      <c r="AD455" s="92">
        <v>30</v>
      </c>
      <c r="AE455" s="27"/>
      <c r="AF455" s="27"/>
      <c r="AG455" s="28"/>
      <c r="AH455" s="28"/>
      <c r="AK455" s="34">
        <v>0</v>
      </c>
      <c r="AM455" s="17" t="s">
        <v>522</v>
      </c>
    </row>
    <row r="456" spans="1:39" ht="12.75" customHeight="1">
      <c r="A456" s="87" t="s">
        <v>2387</v>
      </c>
      <c r="B456" s="33" t="s">
        <v>481</v>
      </c>
      <c r="C456" s="27">
        <v>47</v>
      </c>
      <c r="D456" s="33" t="s">
        <v>196</v>
      </c>
      <c r="E456" s="33">
        <v>0</v>
      </c>
      <c r="F456" s="33" t="s">
        <v>482</v>
      </c>
      <c r="G456" s="33" t="s">
        <v>483</v>
      </c>
      <c r="H456" s="33" t="s">
        <v>390</v>
      </c>
      <c r="I456" s="17" t="b">
        <v>1</v>
      </c>
      <c r="J456" s="17" t="s">
        <v>247</v>
      </c>
      <c r="K456" s="17" t="s">
        <v>519</v>
      </c>
      <c r="L456" s="88" t="s">
        <v>520</v>
      </c>
      <c r="M456" s="155"/>
      <c r="O456" s="17" t="s">
        <v>484</v>
      </c>
      <c r="P456" s="89">
        <v>-79.883480000000006</v>
      </c>
      <c r="Q456" s="89">
        <v>156.80006</v>
      </c>
      <c r="R456" s="22"/>
      <c r="S456" s="90">
        <v>1105</v>
      </c>
      <c r="T456" s="17">
        <v>860</v>
      </c>
      <c r="U456" s="23">
        <v>500</v>
      </c>
      <c r="V456" s="23" t="s">
        <v>2001</v>
      </c>
      <c r="W456" s="44" t="s">
        <v>2428</v>
      </c>
      <c r="X456" s="91">
        <f t="shared" si="12"/>
        <v>245</v>
      </c>
      <c r="Y456" s="22"/>
      <c r="Z456" s="22"/>
      <c r="AB456" s="92">
        <v>8370</v>
      </c>
      <c r="AC456" s="92">
        <v>40</v>
      </c>
      <c r="AD456" s="92">
        <v>40</v>
      </c>
      <c r="AE456" s="27"/>
      <c r="AF456" s="27"/>
      <c r="AG456" s="28"/>
      <c r="AH456" s="28"/>
      <c r="AK456" s="34">
        <v>0</v>
      </c>
      <c r="AM456" s="17" t="s">
        <v>522</v>
      </c>
    </row>
    <row r="457" spans="1:39" ht="12.75" customHeight="1">
      <c r="A457" s="87" t="s">
        <v>2388</v>
      </c>
      <c r="B457" s="33" t="s">
        <v>481</v>
      </c>
      <c r="C457" s="27">
        <v>47</v>
      </c>
      <c r="D457" s="33" t="s">
        <v>196</v>
      </c>
      <c r="E457" s="33">
        <v>0</v>
      </c>
      <c r="F457" s="33" t="s">
        <v>482</v>
      </c>
      <c r="G457" s="33" t="s">
        <v>483</v>
      </c>
      <c r="H457" s="33" t="s">
        <v>390</v>
      </c>
      <c r="I457" s="17" t="b">
        <v>1</v>
      </c>
      <c r="J457" s="17" t="s">
        <v>247</v>
      </c>
      <c r="K457" s="17" t="s">
        <v>519</v>
      </c>
      <c r="L457" s="88" t="s">
        <v>520</v>
      </c>
      <c r="M457" s="155"/>
      <c r="O457" s="17" t="s">
        <v>484</v>
      </c>
      <c r="P457" s="89">
        <v>-79.888930000000002</v>
      </c>
      <c r="Q457" s="89">
        <v>156.82393999999999</v>
      </c>
      <c r="R457" s="22"/>
      <c r="S457" s="90">
        <v>1040</v>
      </c>
      <c r="T457" s="17">
        <v>860</v>
      </c>
      <c r="U457" s="23">
        <v>500</v>
      </c>
      <c r="V457" s="23" t="s">
        <v>2001</v>
      </c>
      <c r="W457" s="44" t="s">
        <v>2428</v>
      </c>
      <c r="X457" s="91">
        <f t="shared" si="12"/>
        <v>180</v>
      </c>
      <c r="Y457" s="22"/>
      <c r="Z457" s="22"/>
      <c r="AB457" s="92">
        <v>6360</v>
      </c>
      <c r="AC457" s="92">
        <v>50</v>
      </c>
      <c r="AD457" s="92">
        <v>50</v>
      </c>
      <c r="AE457" s="27"/>
      <c r="AF457" s="27"/>
      <c r="AG457" s="28"/>
      <c r="AH457" s="28"/>
      <c r="AK457" s="34">
        <v>0</v>
      </c>
      <c r="AM457" s="17" t="s">
        <v>522</v>
      </c>
    </row>
    <row r="458" spans="1:39" ht="12.75" customHeight="1">
      <c r="A458" s="87" t="s">
        <v>2389</v>
      </c>
      <c r="B458" s="33" t="s">
        <v>481</v>
      </c>
      <c r="C458" s="27">
        <v>47</v>
      </c>
      <c r="D458" s="33" t="s">
        <v>196</v>
      </c>
      <c r="E458" s="33">
        <v>0</v>
      </c>
      <c r="F458" s="33" t="s">
        <v>482</v>
      </c>
      <c r="G458" s="33" t="s">
        <v>483</v>
      </c>
      <c r="H458" s="33" t="s">
        <v>390</v>
      </c>
      <c r="I458" s="17" t="b">
        <v>1</v>
      </c>
      <c r="J458" s="17" t="s">
        <v>247</v>
      </c>
      <c r="K458" s="17" t="s">
        <v>519</v>
      </c>
      <c r="L458" s="88" t="s">
        <v>520</v>
      </c>
      <c r="M458" s="155"/>
      <c r="O458" s="17" t="s">
        <v>484</v>
      </c>
      <c r="P458" s="89">
        <v>-79.887379999999993</v>
      </c>
      <c r="Q458" s="89">
        <v>156.81882999999999</v>
      </c>
      <c r="R458" s="22"/>
      <c r="S458" s="90">
        <v>1054</v>
      </c>
      <c r="T458" s="17">
        <v>860</v>
      </c>
      <c r="U458" s="23">
        <v>500</v>
      </c>
      <c r="V458" s="23" t="s">
        <v>2001</v>
      </c>
      <c r="W458" s="44" t="s">
        <v>2428</v>
      </c>
      <c r="X458" s="91">
        <f t="shared" si="12"/>
        <v>194</v>
      </c>
      <c r="Y458" s="22"/>
      <c r="Z458" s="22"/>
      <c r="AB458" s="92">
        <v>7350</v>
      </c>
      <c r="AC458" s="92">
        <v>70</v>
      </c>
      <c r="AD458" s="92">
        <v>70</v>
      </c>
      <c r="AE458" s="27"/>
      <c r="AF458" s="27"/>
      <c r="AG458" s="28"/>
      <c r="AH458" s="28"/>
      <c r="AK458" s="34">
        <v>0</v>
      </c>
      <c r="AM458" s="17" t="s">
        <v>522</v>
      </c>
    </row>
    <row r="459" spans="1:39" ht="12.75" customHeight="1">
      <c r="A459" s="87" t="s">
        <v>2390</v>
      </c>
      <c r="B459" s="33" t="s">
        <v>481</v>
      </c>
      <c r="C459" s="27">
        <v>47</v>
      </c>
      <c r="D459" s="33" t="s">
        <v>196</v>
      </c>
      <c r="E459" s="33">
        <v>0</v>
      </c>
      <c r="F459" s="33" t="s">
        <v>482</v>
      </c>
      <c r="G459" s="33" t="s">
        <v>483</v>
      </c>
      <c r="H459" s="33" t="s">
        <v>390</v>
      </c>
      <c r="I459" s="17" t="b">
        <v>1</v>
      </c>
      <c r="J459" s="17" t="s">
        <v>247</v>
      </c>
      <c r="K459" s="17" t="s">
        <v>519</v>
      </c>
      <c r="L459" s="88" t="s">
        <v>520</v>
      </c>
      <c r="M459" s="155"/>
      <c r="O459" s="17" t="s">
        <v>484</v>
      </c>
      <c r="P459" s="89">
        <v>-79.887919999999994</v>
      </c>
      <c r="Q459" s="89">
        <v>156.81943000000001</v>
      </c>
      <c r="R459" s="22"/>
      <c r="S459" s="90">
        <v>1043</v>
      </c>
      <c r="T459" s="17">
        <v>860</v>
      </c>
      <c r="U459" s="23">
        <v>500</v>
      </c>
      <c r="V459" s="23" t="s">
        <v>2001</v>
      </c>
      <c r="W459" s="44" t="s">
        <v>2428</v>
      </c>
      <c r="X459" s="91">
        <f t="shared" si="12"/>
        <v>183</v>
      </c>
      <c r="Y459" s="22"/>
      <c r="Z459" s="22"/>
      <c r="AB459" s="92">
        <v>6360</v>
      </c>
      <c r="AC459" s="92">
        <v>50</v>
      </c>
      <c r="AD459" s="92">
        <v>50</v>
      </c>
      <c r="AE459" s="27"/>
      <c r="AF459" s="27"/>
      <c r="AG459" s="28"/>
      <c r="AH459" s="28"/>
      <c r="AK459" s="34">
        <v>0</v>
      </c>
      <c r="AM459" s="17" t="s">
        <v>522</v>
      </c>
    </row>
    <row r="460" spans="1:39" ht="12.75" customHeight="1">
      <c r="A460" s="87" t="s">
        <v>2391</v>
      </c>
      <c r="B460" s="33" t="s">
        <v>481</v>
      </c>
      <c r="C460" s="27">
        <v>47</v>
      </c>
      <c r="D460" s="33" t="s">
        <v>196</v>
      </c>
      <c r="E460" s="33">
        <v>0</v>
      </c>
      <c r="F460" s="33" t="s">
        <v>482</v>
      </c>
      <c r="G460" s="33" t="s">
        <v>483</v>
      </c>
      <c r="H460" s="33" t="s">
        <v>390</v>
      </c>
      <c r="I460" s="17" t="b">
        <v>1</v>
      </c>
      <c r="J460" s="17" t="s">
        <v>247</v>
      </c>
      <c r="K460" s="17" t="s">
        <v>519</v>
      </c>
      <c r="L460" s="88" t="s">
        <v>520</v>
      </c>
      <c r="M460" s="155"/>
      <c r="O460" s="17" t="s">
        <v>484</v>
      </c>
      <c r="P460" s="89">
        <v>-79.891679999999994</v>
      </c>
      <c r="Q460" s="94">
        <v>156.785</v>
      </c>
      <c r="R460" s="22"/>
      <c r="S460" s="90">
        <v>1073</v>
      </c>
      <c r="T460" s="17">
        <v>860</v>
      </c>
      <c r="U460" s="23">
        <v>500</v>
      </c>
      <c r="V460" s="23" t="s">
        <v>2001</v>
      </c>
      <c r="W460" s="44" t="s">
        <v>2428</v>
      </c>
      <c r="X460" s="91">
        <f t="shared" si="12"/>
        <v>213</v>
      </c>
      <c r="Y460" s="22"/>
      <c r="Z460" s="22"/>
      <c r="AB460" s="92">
        <v>12980</v>
      </c>
      <c r="AC460" s="92">
        <v>140</v>
      </c>
      <c r="AD460" s="92">
        <v>140</v>
      </c>
      <c r="AE460" s="27"/>
      <c r="AF460" s="27"/>
      <c r="AG460" s="28"/>
      <c r="AH460" s="28"/>
      <c r="AK460" s="34">
        <v>1</v>
      </c>
      <c r="AL460" s="17" t="s">
        <v>526</v>
      </c>
      <c r="AM460" s="17" t="s">
        <v>522</v>
      </c>
    </row>
    <row r="461" spans="1:39" ht="12.75" customHeight="1">
      <c r="A461" s="87" t="s">
        <v>2392</v>
      </c>
      <c r="B461" s="33" t="s">
        <v>481</v>
      </c>
      <c r="C461" s="27">
        <v>47</v>
      </c>
      <c r="D461" s="33" t="s">
        <v>196</v>
      </c>
      <c r="E461" s="33">
        <v>0</v>
      </c>
      <c r="F461" s="33" t="s">
        <v>482</v>
      </c>
      <c r="G461" s="33" t="s">
        <v>483</v>
      </c>
      <c r="H461" s="33" t="s">
        <v>390</v>
      </c>
      <c r="I461" s="17" t="b">
        <v>1</v>
      </c>
      <c r="J461" s="17" t="s">
        <v>247</v>
      </c>
      <c r="K461" s="17" t="s">
        <v>519</v>
      </c>
      <c r="L461" s="88" t="s">
        <v>520</v>
      </c>
      <c r="M461" s="155"/>
      <c r="O461" s="17" t="s">
        <v>484</v>
      </c>
      <c r="P461" s="89">
        <v>-79.891040000000004</v>
      </c>
      <c r="Q461" s="89">
        <v>156.76873000000001</v>
      </c>
      <c r="R461" s="22"/>
      <c r="S461" s="90">
        <v>1089</v>
      </c>
      <c r="T461" s="17">
        <v>860</v>
      </c>
      <c r="U461" s="23">
        <v>500</v>
      </c>
      <c r="V461" s="23" t="s">
        <v>2001</v>
      </c>
      <c r="W461" s="44" t="s">
        <v>2428</v>
      </c>
      <c r="X461" s="91">
        <f t="shared" si="12"/>
        <v>229</v>
      </c>
      <c r="Y461" s="22"/>
      <c r="Z461" s="22"/>
      <c r="AB461" s="92">
        <v>10320</v>
      </c>
      <c r="AC461" s="92">
        <v>90</v>
      </c>
      <c r="AD461" s="92">
        <v>90</v>
      </c>
      <c r="AE461" s="27"/>
      <c r="AF461" s="27"/>
      <c r="AG461" s="28"/>
      <c r="AH461" s="28"/>
      <c r="AK461" s="34">
        <v>0</v>
      </c>
      <c r="AM461" s="17" t="s">
        <v>522</v>
      </c>
    </row>
    <row r="462" spans="1:39" ht="12.75" customHeight="1">
      <c r="A462" s="87" t="s">
        <v>2393</v>
      </c>
      <c r="B462" s="33" t="s">
        <v>481</v>
      </c>
      <c r="C462" s="27">
        <v>47</v>
      </c>
      <c r="D462" s="33" t="s">
        <v>196</v>
      </c>
      <c r="E462" s="33">
        <v>0</v>
      </c>
      <c r="F462" s="33" t="s">
        <v>482</v>
      </c>
      <c r="G462" s="33" t="s">
        <v>483</v>
      </c>
      <c r="H462" s="33" t="s">
        <v>390</v>
      </c>
      <c r="I462" s="17" t="b">
        <v>1</v>
      </c>
      <c r="J462" s="17" t="s">
        <v>247</v>
      </c>
      <c r="K462" s="17" t="s">
        <v>519</v>
      </c>
      <c r="L462" s="88" t="s">
        <v>520</v>
      </c>
      <c r="M462" s="155"/>
      <c r="O462" s="17" t="s">
        <v>484</v>
      </c>
      <c r="P462" s="89">
        <v>-79.890940000000001</v>
      </c>
      <c r="Q462" s="89">
        <v>156.76283000000001</v>
      </c>
      <c r="R462" s="22"/>
      <c r="S462" s="90">
        <v>1109</v>
      </c>
      <c r="T462" s="17">
        <v>860</v>
      </c>
      <c r="U462" s="23">
        <v>500</v>
      </c>
      <c r="V462" s="23" t="s">
        <v>2001</v>
      </c>
      <c r="W462" s="44" t="s">
        <v>2428</v>
      </c>
      <c r="X462" s="91">
        <f t="shared" si="12"/>
        <v>249</v>
      </c>
      <c r="Y462" s="22"/>
      <c r="Z462" s="22"/>
      <c r="AB462" s="92">
        <v>8690</v>
      </c>
      <c r="AC462" s="92">
        <v>100</v>
      </c>
      <c r="AD462" s="92">
        <v>100</v>
      </c>
      <c r="AE462" s="27"/>
      <c r="AF462" s="27"/>
      <c r="AG462" s="28"/>
      <c r="AH462" s="28"/>
      <c r="AK462" s="34">
        <v>0</v>
      </c>
      <c r="AM462" s="17" t="s">
        <v>522</v>
      </c>
    </row>
    <row r="463" spans="1:39" ht="12.75" customHeight="1">
      <c r="A463" s="87" t="s">
        <v>2394</v>
      </c>
      <c r="B463" s="33" t="s">
        <v>481</v>
      </c>
      <c r="C463" s="27">
        <v>47</v>
      </c>
      <c r="D463" s="33" t="s">
        <v>196</v>
      </c>
      <c r="E463" s="33">
        <v>0</v>
      </c>
      <c r="F463" s="33" t="s">
        <v>482</v>
      </c>
      <c r="G463" s="33" t="s">
        <v>483</v>
      </c>
      <c r="H463" s="33" t="s">
        <v>390</v>
      </c>
      <c r="I463" s="17" t="b">
        <v>1</v>
      </c>
      <c r="J463" s="17" t="s">
        <v>247</v>
      </c>
      <c r="K463" s="17" t="s">
        <v>519</v>
      </c>
      <c r="L463" s="88" t="s">
        <v>520</v>
      </c>
      <c r="M463" s="155"/>
      <c r="O463" s="17" t="s">
        <v>484</v>
      </c>
      <c r="P463" s="89">
        <v>-79.890879999999996</v>
      </c>
      <c r="Q463" s="89">
        <v>156.76346000000001</v>
      </c>
      <c r="R463" s="22"/>
      <c r="S463" s="90">
        <v>1112</v>
      </c>
      <c r="T463" s="17">
        <v>860</v>
      </c>
      <c r="U463" s="23">
        <v>500</v>
      </c>
      <c r="V463" s="23" t="s">
        <v>2001</v>
      </c>
      <c r="W463" s="44" t="s">
        <v>2428</v>
      </c>
      <c r="X463" s="91">
        <f t="shared" si="12"/>
        <v>252</v>
      </c>
      <c r="Y463" s="22"/>
      <c r="Z463" s="22"/>
      <c r="AB463" s="92">
        <v>10030</v>
      </c>
      <c r="AC463" s="92">
        <v>150</v>
      </c>
      <c r="AD463" s="92">
        <v>150</v>
      </c>
      <c r="AE463" s="27"/>
      <c r="AF463" s="27"/>
      <c r="AG463" s="28"/>
      <c r="AH463" s="28"/>
      <c r="AK463" s="34">
        <v>0</v>
      </c>
      <c r="AM463" s="17" t="s">
        <v>522</v>
      </c>
    </row>
    <row r="464" spans="1:39" ht="12.75" customHeight="1">
      <c r="A464" s="87" t="s">
        <v>2395</v>
      </c>
      <c r="B464" s="33" t="s">
        <v>481</v>
      </c>
      <c r="C464" s="27">
        <v>47</v>
      </c>
      <c r="D464" s="33" t="s">
        <v>196</v>
      </c>
      <c r="E464" s="33">
        <v>0</v>
      </c>
      <c r="F464" s="33" t="s">
        <v>482</v>
      </c>
      <c r="G464" s="33" t="s">
        <v>483</v>
      </c>
      <c r="H464" s="33" t="s">
        <v>390</v>
      </c>
      <c r="I464" s="17" t="b">
        <v>1</v>
      </c>
      <c r="J464" s="17" t="s">
        <v>247</v>
      </c>
      <c r="K464" s="17" t="s">
        <v>519</v>
      </c>
      <c r="L464" s="88" t="s">
        <v>520</v>
      </c>
      <c r="M464" s="155"/>
      <c r="O464" s="17" t="s">
        <v>484</v>
      </c>
      <c r="P464" s="89">
        <v>-79.898129999999995</v>
      </c>
      <c r="Q464" s="89">
        <v>156.83624</v>
      </c>
      <c r="R464" s="22"/>
      <c r="S464" s="90">
        <v>939</v>
      </c>
      <c r="T464" s="17">
        <v>860</v>
      </c>
      <c r="U464" s="23">
        <v>500</v>
      </c>
      <c r="V464" s="23" t="s">
        <v>2001</v>
      </c>
      <c r="W464" s="44" t="s">
        <v>2428</v>
      </c>
      <c r="X464" s="91">
        <f t="shared" si="12"/>
        <v>79</v>
      </c>
      <c r="Y464" s="22"/>
      <c r="Z464" s="22"/>
      <c r="AB464" s="92">
        <v>4360</v>
      </c>
      <c r="AC464" s="92">
        <v>70</v>
      </c>
      <c r="AD464" s="92">
        <v>70</v>
      </c>
      <c r="AE464" s="27"/>
      <c r="AF464" s="27"/>
      <c r="AG464" s="28"/>
      <c r="AH464" s="28"/>
      <c r="AK464" s="34">
        <v>0</v>
      </c>
      <c r="AM464" s="17" t="s">
        <v>522</v>
      </c>
    </row>
    <row r="465" spans="1:39" ht="12.75" customHeight="1">
      <c r="A465" s="87" t="s">
        <v>2396</v>
      </c>
      <c r="B465" s="33" t="s">
        <v>481</v>
      </c>
      <c r="C465" s="27">
        <v>47</v>
      </c>
      <c r="D465" s="33" t="s">
        <v>196</v>
      </c>
      <c r="E465" s="33">
        <v>0</v>
      </c>
      <c r="F465" s="33" t="s">
        <v>482</v>
      </c>
      <c r="G465" s="33" t="s">
        <v>483</v>
      </c>
      <c r="H465" s="33" t="s">
        <v>390</v>
      </c>
      <c r="I465" s="17" t="b">
        <v>1</v>
      </c>
      <c r="J465" s="17" t="s">
        <v>247</v>
      </c>
      <c r="K465" s="17" t="s">
        <v>519</v>
      </c>
      <c r="L465" s="88" t="s">
        <v>520</v>
      </c>
      <c r="M465" s="155"/>
      <c r="O465" s="17" t="s">
        <v>484</v>
      </c>
      <c r="P465" s="93">
        <v>-79.917100000000005</v>
      </c>
      <c r="Q465" s="89">
        <v>156.74017000000001</v>
      </c>
      <c r="R465" s="22"/>
      <c r="S465" s="90">
        <v>1020</v>
      </c>
      <c r="T465" s="17">
        <v>860</v>
      </c>
      <c r="U465" s="23">
        <v>500</v>
      </c>
      <c r="V465" s="23" t="s">
        <v>2001</v>
      </c>
      <c r="W465" s="44" t="s">
        <v>2428</v>
      </c>
      <c r="X465" s="91">
        <f t="shared" si="12"/>
        <v>160</v>
      </c>
      <c r="Y465" s="22"/>
      <c r="Z465" s="22"/>
      <c r="AB465" s="92">
        <v>8400</v>
      </c>
      <c r="AC465" s="92">
        <v>50</v>
      </c>
      <c r="AD465" s="92">
        <v>50</v>
      </c>
      <c r="AE465" s="27"/>
      <c r="AF465" s="27"/>
      <c r="AG465" s="28"/>
      <c r="AH465" s="28"/>
      <c r="AK465" s="34">
        <v>0</v>
      </c>
      <c r="AM465" s="17" t="s">
        <v>527</v>
      </c>
    </row>
    <row r="466" spans="1:39" ht="12.75" customHeight="1">
      <c r="A466" s="87" t="s">
        <v>2397</v>
      </c>
      <c r="B466" s="33" t="s">
        <v>481</v>
      </c>
      <c r="C466" s="27">
        <v>47</v>
      </c>
      <c r="D466" s="33" t="s">
        <v>196</v>
      </c>
      <c r="E466" s="33">
        <v>0</v>
      </c>
      <c r="F466" s="33" t="s">
        <v>482</v>
      </c>
      <c r="G466" s="33" t="s">
        <v>483</v>
      </c>
      <c r="H466" s="33" t="s">
        <v>390</v>
      </c>
      <c r="I466" s="17" t="b">
        <v>1</v>
      </c>
      <c r="J466" s="17" t="s">
        <v>247</v>
      </c>
      <c r="K466" s="17" t="s">
        <v>519</v>
      </c>
      <c r="L466" s="88" t="s">
        <v>520</v>
      </c>
      <c r="M466" s="155"/>
      <c r="O466" s="17" t="s">
        <v>484</v>
      </c>
      <c r="P466" s="89">
        <v>-79.899029999999996</v>
      </c>
      <c r="Q466" s="89">
        <v>156.84862000000001</v>
      </c>
      <c r="R466" s="22"/>
      <c r="S466" s="90">
        <v>883</v>
      </c>
      <c r="T466" s="17">
        <v>860</v>
      </c>
      <c r="U466" s="23">
        <v>500</v>
      </c>
      <c r="V466" s="23" t="s">
        <v>2001</v>
      </c>
      <c r="W466" s="44" t="s">
        <v>2428</v>
      </c>
      <c r="X466" s="91">
        <f t="shared" si="12"/>
        <v>23</v>
      </c>
      <c r="Y466" s="22"/>
      <c r="Z466" s="22"/>
      <c r="AB466" s="92">
        <v>2810</v>
      </c>
      <c r="AC466" s="92">
        <v>40</v>
      </c>
      <c r="AD466" s="92">
        <v>40</v>
      </c>
      <c r="AE466" s="27"/>
      <c r="AF466" s="27"/>
      <c r="AG466" s="28"/>
      <c r="AH466" s="28"/>
      <c r="AK466" s="34">
        <v>0</v>
      </c>
      <c r="AM466" s="17" t="s">
        <v>522</v>
      </c>
    </row>
    <row r="467" spans="1:39" ht="12.75" customHeight="1">
      <c r="A467" s="87" t="s">
        <v>2398</v>
      </c>
      <c r="B467" s="33" t="s">
        <v>481</v>
      </c>
      <c r="C467" s="27">
        <v>47</v>
      </c>
      <c r="D467" s="33" t="s">
        <v>196</v>
      </c>
      <c r="E467" s="33">
        <v>0</v>
      </c>
      <c r="F467" s="33" t="s">
        <v>482</v>
      </c>
      <c r="G467" s="33" t="s">
        <v>483</v>
      </c>
      <c r="H467" s="33" t="s">
        <v>390</v>
      </c>
      <c r="I467" s="17" t="b">
        <v>1</v>
      </c>
      <c r="J467" s="17" t="s">
        <v>247</v>
      </c>
      <c r="K467" s="17" t="s">
        <v>519</v>
      </c>
      <c r="L467" s="88" t="s">
        <v>520</v>
      </c>
      <c r="M467" s="155"/>
      <c r="O467" s="17" t="s">
        <v>484</v>
      </c>
      <c r="P467" s="89">
        <v>-79.919579999999996</v>
      </c>
      <c r="Q467" s="89">
        <v>156.75158999999999</v>
      </c>
      <c r="R467" s="22"/>
      <c r="S467" s="90">
        <v>1020</v>
      </c>
      <c r="T467" s="17">
        <v>860</v>
      </c>
      <c r="U467" s="23">
        <v>500</v>
      </c>
      <c r="V467" s="23" t="s">
        <v>2001</v>
      </c>
      <c r="W467" s="44" t="s">
        <v>2428</v>
      </c>
      <c r="X467" s="91">
        <f t="shared" si="12"/>
        <v>160</v>
      </c>
      <c r="Y467" s="22"/>
      <c r="Z467" s="22"/>
      <c r="AB467" s="92">
        <v>8110</v>
      </c>
      <c r="AC467" s="92">
        <v>80</v>
      </c>
      <c r="AD467" s="92">
        <v>80</v>
      </c>
      <c r="AE467" s="27"/>
      <c r="AF467" s="27"/>
      <c r="AG467" s="28"/>
      <c r="AH467" s="28"/>
      <c r="AK467" s="34">
        <v>0</v>
      </c>
      <c r="AM467" s="17" t="s">
        <v>528</v>
      </c>
    </row>
    <row r="468" spans="1:39" ht="12.75" customHeight="1">
      <c r="A468" s="87" t="s">
        <v>2399</v>
      </c>
      <c r="B468" s="33" t="s">
        <v>481</v>
      </c>
      <c r="C468" s="27">
        <v>47</v>
      </c>
      <c r="D468" s="33" t="s">
        <v>196</v>
      </c>
      <c r="E468" s="33">
        <v>0</v>
      </c>
      <c r="F468" s="33" t="s">
        <v>482</v>
      </c>
      <c r="G468" s="33" t="s">
        <v>483</v>
      </c>
      <c r="H468" s="33" t="s">
        <v>390</v>
      </c>
      <c r="I468" s="17" t="b">
        <v>1</v>
      </c>
      <c r="J468" s="17" t="s">
        <v>247</v>
      </c>
      <c r="K468" s="17" t="s">
        <v>519</v>
      </c>
      <c r="L468" s="88" t="s">
        <v>520</v>
      </c>
      <c r="M468" s="155"/>
      <c r="O468" s="17" t="s">
        <v>484</v>
      </c>
      <c r="P468" s="89">
        <v>-79.886309999999995</v>
      </c>
      <c r="Q468" s="89">
        <v>156.81294</v>
      </c>
      <c r="R468" s="22"/>
      <c r="S468" s="90">
        <v>1068</v>
      </c>
      <c r="T468" s="17">
        <v>860</v>
      </c>
      <c r="U468" s="23">
        <v>500</v>
      </c>
      <c r="V468" s="23" t="s">
        <v>2001</v>
      </c>
      <c r="W468" s="44" t="s">
        <v>2428</v>
      </c>
      <c r="X468" s="91">
        <f t="shared" si="12"/>
        <v>208</v>
      </c>
      <c r="Y468" s="22"/>
      <c r="Z468" s="22"/>
      <c r="AB468" s="92">
        <v>8250</v>
      </c>
      <c r="AC468" s="92">
        <v>230</v>
      </c>
      <c r="AD468" s="92">
        <v>230</v>
      </c>
      <c r="AE468" s="27"/>
      <c r="AF468" s="27"/>
      <c r="AG468" s="28"/>
      <c r="AH468" s="28"/>
      <c r="AK468" s="34">
        <v>0</v>
      </c>
      <c r="AM468" s="17" t="s">
        <v>522</v>
      </c>
    </row>
    <row r="469" spans="1:39" ht="12.75" customHeight="1">
      <c r="A469" s="42" t="s">
        <v>529</v>
      </c>
      <c r="B469" s="33" t="s">
        <v>530</v>
      </c>
      <c r="C469" s="27">
        <v>48</v>
      </c>
      <c r="D469" s="77" t="s">
        <v>196</v>
      </c>
      <c r="E469" s="33">
        <v>0</v>
      </c>
      <c r="F469" s="33" t="s">
        <v>531</v>
      </c>
      <c r="G469" s="33" t="s">
        <v>532</v>
      </c>
      <c r="H469" s="33" t="s">
        <v>390</v>
      </c>
      <c r="I469" s="17" t="b">
        <v>1</v>
      </c>
      <c r="J469" s="17" t="s">
        <v>43</v>
      </c>
      <c r="K469" s="21" t="str">
        <f t="shared" ref="K469:K589" si="14">CONCATENATE("https://version2.ice-d.org/antarctica/sample/", A469, "/")</f>
        <v>https://version2.ice-d.org/antarctica/sample/RJ2020-BP-16-06/</v>
      </c>
      <c r="L469" s="42" t="s">
        <v>39</v>
      </c>
      <c r="M469" s="42" t="s">
        <v>44</v>
      </c>
      <c r="O469" s="17" t="s">
        <v>533</v>
      </c>
      <c r="P469" s="22">
        <v>-76.146860000000004</v>
      </c>
      <c r="Q469" s="22">
        <v>162.40223</v>
      </c>
      <c r="R469" s="22">
        <v>2</v>
      </c>
      <c r="S469" s="22">
        <v>79</v>
      </c>
      <c r="T469" s="17">
        <v>30</v>
      </c>
      <c r="U469" s="23">
        <v>260</v>
      </c>
      <c r="V469" s="23" t="s">
        <v>2307</v>
      </c>
      <c r="W469" s="44" t="s">
        <v>2454</v>
      </c>
      <c r="X469" s="22">
        <f t="shared" si="12"/>
        <v>49</v>
      </c>
      <c r="Y469" s="22">
        <v>3</v>
      </c>
      <c r="Z469" s="22">
        <v>2.65</v>
      </c>
      <c r="AA469" s="17" t="s">
        <v>51</v>
      </c>
      <c r="AB469" s="26">
        <v>7939</v>
      </c>
      <c r="AC469" s="26">
        <v>888</v>
      </c>
      <c r="AD469" s="26">
        <v>1005</v>
      </c>
      <c r="AE469" s="27">
        <v>45759</v>
      </c>
      <c r="AF469" s="27">
        <v>5111</v>
      </c>
      <c r="AG469" s="28"/>
      <c r="AH469" s="28"/>
      <c r="AI469" s="17">
        <v>2019</v>
      </c>
      <c r="AJ469" s="17">
        <v>0</v>
      </c>
      <c r="AK469" s="34">
        <v>1</v>
      </c>
      <c r="AL469" s="17" t="s">
        <v>534</v>
      </c>
    </row>
    <row r="470" spans="1:39" ht="12.75" customHeight="1">
      <c r="A470" s="42" t="s">
        <v>535</v>
      </c>
      <c r="B470" s="33" t="s">
        <v>530</v>
      </c>
      <c r="C470" s="27">
        <v>48</v>
      </c>
      <c r="D470" s="77" t="s">
        <v>196</v>
      </c>
      <c r="E470" s="33">
        <v>0</v>
      </c>
      <c r="F470" s="33" t="s">
        <v>531</v>
      </c>
      <c r="G470" s="33" t="s">
        <v>532</v>
      </c>
      <c r="H470" s="33" t="s">
        <v>390</v>
      </c>
      <c r="I470" s="17" t="b">
        <v>1</v>
      </c>
      <c r="J470" s="17" t="s">
        <v>43</v>
      </c>
      <c r="K470" s="21" t="str">
        <f t="shared" si="14"/>
        <v>https://version2.ice-d.org/antarctica/sample/RJ2020-BP-16-25/</v>
      </c>
      <c r="L470" s="42" t="s">
        <v>39</v>
      </c>
      <c r="M470" s="42"/>
      <c r="O470" s="17" t="s">
        <v>533</v>
      </c>
      <c r="P470" s="22">
        <v>-76.145139999999998</v>
      </c>
      <c r="Q470" s="22">
        <v>162.40673000000001</v>
      </c>
      <c r="R470" s="22">
        <v>2</v>
      </c>
      <c r="S470" s="22">
        <v>150</v>
      </c>
      <c r="T470" s="17">
        <v>30</v>
      </c>
      <c r="U470" s="23">
        <v>260</v>
      </c>
      <c r="V470" s="23" t="s">
        <v>2307</v>
      </c>
      <c r="W470" s="44" t="s">
        <v>2454</v>
      </c>
      <c r="X470" s="22">
        <f t="shared" si="12"/>
        <v>120</v>
      </c>
      <c r="Y470" s="22">
        <v>6.6</v>
      </c>
      <c r="Z470" s="22">
        <v>2.65</v>
      </c>
      <c r="AA470" s="17" t="s">
        <v>73</v>
      </c>
      <c r="AB470" s="26">
        <v>8646</v>
      </c>
      <c r="AC470" s="26">
        <v>1249</v>
      </c>
      <c r="AD470" s="26">
        <v>1349</v>
      </c>
      <c r="AE470" s="27">
        <v>51600</v>
      </c>
      <c r="AF470" s="27">
        <v>7437</v>
      </c>
      <c r="AG470" s="28"/>
      <c r="AH470" s="28"/>
      <c r="AI470" s="17">
        <v>2019</v>
      </c>
      <c r="AJ470" s="17">
        <v>0</v>
      </c>
      <c r="AK470" s="34">
        <v>1</v>
      </c>
      <c r="AL470" s="17" t="s">
        <v>534</v>
      </c>
    </row>
    <row r="471" spans="1:39" ht="12.75" customHeight="1">
      <c r="A471" s="42" t="s">
        <v>536</v>
      </c>
      <c r="B471" s="33" t="s">
        <v>530</v>
      </c>
      <c r="C471" s="27">
        <v>48</v>
      </c>
      <c r="D471" s="77" t="s">
        <v>196</v>
      </c>
      <c r="E471" s="33">
        <v>0</v>
      </c>
      <c r="F471" s="33" t="s">
        <v>531</v>
      </c>
      <c r="G471" s="33" t="s">
        <v>532</v>
      </c>
      <c r="H471" s="33" t="s">
        <v>390</v>
      </c>
      <c r="I471" s="17" t="b">
        <v>1</v>
      </c>
      <c r="J471" s="17" t="s">
        <v>43</v>
      </c>
      <c r="K471" s="21" t="str">
        <f t="shared" si="14"/>
        <v>https://version2.ice-d.org/antarctica/sample/RJ2020-BP-16-01/</v>
      </c>
      <c r="L471" s="42" t="s">
        <v>39</v>
      </c>
      <c r="M471" s="42"/>
      <c r="O471" s="17" t="s">
        <v>533</v>
      </c>
      <c r="P471" s="22">
        <v>-76.147480000000002</v>
      </c>
      <c r="Q471" s="22">
        <v>162.40233000000001</v>
      </c>
      <c r="R471" s="22">
        <v>2</v>
      </c>
      <c r="S471" s="22">
        <v>42</v>
      </c>
      <c r="T471" s="17">
        <v>30</v>
      </c>
      <c r="U471" s="23">
        <v>260</v>
      </c>
      <c r="V471" s="23" t="s">
        <v>2307</v>
      </c>
      <c r="W471" s="44" t="s">
        <v>2454</v>
      </c>
      <c r="X471" s="22">
        <f t="shared" si="12"/>
        <v>12</v>
      </c>
      <c r="Y471" s="22">
        <v>6.7</v>
      </c>
      <c r="Z471" s="22">
        <v>2.65</v>
      </c>
      <c r="AA471" s="17" t="s">
        <v>73</v>
      </c>
      <c r="AB471" s="26">
        <v>5061</v>
      </c>
      <c r="AC471" s="26">
        <v>530</v>
      </c>
      <c r="AD471" s="26">
        <v>609</v>
      </c>
      <c r="AE471" s="27">
        <v>27036</v>
      </c>
      <c r="AF471" s="27">
        <v>2829</v>
      </c>
      <c r="AG471" s="28"/>
      <c r="AH471" s="28"/>
      <c r="AI471" s="17">
        <v>2019</v>
      </c>
      <c r="AJ471" s="17">
        <v>0</v>
      </c>
      <c r="AK471" s="34">
        <v>0</v>
      </c>
    </row>
    <row r="472" spans="1:39" ht="12.75" customHeight="1">
      <c r="A472" s="42" t="s">
        <v>537</v>
      </c>
      <c r="B472" s="33" t="s">
        <v>530</v>
      </c>
      <c r="C472" s="27">
        <v>48</v>
      </c>
      <c r="D472" s="77" t="s">
        <v>196</v>
      </c>
      <c r="E472" s="33">
        <v>0</v>
      </c>
      <c r="F472" s="33" t="s">
        <v>531</v>
      </c>
      <c r="G472" s="33" t="s">
        <v>532</v>
      </c>
      <c r="H472" s="33" t="s">
        <v>390</v>
      </c>
      <c r="I472" s="17" t="b">
        <v>1</v>
      </c>
      <c r="J472" s="17" t="s">
        <v>43</v>
      </c>
      <c r="K472" s="21" t="str">
        <f t="shared" si="14"/>
        <v>https://version2.ice-d.org/antarctica/sample/RJ2020-BP-16-02/</v>
      </c>
      <c r="L472" s="42" t="s">
        <v>39</v>
      </c>
      <c r="M472" s="42"/>
      <c r="O472" s="17" t="s">
        <v>533</v>
      </c>
      <c r="P472" s="22">
        <v>-76.147419999999997</v>
      </c>
      <c r="Q472" s="22">
        <v>162.40081000000001</v>
      </c>
      <c r="R472" s="22">
        <v>2</v>
      </c>
      <c r="S472" s="22">
        <v>48</v>
      </c>
      <c r="T472" s="17">
        <v>30</v>
      </c>
      <c r="U472" s="23">
        <v>260</v>
      </c>
      <c r="V472" s="23" t="s">
        <v>2307</v>
      </c>
      <c r="W472" s="44" t="s">
        <v>2454</v>
      </c>
      <c r="X472" s="22">
        <f t="shared" si="12"/>
        <v>18</v>
      </c>
      <c r="Y472" s="22">
        <v>4.3</v>
      </c>
      <c r="Z472" s="22">
        <v>2.65</v>
      </c>
      <c r="AA472" s="17" t="s">
        <v>73</v>
      </c>
      <c r="AB472" s="26">
        <v>4770</v>
      </c>
      <c r="AC472" s="26">
        <v>759</v>
      </c>
      <c r="AD472" s="26">
        <v>809</v>
      </c>
      <c r="AE472" s="27">
        <v>26076</v>
      </c>
      <c r="AF472" s="27">
        <v>4142</v>
      </c>
      <c r="AG472" s="28"/>
      <c r="AH472" s="28"/>
      <c r="AI472" s="17">
        <v>2019</v>
      </c>
      <c r="AJ472" s="17">
        <v>0</v>
      </c>
      <c r="AK472" s="34">
        <v>0</v>
      </c>
    </row>
    <row r="473" spans="1:39" ht="12.75" customHeight="1">
      <c r="A473" s="42" t="s">
        <v>538</v>
      </c>
      <c r="B473" s="33" t="s">
        <v>530</v>
      </c>
      <c r="C473" s="27">
        <v>48</v>
      </c>
      <c r="D473" s="77" t="s">
        <v>196</v>
      </c>
      <c r="E473" s="33">
        <v>0</v>
      </c>
      <c r="F473" s="33" t="s">
        <v>531</v>
      </c>
      <c r="G473" s="33" t="s">
        <v>532</v>
      </c>
      <c r="H473" s="33" t="s">
        <v>390</v>
      </c>
      <c r="I473" s="17" t="b">
        <v>1</v>
      </c>
      <c r="J473" s="17" t="s">
        <v>43</v>
      </c>
      <c r="K473" s="21" t="str">
        <f t="shared" si="14"/>
        <v>https://version2.ice-d.org/antarctica/sample/RJ2020-BP-16-03/</v>
      </c>
      <c r="L473" s="42" t="s">
        <v>39</v>
      </c>
      <c r="M473" s="42"/>
      <c r="O473" s="17" t="s">
        <v>533</v>
      </c>
      <c r="P473" s="22">
        <v>-76.147120000000001</v>
      </c>
      <c r="Q473" s="22">
        <v>162.40212</v>
      </c>
      <c r="R473" s="22">
        <v>2</v>
      </c>
      <c r="S473" s="22">
        <v>63</v>
      </c>
      <c r="T473" s="17">
        <v>30</v>
      </c>
      <c r="U473" s="23">
        <v>260</v>
      </c>
      <c r="V473" s="23" t="s">
        <v>2307</v>
      </c>
      <c r="W473" s="44" t="s">
        <v>2454</v>
      </c>
      <c r="X473" s="22">
        <f t="shared" si="12"/>
        <v>33</v>
      </c>
      <c r="Y473" s="22">
        <v>4.3</v>
      </c>
      <c r="Z473" s="22">
        <v>2.65</v>
      </c>
      <c r="AA473" s="17" t="s">
        <v>73</v>
      </c>
      <c r="AB473" s="26">
        <v>6341</v>
      </c>
      <c r="AC473" s="26">
        <v>482</v>
      </c>
      <c r="AD473" s="26">
        <v>610</v>
      </c>
      <c r="AE473" s="27">
        <v>33754</v>
      </c>
      <c r="AF473" s="27">
        <v>2559</v>
      </c>
      <c r="AG473" s="28"/>
      <c r="AH473" s="28"/>
      <c r="AI473" s="17">
        <v>2019</v>
      </c>
      <c r="AJ473" s="17">
        <v>0</v>
      </c>
      <c r="AK473" s="34">
        <v>0</v>
      </c>
    </row>
    <row r="474" spans="1:39" ht="12.75" customHeight="1">
      <c r="A474" s="42" t="s">
        <v>539</v>
      </c>
      <c r="B474" s="33" t="s">
        <v>530</v>
      </c>
      <c r="C474" s="27">
        <v>48</v>
      </c>
      <c r="D474" s="77" t="s">
        <v>196</v>
      </c>
      <c r="E474" s="33">
        <v>0</v>
      </c>
      <c r="F474" s="33" t="s">
        <v>531</v>
      </c>
      <c r="G474" s="33" t="s">
        <v>532</v>
      </c>
      <c r="H474" s="33" t="s">
        <v>390</v>
      </c>
      <c r="I474" s="17" t="b">
        <v>1</v>
      </c>
      <c r="J474" s="17" t="s">
        <v>43</v>
      </c>
      <c r="K474" s="21" t="str">
        <f t="shared" si="14"/>
        <v>https://version2.ice-d.org/antarctica/sample/RJ2020-BP-16-04/</v>
      </c>
      <c r="L474" s="42" t="s">
        <v>39</v>
      </c>
      <c r="M474" s="42"/>
      <c r="O474" s="17" t="s">
        <v>533</v>
      </c>
      <c r="P474" s="22">
        <v>-76.147189999999995</v>
      </c>
      <c r="Q474" s="22">
        <v>162.40196</v>
      </c>
      <c r="R474" s="22">
        <v>2</v>
      </c>
      <c r="S474" s="22">
        <v>60</v>
      </c>
      <c r="T474" s="17">
        <v>30</v>
      </c>
      <c r="U474" s="23">
        <v>260</v>
      </c>
      <c r="V474" s="23" t="s">
        <v>2307</v>
      </c>
      <c r="W474" s="44" t="s">
        <v>2454</v>
      </c>
      <c r="X474" s="22">
        <f t="shared" si="12"/>
        <v>30</v>
      </c>
      <c r="Y474" s="22">
        <v>4</v>
      </c>
      <c r="Z474" s="22">
        <v>2.65</v>
      </c>
      <c r="AA474" s="17" t="s">
        <v>73</v>
      </c>
      <c r="AB474" s="26">
        <v>6273</v>
      </c>
      <c r="AC474" s="26">
        <v>777</v>
      </c>
      <c r="AD474" s="26">
        <v>861</v>
      </c>
      <c r="AE474" s="27">
        <v>34801</v>
      </c>
      <c r="AF474" s="27">
        <v>4304</v>
      </c>
      <c r="AG474" s="28"/>
      <c r="AH474" s="28"/>
      <c r="AI474" s="17">
        <v>2019</v>
      </c>
      <c r="AJ474" s="17">
        <v>0</v>
      </c>
      <c r="AK474" s="34">
        <v>0</v>
      </c>
    </row>
    <row r="475" spans="1:39" ht="12.75" customHeight="1">
      <c r="A475" s="42" t="s">
        <v>540</v>
      </c>
      <c r="B475" s="33" t="s">
        <v>530</v>
      </c>
      <c r="C475" s="27">
        <v>48</v>
      </c>
      <c r="D475" s="77" t="s">
        <v>196</v>
      </c>
      <c r="E475" s="33">
        <v>0</v>
      </c>
      <c r="F475" s="33" t="s">
        <v>531</v>
      </c>
      <c r="G475" s="33" t="s">
        <v>532</v>
      </c>
      <c r="H475" s="33" t="s">
        <v>390</v>
      </c>
      <c r="I475" s="17" t="b">
        <v>1</v>
      </c>
      <c r="J475" s="17" t="s">
        <v>43</v>
      </c>
      <c r="K475" s="21" t="str">
        <f t="shared" si="14"/>
        <v>https://version2.ice-d.org/antarctica/sample/RJ2020-BP-16-05/</v>
      </c>
      <c r="L475" s="42" t="s">
        <v>39</v>
      </c>
      <c r="M475" s="42"/>
      <c r="O475" s="17" t="s">
        <v>533</v>
      </c>
      <c r="P475" s="22">
        <v>-76.146879999999996</v>
      </c>
      <c r="Q475" s="22">
        <v>162.40138999999999</v>
      </c>
      <c r="R475" s="22">
        <v>2</v>
      </c>
      <c r="S475" s="22">
        <v>80</v>
      </c>
      <c r="T475" s="17">
        <v>30</v>
      </c>
      <c r="U475" s="23">
        <v>260</v>
      </c>
      <c r="V475" s="23" t="s">
        <v>2307</v>
      </c>
      <c r="W475" s="44" t="s">
        <v>2454</v>
      </c>
      <c r="X475" s="22">
        <f t="shared" si="12"/>
        <v>50</v>
      </c>
      <c r="Y475" s="22">
        <v>4.8</v>
      </c>
      <c r="Z475" s="22">
        <v>2.65</v>
      </c>
      <c r="AA475" s="17" t="s">
        <v>73</v>
      </c>
      <c r="AB475" s="26">
        <v>6366</v>
      </c>
      <c r="AC475" s="26">
        <v>933</v>
      </c>
      <c r="AD475" s="26">
        <v>1006</v>
      </c>
      <c r="AE475" s="27">
        <v>36175</v>
      </c>
      <c r="AF475" s="27">
        <v>5294</v>
      </c>
      <c r="AG475" s="28"/>
      <c r="AH475" s="28"/>
      <c r="AI475" s="17">
        <v>2019</v>
      </c>
      <c r="AJ475" s="17">
        <v>0</v>
      </c>
      <c r="AK475" s="34">
        <v>0</v>
      </c>
    </row>
    <row r="476" spans="1:39" ht="12.75" customHeight="1">
      <c r="A476" s="42" t="s">
        <v>541</v>
      </c>
      <c r="B476" s="33" t="s">
        <v>530</v>
      </c>
      <c r="C476" s="27">
        <v>48</v>
      </c>
      <c r="D476" s="77" t="s">
        <v>196</v>
      </c>
      <c r="E476" s="33">
        <v>0</v>
      </c>
      <c r="F476" s="33" t="s">
        <v>531</v>
      </c>
      <c r="G476" s="33" t="s">
        <v>532</v>
      </c>
      <c r="H476" s="33" t="s">
        <v>390</v>
      </c>
      <c r="I476" s="17" t="b">
        <v>1</v>
      </c>
      <c r="J476" s="17" t="s">
        <v>43</v>
      </c>
      <c r="K476" s="21" t="str">
        <f t="shared" si="14"/>
        <v>https://version2.ice-d.org/antarctica/sample/RJ2020-BP-16-07/</v>
      </c>
      <c r="L476" s="42" t="s">
        <v>39</v>
      </c>
      <c r="M476" s="42"/>
      <c r="O476" s="17" t="s">
        <v>533</v>
      </c>
      <c r="P476" s="22">
        <v>-76.146100000000004</v>
      </c>
      <c r="Q476" s="22">
        <v>162.40422000000001</v>
      </c>
      <c r="R476" s="22">
        <v>2</v>
      </c>
      <c r="S476" s="22">
        <v>101</v>
      </c>
      <c r="T476" s="17">
        <v>30</v>
      </c>
      <c r="U476" s="23">
        <v>260</v>
      </c>
      <c r="V476" s="23" t="s">
        <v>2307</v>
      </c>
      <c r="W476" s="44" t="s">
        <v>2454</v>
      </c>
      <c r="X476" s="22">
        <f t="shared" si="12"/>
        <v>71</v>
      </c>
      <c r="Y476" s="22">
        <v>5.6</v>
      </c>
      <c r="Z476" s="22">
        <v>2.65</v>
      </c>
      <c r="AA476" s="17" t="s">
        <v>73</v>
      </c>
      <c r="AB476" s="26">
        <v>7022</v>
      </c>
      <c r="AC476" s="26">
        <v>519</v>
      </c>
      <c r="AD476" s="26">
        <v>665</v>
      </c>
      <c r="AE476" s="27">
        <v>39292</v>
      </c>
      <c r="AF476" s="27">
        <v>2900</v>
      </c>
      <c r="AG476" s="28"/>
      <c r="AH476" s="28"/>
      <c r="AI476" s="17">
        <v>2019</v>
      </c>
      <c r="AJ476" s="17">
        <v>0</v>
      </c>
      <c r="AK476" s="34">
        <v>0</v>
      </c>
    </row>
    <row r="477" spans="1:39" ht="12.75" customHeight="1">
      <c r="A477" s="42" t="s">
        <v>542</v>
      </c>
      <c r="B477" s="33" t="s">
        <v>530</v>
      </c>
      <c r="C477" s="27">
        <v>48</v>
      </c>
      <c r="D477" s="77" t="s">
        <v>196</v>
      </c>
      <c r="E477" s="33">
        <v>0</v>
      </c>
      <c r="F477" s="33" t="s">
        <v>531</v>
      </c>
      <c r="G477" s="33" t="s">
        <v>532</v>
      </c>
      <c r="H477" s="33" t="s">
        <v>390</v>
      </c>
      <c r="I477" s="17" t="b">
        <v>1</v>
      </c>
      <c r="J477" s="17" t="s">
        <v>43</v>
      </c>
      <c r="K477" s="21" t="str">
        <f t="shared" si="14"/>
        <v>https://version2.ice-d.org/antarctica/sample/RJ2020-BP-16-08/</v>
      </c>
      <c r="L477" s="42" t="s">
        <v>39</v>
      </c>
      <c r="M477" s="42"/>
      <c r="O477" s="17" t="s">
        <v>533</v>
      </c>
      <c r="P477" s="22">
        <v>-76.145840000000007</v>
      </c>
      <c r="Q477" s="22">
        <v>162.40477999999999</v>
      </c>
      <c r="R477" s="22">
        <v>2</v>
      </c>
      <c r="S477" s="22">
        <v>119</v>
      </c>
      <c r="T477" s="17">
        <v>30</v>
      </c>
      <c r="U477" s="23">
        <v>260</v>
      </c>
      <c r="V477" s="23" t="s">
        <v>2307</v>
      </c>
      <c r="W477" s="44" t="s">
        <v>2454</v>
      </c>
      <c r="X477" s="22">
        <f t="shared" si="12"/>
        <v>89</v>
      </c>
      <c r="Y477" s="22">
        <v>4.5</v>
      </c>
      <c r="Z477" s="22">
        <v>2.65</v>
      </c>
      <c r="AA477" s="17" t="s">
        <v>73</v>
      </c>
      <c r="AB477" s="26">
        <v>6133</v>
      </c>
      <c r="AC477" s="26">
        <v>619</v>
      </c>
      <c r="AD477" s="26">
        <v>717</v>
      </c>
      <c r="AE477" s="27">
        <v>35744</v>
      </c>
      <c r="AF477" s="27">
        <v>3599</v>
      </c>
      <c r="AG477" s="28"/>
      <c r="AH477" s="28"/>
      <c r="AI477" s="17">
        <v>2019</v>
      </c>
      <c r="AJ477" s="17">
        <v>0</v>
      </c>
      <c r="AK477" s="34">
        <v>0</v>
      </c>
    </row>
    <row r="478" spans="1:39" ht="12.75" customHeight="1">
      <c r="A478" s="42" t="s">
        <v>543</v>
      </c>
      <c r="B478" s="33" t="s">
        <v>530</v>
      </c>
      <c r="C478" s="27">
        <v>48</v>
      </c>
      <c r="D478" s="77" t="s">
        <v>196</v>
      </c>
      <c r="E478" s="33">
        <v>0</v>
      </c>
      <c r="F478" s="33" t="s">
        <v>531</v>
      </c>
      <c r="G478" s="33" t="s">
        <v>532</v>
      </c>
      <c r="H478" s="33" t="s">
        <v>390</v>
      </c>
      <c r="I478" s="17" t="b">
        <v>1</v>
      </c>
      <c r="J478" s="17" t="s">
        <v>43</v>
      </c>
      <c r="K478" s="21" t="str">
        <f t="shared" si="14"/>
        <v>https://version2.ice-d.org/antarctica/sample/RJ2020-BP-16-09/</v>
      </c>
      <c r="L478" s="42" t="s">
        <v>39</v>
      </c>
      <c r="M478" s="42"/>
      <c r="O478" s="17" t="s">
        <v>533</v>
      </c>
      <c r="P478" s="22">
        <v>-76.145679999999999</v>
      </c>
      <c r="Q478" s="22">
        <v>162.40541999999999</v>
      </c>
      <c r="R478" s="22">
        <v>2</v>
      </c>
      <c r="S478" s="22">
        <v>123</v>
      </c>
      <c r="T478" s="17">
        <v>30</v>
      </c>
      <c r="U478" s="23">
        <v>260</v>
      </c>
      <c r="V478" s="23" t="s">
        <v>2307</v>
      </c>
      <c r="W478" s="44" t="s">
        <v>2454</v>
      </c>
      <c r="X478" s="22">
        <f t="shared" si="12"/>
        <v>93</v>
      </c>
      <c r="Y478" s="22">
        <v>4</v>
      </c>
      <c r="Z478" s="22">
        <v>2.65</v>
      </c>
      <c r="AA478" s="17" t="s">
        <v>73</v>
      </c>
      <c r="AB478" s="26">
        <v>14055</v>
      </c>
      <c r="AC478" s="26">
        <v>1044</v>
      </c>
      <c r="AD478" s="26">
        <v>1335</v>
      </c>
      <c r="AE478" s="27">
        <v>82573</v>
      </c>
      <c r="AF478" s="27">
        <v>6114</v>
      </c>
      <c r="AG478" s="28"/>
      <c r="AH478" s="28"/>
      <c r="AI478" s="17">
        <v>2019</v>
      </c>
      <c r="AJ478" s="17">
        <v>0</v>
      </c>
      <c r="AK478" s="34">
        <v>1</v>
      </c>
      <c r="AL478" s="17" t="s">
        <v>534</v>
      </c>
    </row>
    <row r="479" spans="1:39" ht="12.75" customHeight="1">
      <c r="A479" s="42" t="s">
        <v>544</v>
      </c>
      <c r="B479" s="33" t="s">
        <v>530</v>
      </c>
      <c r="C479" s="27">
        <v>48</v>
      </c>
      <c r="D479" s="77" t="s">
        <v>196</v>
      </c>
      <c r="E479" s="33">
        <v>0</v>
      </c>
      <c r="F479" s="33" t="s">
        <v>531</v>
      </c>
      <c r="G479" s="33" t="s">
        <v>532</v>
      </c>
      <c r="H479" s="33" t="s">
        <v>390</v>
      </c>
      <c r="I479" s="17" t="b">
        <v>1</v>
      </c>
      <c r="J479" s="17" t="s">
        <v>43</v>
      </c>
      <c r="K479" s="21" t="str">
        <f t="shared" si="14"/>
        <v>https://version2.ice-d.org/antarctica/sample/RJ2020-BP-16-10/</v>
      </c>
      <c r="L479" s="42" t="s">
        <v>39</v>
      </c>
      <c r="M479" s="42"/>
      <c r="O479" s="17" t="s">
        <v>533</v>
      </c>
      <c r="P479" s="22">
        <v>-76.145399999999995</v>
      </c>
      <c r="Q479" s="22">
        <v>162.40544</v>
      </c>
      <c r="R479" s="22">
        <v>2</v>
      </c>
      <c r="S479" s="22">
        <v>140</v>
      </c>
      <c r="T479" s="17">
        <v>30</v>
      </c>
      <c r="U479" s="23">
        <v>260</v>
      </c>
      <c r="V479" s="23" t="s">
        <v>2307</v>
      </c>
      <c r="W479" s="44" t="s">
        <v>2454</v>
      </c>
      <c r="X479" s="22">
        <f t="shared" si="12"/>
        <v>110</v>
      </c>
      <c r="Y479" s="22">
        <v>3.9</v>
      </c>
      <c r="Z479" s="22">
        <v>2.65</v>
      </c>
      <c r="AA479" s="17" t="s">
        <v>51</v>
      </c>
      <c r="AB479" s="26">
        <v>5549</v>
      </c>
      <c r="AC479" s="26">
        <v>431</v>
      </c>
      <c r="AD479" s="26">
        <v>542</v>
      </c>
      <c r="AE479" s="27">
        <v>33268</v>
      </c>
      <c r="AF479" s="27">
        <v>2582</v>
      </c>
      <c r="AG479" s="28"/>
      <c r="AH479" s="28"/>
      <c r="AI479" s="17">
        <v>2019</v>
      </c>
      <c r="AJ479" s="17">
        <v>0</v>
      </c>
      <c r="AK479" s="34">
        <v>0</v>
      </c>
    </row>
    <row r="480" spans="1:39" ht="12.75" customHeight="1">
      <c r="A480" s="42" t="s">
        <v>545</v>
      </c>
      <c r="B480" s="33" t="s">
        <v>530</v>
      </c>
      <c r="C480" s="27">
        <v>48</v>
      </c>
      <c r="D480" s="77" t="s">
        <v>196</v>
      </c>
      <c r="E480" s="33">
        <v>0</v>
      </c>
      <c r="F480" s="33" t="s">
        <v>531</v>
      </c>
      <c r="G480" s="33" t="s">
        <v>532</v>
      </c>
      <c r="H480" s="33" t="s">
        <v>390</v>
      </c>
      <c r="I480" s="17" t="b">
        <v>1</v>
      </c>
      <c r="J480" s="17" t="s">
        <v>43</v>
      </c>
      <c r="K480" s="21" t="str">
        <f t="shared" si="14"/>
        <v>https://version2.ice-d.org/antarctica/sample/RJ2020-BP-16-11/</v>
      </c>
      <c r="L480" s="42" t="s">
        <v>39</v>
      </c>
      <c r="M480" s="42"/>
      <c r="O480" s="17" t="s">
        <v>533</v>
      </c>
      <c r="P480" s="22">
        <v>-76.142399999999995</v>
      </c>
      <c r="Q480" s="22">
        <v>162.39751000000001</v>
      </c>
      <c r="R480" s="22">
        <v>2</v>
      </c>
      <c r="S480" s="22">
        <v>268</v>
      </c>
      <c r="T480" s="17">
        <v>30</v>
      </c>
      <c r="U480" s="23">
        <v>260</v>
      </c>
      <c r="V480" s="23" t="s">
        <v>2307</v>
      </c>
      <c r="W480" s="44" t="s">
        <v>2454</v>
      </c>
      <c r="X480" s="22">
        <f t="shared" si="12"/>
        <v>238</v>
      </c>
      <c r="Y480" s="22">
        <v>3.8</v>
      </c>
      <c r="Z480" s="22">
        <v>2.65</v>
      </c>
      <c r="AA480" s="17" t="s">
        <v>73</v>
      </c>
      <c r="AB480" s="26">
        <v>7641</v>
      </c>
      <c r="AC480" s="26">
        <v>703</v>
      </c>
      <c r="AD480" s="26">
        <v>835</v>
      </c>
      <c r="AE480" s="27">
        <v>53626</v>
      </c>
      <c r="AF480" s="27">
        <v>4922</v>
      </c>
      <c r="AG480" s="28"/>
      <c r="AH480" s="28"/>
      <c r="AI480" s="17">
        <v>2019</v>
      </c>
      <c r="AJ480" s="17">
        <v>0</v>
      </c>
      <c r="AK480" s="34">
        <v>0</v>
      </c>
    </row>
    <row r="481" spans="1:38" ht="12.75" customHeight="1">
      <c r="A481" s="42" t="s">
        <v>546</v>
      </c>
      <c r="B481" s="33" t="s">
        <v>530</v>
      </c>
      <c r="C481" s="27">
        <v>48</v>
      </c>
      <c r="D481" s="77" t="s">
        <v>196</v>
      </c>
      <c r="E481" s="33">
        <v>0</v>
      </c>
      <c r="F481" s="33" t="s">
        <v>531</v>
      </c>
      <c r="G481" s="33" t="s">
        <v>532</v>
      </c>
      <c r="H481" s="33" t="s">
        <v>390</v>
      </c>
      <c r="I481" s="17" t="b">
        <v>1</v>
      </c>
      <c r="J481" s="17" t="s">
        <v>43</v>
      </c>
      <c r="K481" s="21" t="str">
        <f t="shared" si="14"/>
        <v>https://version2.ice-d.org/antarctica/sample/RJ2020-BP-16-12/</v>
      </c>
      <c r="L481" s="42" t="s">
        <v>39</v>
      </c>
      <c r="M481" s="42"/>
      <c r="O481" s="17" t="s">
        <v>533</v>
      </c>
      <c r="P481" s="22">
        <v>-76.142489999999995</v>
      </c>
      <c r="Q481" s="22">
        <v>162.39778000000001</v>
      </c>
      <c r="R481" s="22">
        <v>2</v>
      </c>
      <c r="S481" s="22">
        <v>266</v>
      </c>
      <c r="T481" s="17">
        <v>30</v>
      </c>
      <c r="U481" s="23">
        <v>260</v>
      </c>
      <c r="V481" s="23" t="s">
        <v>2307</v>
      </c>
      <c r="W481" s="44" t="s">
        <v>2454</v>
      </c>
      <c r="X481" s="22">
        <f t="shared" si="12"/>
        <v>236</v>
      </c>
      <c r="Y481" s="22">
        <v>4</v>
      </c>
      <c r="Z481" s="22">
        <v>2.65</v>
      </c>
      <c r="AA481" s="17" t="s">
        <v>73</v>
      </c>
      <c r="AB481" s="26">
        <v>6050</v>
      </c>
      <c r="AC481" s="26">
        <v>411</v>
      </c>
      <c r="AD481" s="26">
        <v>544</v>
      </c>
      <c r="AE481" s="27">
        <v>42021</v>
      </c>
      <c r="AF481" s="27">
        <v>2847</v>
      </c>
      <c r="AG481" s="28"/>
      <c r="AH481" s="28"/>
      <c r="AI481" s="17">
        <v>2019</v>
      </c>
      <c r="AJ481" s="17">
        <v>0</v>
      </c>
      <c r="AK481" s="34">
        <v>0</v>
      </c>
    </row>
    <row r="482" spans="1:38" ht="12.75" customHeight="1">
      <c r="A482" s="42" t="s">
        <v>547</v>
      </c>
      <c r="B482" s="33" t="s">
        <v>530</v>
      </c>
      <c r="C482" s="27">
        <v>48</v>
      </c>
      <c r="D482" s="77" t="s">
        <v>196</v>
      </c>
      <c r="E482" s="33">
        <v>0</v>
      </c>
      <c r="F482" s="33" t="s">
        <v>531</v>
      </c>
      <c r="G482" s="33" t="s">
        <v>532</v>
      </c>
      <c r="H482" s="33" t="s">
        <v>390</v>
      </c>
      <c r="I482" s="17" t="b">
        <v>1</v>
      </c>
      <c r="J482" s="17" t="s">
        <v>43</v>
      </c>
      <c r="K482" s="21" t="str">
        <f t="shared" si="14"/>
        <v>https://version2.ice-d.org/antarctica/sample/RJ2020-BP-16-13/</v>
      </c>
      <c r="L482" s="42" t="s">
        <v>39</v>
      </c>
      <c r="M482" s="42"/>
      <c r="O482" s="17" t="s">
        <v>533</v>
      </c>
      <c r="P482" s="22">
        <v>-76.142499999999998</v>
      </c>
      <c r="Q482" s="22">
        <v>162.39752999999999</v>
      </c>
      <c r="R482" s="22">
        <v>2</v>
      </c>
      <c r="S482" s="22">
        <v>266</v>
      </c>
      <c r="T482" s="17">
        <v>30</v>
      </c>
      <c r="U482" s="23">
        <v>260</v>
      </c>
      <c r="V482" s="23" t="s">
        <v>2307</v>
      </c>
      <c r="W482" s="44" t="s">
        <v>2454</v>
      </c>
      <c r="X482" s="22">
        <f t="shared" si="12"/>
        <v>236</v>
      </c>
      <c r="Y482" s="22">
        <v>2.5</v>
      </c>
      <c r="Z482" s="22">
        <v>2.65</v>
      </c>
      <c r="AA482" s="17" t="s">
        <v>51</v>
      </c>
      <c r="AB482" s="26">
        <v>6246</v>
      </c>
      <c r="AC482" s="26">
        <v>405</v>
      </c>
      <c r="AD482" s="26">
        <v>548</v>
      </c>
      <c r="AE482" s="27">
        <v>43939</v>
      </c>
      <c r="AF482" s="27">
        <v>2842</v>
      </c>
      <c r="AG482" s="28"/>
      <c r="AH482" s="28"/>
      <c r="AI482" s="17">
        <v>2019</v>
      </c>
      <c r="AJ482" s="17">
        <v>0</v>
      </c>
      <c r="AK482" s="34">
        <v>0</v>
      </c>
    </row>
    <row r="483" spans="1:38" ht="12.75" customHeight="1">
      <c r="A483" s="42" t="s">
        <v>548</v>
      </c>
      <c r="B483" s="33" t="s">
        <v>530</v>
      </c>
      <c r="C483" s="27">
        <v>48</v>
      </c>
      <c r="D483" s="77" t="s">
        <v>196</v>
      </c>
      <c r="E483" s="33">
        <v>0</v>
      </c>
      <c r="F483" s="33" t="s">
        <v>531</v>
      </c>
      <c r="G483" s="33" t="s">
        <v>532</v>
      </c>
      <c r="H483" s="33" t="s">
        <v>390</v>
      </c>
      <c r="I483" s="17" t="b">
        <v>1</v>
      </c>
      <c r="J483" s="17" t="s">
        <v>43</v>
      </c>
      <c r="K483" s="21" t="str">
        <f t="shared" si="14"/>
        <v>https://version2.ice-d.org/antarctica/sample/RJ2020-BP-16-14/</v>
      </c>
      <c r="L483" s="42" t="s">
        <v>39</v>
      </c>
      <c r="M483" s="42"/>
      <c r="O483" s="17" t="s">
        <v>533</v>
      </c>
      <c r="P483" s="22">
        <v>-76.143090000000001</v>
      </c>
      <c r="Q483" s="22">
        <v>162.39717999999999</v>
      </c>
      <c r="R483" s="22">
        <v>2</v>
      </c>
      <c r="S483" s="22">
        <v>249</v>
      </c>
      <c r="T483" s="17">
        <v>30</v>
      </c>
      <c r="U483" s="23">
        <v>260</v>
      </c>
      <c r="V483" s="23" t="s">
        <v>2307</v>
      </c>
      <c r="W483" s="44" t="s">
        <v>2454</v>
      </c>
      <c r="X483" s="22">
        <f t="shared" si="12"/>
        <v>219</v>
      </c>
      <c r="Y483" s="22">
        <v>4.4000000000000004</v>
      </c>
      <c r="Z483" s="22">
        <v>2.65</v>
      </c>
      <c r="AA483" s="17" t="s">
        <v>73</v>
      </c>
      <c r="AB483" s="26">
        <v>6465</v>
      </c>
      <c r="AC483" s="26">
        <v>590</v>
      </c>
      <c r="AD483" s="26">
        <v>703</v>
      </c>
      <c r="AE483" s="27">
        <v>43912</v>
      </c>
      <c r="AF483" s="27">
        <v>4001</v>
      </c>
      <c r="AG483" s="28"/>
      <c r="AH483" s="28"/>
      <c r="AI483" s="17">
        <v>2019</v>
      </c>
      <c r="AJ483" s="17">
        <v>0</v>
      </c>
      <c r="AK483" s="34">
        <v>0</v>
      </c>
    </row>
    <row r="484" spans="1:38" ht="12.75" customHeight="1">
      <c r="A484" s="42" t="s">
        <v>549</v>
      </c>
      <c r="B484" s="33" t="s">
        <v>530</v>
      </c>
      <c r="C484" s="27">
        <v>48</v>
      </c>
      <c r="D484" s="77" t="s">
        <v>196</v>
      </c>
      <c r="E484" s="33">
        <v>0</v>
      </c>
      <c r="F484" s="33" t="s">
        <v>531</v>
      </c>
      <c r="G484" s="33" t="s">
        <v>532</v>
      </c>
      <c r="H484" s="33" t="s">
        <v>390</v>
      </c>
      <c r="I484" s="17" t="b">
        <v>1</v>
      </c>
      <c r="J484" s="17" t="s">
        <v>43</v>
      </c>
      <c r="K484" s="21" t="str">
        <f t="shared" si="14"/>
        <v>https://version2.ice-d.org/antarctica/sample/RJ2020-BP-16-15/</v>
      </c>
      <c r="L484" s="42" t="s">
        <v>39</v>
      </c>
      <c r="M484" s="42"/>
      <c r="O484" s="17" t="s">
        <v>533</v>
      </c>
      <c r="P484" s="22">
        <v>-76.143429999999995</v>
      </c>
      <c r="Q484" s="22">
        <v>162.39747</v>
      </c>
      <c r="R484" s="22">
        <v>2</v>
      </c>
      <c r="S484" s="22">
        <v>246</v>
      </c>
      <c r="T484" s="17">
        <v>30</v>
      </c>
      <c r="U484" s="23">
        <v>260</v>
      </c>
      <c r="V484" s="23" t="s">
        <v>2307</v>
      </c>
      <c r="W484" s="44" t="s">
        <v>2454</v>
      </c>
      <c r="X484" s="22">
        <f t="shared" si="12"/>
        <v>216</v>
      </c>
      <c r="Y484" s="22">
        <v>4</v>
      </c>
      <c r="Z484" s="22">
        <v>2.65</v>
      </c>
      <c r="AA484" s="17" t="s">
        <v>73</v>
      </c>
      <c r="AB484" s="26">
        <v>6451</v>
      </c>
      <c r="AC484" s="26">
        <v>543</v>
      </c>
      <c r="AD484" s="26">
        <v>663</v>
      </c>
      <c r="AE484" s="27">
        <v>43971</v>
      </c>
      <c r="AF484" s="27">
        <v>3695</v>
      </c>
      <c r="AG484" s="28"/>
      <c r="AH484" s="28"/>
      <c r="AI484" s="17">
        <v>2019</v>
      </c>
      <c r="AJ484" s="17">
        <v>0</v>
      </c>
      <c r="AK484" s="34">
        <v>0</v>
      </c>
    </row>
    <row r="485" spans="1:38" ht="12.75" customHeight="1">
      <c r="A485" s="42" t="s">
        <v>550</v>
      </c>
      <c r="B485" s="33" t="s">
        <v>530</v>
      </c>
      <c r="C485" s="27">
        <v>48</v>
      </c>
      <c r="D485" s="77" t="s">
        <v>196</v>
      </c>
      <c r="E485" s="33">
        <v>0</v>
      </c>
      <c r="F485" s="33" t="s">
        <v>531</v>
      </c>
      <c r="G485" s="33" t="s">
        <v>532</v>
      </c>
      <c r="H485" s="33" t="s">
        <v>390</v>
      </c>
      <c r="I485" s="17" t="b">
        <v>1</v>
      </c>
      <c r="J485" s="17" t="s">
        <v>43</v>
      </c>
      <c r="K485" s="21" t="str">
        <f t="shared" si="14"/>
        <v>https://version2.ice-d.org/antarctica/sample/RJ2020-BP-16-16/</v>
      </c>
      <c r="L485" s="42" t="s">
        <v>39</v>
      </c>
      <c r="M485" s="42"/>
      <c r="O485" s="17" t="s">
        <v>533</v>
      </c>
      <c r="P485" s="22">
        <v>-76.143839999999997</v>
      </c>
      <c r="Q485" s="22">
        <v>162.39760000000001</v>
      </c>
      <c r="R485" s="22">
        <v>2</v>
      </c>
      <c r="S485" s="22">
        <v>238</v>
      </c>
      <c r="T485" s="17">
        <v>30</v>
      </c>
      <c r="U485" s="23">
        <v>260</v>
      </c>
      <c r="V485" s="23" t="s">
        <v>2307</v>
      </c>
      <c r="W485" s="44" t="s">
        <v>2454</v>
      </c>
      <c r="X485" s="22">
        <f t="shared" si="12"/>
        <v>208</v>
      </c>
      <c r="Y485" s="22">
        <v>7</v>
      </c>
      <c r="Z485" s="22">
        <v>2.65</v>
      </c>
      <c r="AA485" s="17" t="s">
        <v>73</v>
      </c>
      <c r="AB485" s="26">
        <v>5236</v>
      </c>
      <c r="AC485" s="26">
        <v>653</v>
      </c>
      <c r="AD485" s="26">
        <v>722</v>
      </c>
      <c r="AE485" s="27">
        <v>34482</v>
      </c>
      <c r="AF485" s="27">
        <v>4292</v>
      </c>
      <c r="AG485" s="28"/>
      <c r="AH485" s="28"/>
      <c r="AI485" s="17">
        <v>2019</v>
      </c>
      <c r="AJ485" s="17">
        <v>0</v>
      </c>
      <c r="AK485" s="34">
        <v>0</v>
      </c>
    </row>
    <row r="486" spans="1:38" ht="12.75" customHeight="1">
      <c r="A486" s="42" t="s">
        <v>551</v>
      </c>
      <c r="B486" s="33" t="s">
        <v>530</v>
      </c>
      <c r="C486" s="27">
        <v>48</v>
      </c>
      <c r="D486" s="77" t="s">
        <v>196</v>
      </c>
      <c r="E486" s="33">
        <v>0</v>
      </c>
      <c r="F486" s="33" t="s">
        <v>531</v>
      </c>
      <c r="G486" s="33" t="s">
        <v>532</v>
      </c>
      <c r="H486" s="33" t="s">
        <v>390</v>
      </c>
      <c r="I486" s="17" t="b">
        <v>1</v>
      </c>
      <c r="J486" s="17" t="s">
        <v>43</v>
      </c>
      <c r="K486" s="21" t="str">
        <f t="shared" si="14"/>
        <v>https://version2.ice-d.org/antarctica/sample/RJ2020-BP-16-17/</v>
      </c>
      <c r="L486" s="42" t="s">
        <v>39</v>
      </c>
      <c r="M486" s="42"/>
      <c r="O486" s="17" t="s">
        <v>533</v>
      </c>
      <c r="P486" s="22">
        <v>-76.144630000000006</v>
      </c>
      <c r="Q486" s="22">
        <v>162.39795000000001</v>
      </c>
      <c r="R486" s="22">
        <v>2</v>
      </c>
      <c r="S486" s="22">
        <v>220</v>
      </c>
      <c r="T486" s="17">
        <v>30</v>
      </c>
      <c r="U486" s="23">
        <v>260</v>
      </c>
      <c r="V486" s="23" t="s">
        <v>2307</v>
      </c>
      <c r="W486" s="44" t="s">
        <v>2454</v>
      </c>
      <c r="X486" s="22">
        <f t="shared" si="12"/>
        <v>190</v>
      </c>
      <c r="Y486" s="22">
        <v>5.6</v>
      </c>
      <c r="Z486" s="22">
        <v>2.65</v>
      </c>
      <c r="AA486" s="17" t="s">
        <v>73</v>
      </c>
      <c r="AB486" s="26">
        <v>7043</v>
      </c>
      <c r="AC486" s="26">
        <v>463</v>
      </c>
      <c r="AD486" s="26">
        <v>623</v>
      </c>
      <c r="AE486" s="27">
        <v>46217</v>
      </c>
      <c r="AF486" s="27">
        <v>3035</v>
      </c>
      <c r="AG486" s="28"/>
      <c r="AH486" s="28"/>
      <c r="AI486" s="17">
        <v>2019</v>
      </c>
      <c r="AJ486" s="17">
        <v>0</v>
      </c>
      <c r="AK486" s="34">
        <v>0</v>
      </c>
    </row>
    <row r="487" spans="1:38" ht="12.75" customHeight="1">
      <c r="A487" s="42" t="s">
        <v>552</v>
      </c>
      <c r="B487" s="33" t="s">
        <v>530</v>
      </c>
      <c r="C487" s="27">
        <v>48</v>
      </c>
      <c r="D487" s="77" t="s">
        <v>196</v>
      </c>
      <c r="E487" s="33">
        <v>0</v>
      </c>
      <c r="F487" s="33" t="s">
        <v>531</v>
      </c>
      <c r="G487" s="33" t="s">
        <v>532</v>
      </c>
      <c r="H487" s="33" t="s">
        <v>390</v>
      </c>
      <c r="I487" s="17" t="b">
        <v>1</v>
      </c>
      <c r="J487" s="17" t="s">
        <v>43</v>
      </c>
      <c r="K487" s="21" t="str">
        <f t="shared" si="14"/>
        <v>https://version2.ice-d.org/antarctica/sample/RJ2020-BP-16-18/</v>
      </c>
      <c r="L487" s="42" t="s">
        <v>39</v>
      </c>
      <c r="M487" s="42"/>
      <c r="O487" s="17" t="s">
        <v>533</v>
      </c>
      <c r="P487" s="22">
        <v>-76.144720000000007</v>
      </c>
      <c r="Q487" s="22">
        <v>162.3981</v>
      </c>
      <c r="R487" s="22">
        <v>2</v>
      </c>
      <c r="S487" s="22">
        <v>216</v>
      </c>
      <c r="T487" s="17">
        <v>30</v>
      </c>
      <c r="U487" s="23">
        <v>260</v>
      </c>
      <c r="V487" s="23" t="s">
        <v>2307</v>
      </c>
      <c r="W487" s="44" t="s">
        <v>2454</v>
      </c>
      <c r="X487" s="22">
        <f t="shared" si="12"/>
        <v>186</v>
      </c>
      <c r="Y487" s="22">
        <v>4.5999999999999996</v>
      </c>
      <c r="Z487" s="22">
        <v>2.65</v>
      </c>
      <c r="AA487" s="17" t="s">
        <v>73</v>
      </c>
      <c r="AB487" s="26">
        <v>5526</v>
      </c>
      <c r="AC487" s="26">
        <v>515</v>
      </c>
      <c r="AD487" s="26">
        <v>610</v>
      </c>
      <c r="AE487" s="27">
        <v>36112</v>
      </c>
      <c r="AF487" s="27">
        <v>3363</v>
      </c>
      <c r="AG487" s="28"/>
      <c r="AH487" s="28"/>
      <c r="AI487" s="17">
        <v>2019</v>
      </c>
      <c r="AJ487" s="17">
        <v>0</v>
      </c>
      <c r="AK487" s="34">
        <v>0</v>
      </c>
    </row>
    <row r="488" spans="1:38" ht="12.75" customHeight="1">
      <c r="A488" s="42" t="s">
        <v>553</v>
      </c>
      <c r="B488" s="33" t="s">
        <v>530</v>
      </c>
      <c r="C488" s="27">
        <v>48</v>
      </c>
      <c r="D488" s="77" t="s">
        <v>196</v>
      </c>
      <c r="E488" s="33">
        <v>0</v>
      </c>
      <c r="F488" s="33" t="s">
        <v>531</v>
      </c>
      <c r="G488" s="33" t="s">
        <v>532</v>
      </c>
      <c r="H488" s="33" t="s">
        <v>390</v>
      </c>
      <c r="I488" s="17" t="b">
        <v>1</v>
      </c>
      <c r="J488" s="17" t="s">
        <v>43</v>
      </c>
      <c r="K488" s="21" t="str">
        <f t="shared" si="14"/>
        <v>https://version2.ice-d.org/antarctica/sample/RJ2020-BP-16-19/</v>
      </c>
      <c r="L488" s="42" t="s">
        <v>39</v>
      </c>
      <c r="M488" s="42"/>
      <c r="O488" s="17" t="s">
        <v>533</v>
      </c>
      <c r="P488" s="22">
        <v>-76.145200000000003</v>
      </c>
      <c r="Q488" s="22">
        <v>162.39845</v>
      </c>
      <c r="R488" s="22">
        <v>2</v>
      </c>
      <c r="S488" s="22">
        <v>202</v>
      </c>
      <c r="T488" s="17">
        <v>30</v>
      </c>
      <c r="U488" s="23">
        <v>260</v>
      </c>
      <c r="V488" s="23" t="s">
        <v>2307</v>
      </c>
      <c r="W488" s="44" t="s">
        <v>2454</v>
      </c>
      <c r="X488" s="22">
        <f t="shared" si="12"/>
        <v>172</v>
      </c>
      <c r="Y488" s="22">
        <v>3.7</v>
      </c>
      <c r="Z488" s="22">
        <v>2.65</v>
      </c>
      <c r="AA488" s="17" t="s">
        <v>73</v>
      </c>
      <c r="AB488" s="26">
        <v>5916</v>
      </c>
      <c r="AC488" s="26">
        <v>546</v>
      </c>
      <c r="AD488" s="26">
        <v>648</v>
      </c>
      <c r="AE488" s="27">
        <v>38457</v>
      </c>
      <c r="AF488" s="27">
        <v>3544</v>
      </c>
      <c r="AG488" s="28"/>
      <c r="AH488" s="28"/>
      <c r="AI488" s="17">
        <v>2019</v>
      </c>
      <c r="AJ488" s="17">
        <v>0</v>
      </c>
      <c r="AK488" s="34">
        <v>0</v>
      </c>
    </row>
    <row r="489" spans="1:38" ht="12.75" customHeight="1">
      <c r="A489" s="42" t="s">
        <v>554</v>
      </c>
      <c r="B489" s="33" t="s">
        <v>530</v>
      </c>
      <c r="C489" s="27">
        <v>48</v>
      </c>
      <c r="D489" s="77" t="s">
        <v>196</v>
      </c>
      <c r="E489" s="33">
        <v>0</v>
      </c>
      <c r="F489" s="33" t="s">
        <v>531</v>
      </c>
      <c r="G489" s="33" t="s">
        <v>532</v>
      </c>
      <c r="H489" s="33" t="s">
        <v>390</v>
      </c>
      <c r="I489" s="17" t="b">
        <v>1</v>
      </c>
      <c r="J489" s="17" t="s">
        <v>43</v>
      </c>
      <c r="K489" s="21" t="str">
        <f t="shared" si="14"/>
        <v>https://version2.ice-d.org/antarctica/sample/RJ2020-BP-16-20/</v>
      </c>
      <c r="L489" s="42" t="s">
        <v>39</v>
      </c>
      <c r="M489" s="42"/>
      <c r="O489" s="17" t="s">
        <v>533</v>
      </c>
      <c r="P489" s="22">
        <v>-76.145189999999999</v>
      </c>
      <c r="Q489" s="22">
        <v>162.39967999999999</v>
      </c>
      <c r="R489" s="22">
        <v>2</v>
      </c>
      <c r="S489" s="22">
        <v>199</v>
      </c>
      <c r="T489" s="17">
        <v>30</v>
      </c>
      <c r="U489" s="23">
        <v>260</v>
      </c>
      <c r="V489" s="23" t="s">
        <v>2307</v>
      </c>
      <c r="W489" s="44" t="s">
        <v>2454</v>
      </c>
      <c r="X489" s="22">
        <f t="shared" si="12"/>
        <v>169</v>
      </c>
      <c r="Y489" s="22">
        <v>4.0999999999999996</v>
      </c>
      <c r="Z489" s="22">
        <v>2.65</v>
      </c>
      <c r="AA489" s="17" t="s">
        <v>73</v>
      </c>
      <c r="AB489" s="26">
        <v>5694</v>
      </c>
      <c r="AC489" s="26">
        <v>770</v>
      </c>
      <c r="AD489" s="26">
        <v>840</v>
      </c>
      <c r="AE489" s="27">
        <v>36914</v>
      </c>
      <c r="AF489" s="27">
        <v>4983</v>
      </c>
      <c r="AG489" s="28"/>
      <c r="AH489" s="28"/>
      <c r="AI489" s="17">
        <v>2019</v>
      </c>
      <c r="AJ489" s="17">
        <v>0</v>
      </c>
      <c r="AK489" s="34">
        <v>0</v>
      </c>
    </row>
    <row r="490" spans="1:38" ht="12.75" customHeight="1">
      <c r="A490" s="42" t="s">
        <v>555</v>
      </c>
      <c r="B490" s="33" t="s">
        <v>530</v>
      </c>
      <c r="C490" s="27">
        <v>48</v>
      </c>
      <c r="D490" s="77" t="s">
        <v>196</v>
      </c>
      <c r="E490" s="33">
        <v>0</v>
      </c>
      <c r="F490" s="33" t="s">
        <v>531</v>
      </c>
      <c r="G490" s="33" t="s">
        <v>532</v>
      </c>
      <c r="H490" s="33" t="s">
        <v>390</v>
      </c>
      <c r="I490" s="17" t="b">
        <v>1</v>
      </c>
      <c r="J490" s="17" t="s">
        <v>43</v>
      </c>
      <c r="K490" s="21" t="str">
        <f t="shared" si="14"/>
        <v>https://version2.ice-d.org/antarctica/sample/RJ2020-BP-16-21/</v>
      </c>
      <c r="L490" s="42" t="s">
        <v>39</v>
      </c>
      <c r="M490" s="42"/>
      <c r="O490" s="17" t="s">
        <v>533</v>
      </c>
      <c r="P490" s="22">
        <v>-76.145570000000006</v>
      </c>
      <c r="Q490" s="22">
        <v>162.39956000000001</v>
      </c>
      <c r="R490" s="22">
        <v>2</v>
      </c>
      <c r="S490" s="22">
        <v>179</v>
      </c>
      <c r="T490" s="17">
        <v>30</v>
      </c>
      <c r="U490" s="23">
        <v>260</v>
      </c>
      <c r="V490" s="23" t="s">
        <v>2307</v>
      </c>
      <c r="W490" s="44" t="s">
        <v>2454</v>
      </c>
      <c r="X490" s="22">
        <f t="shared" si="12"/>
        <v>149</v>
      </c>
      <c r="Y490" s="22">
        <v>5</v>
      </c>
      <c r="Z490" s="22">
        <v>2.65</v>
      </c>
      <c r="AA490" s="17" t="s">
        <v>51</v>
      </c>
      <c r="AB490" s="26">
        <v>5717</v>
      </c>
      <c r="AC490" s="26">
        <v>570</v>
      </c>
      <c r="AD490" s="26">
        <v>662</v>
      </c>
      <c r="AE490" s="27">
        <v>34559</v>
      </c>
      <c r="AF490" s="27">
        <v>3439</v>
      </c>
      <c r="AG490" s="28"/>
      <c r="AH490" s="28"/>
      <c r="AI490" s="17">
        <v>2019</v>
      </c>
      <c r="AJ490" s="17">
        <v>0</v>
      </c>
      <c r="AK490" s="34">
        <v>0</v>
      </c>
    </row>
    <row r="491" spans="1:38" ht="12.75" customHeight="1">
      <c r="A491" s="42" t="s">
        <v>556</v>
      </c>
      <c r="B491" s="33" t="s">
        <v>530</v>
      </c>
      <c r="C491" s="27">
        <v>48</v>
      </c>
      <c r="D491" s="77" t="s">
        <v>196</v>
      </c>
      <c r="E491" s="33">
        <v>0</v>
      </c>
      <c r="F491" s="33" t="s">
        <v>531</v>
      </c>
      <c r="G491" s="33" t="s">
        <v>532</v>
      </c>
      <c r="H491" s="33" t="s">
        <v>390</v>
      </c>
      <c r="I491" s="17" t="b">
        <v>1</v>
      </c>
      <c r="J491" s="17" t="s">
        <v>43</v>
      </c>
      <c r="K491" s="21" t="str">
        <f t="shared" si="14"/>
        <v>https://version2.ice-d.org/antarctica/sample/RJ2020-BP-16-22/</v>
      </c>
      <c r="L491" s="42" t="s">
        <v>39</v>
      </c>
      <c r="M491" s="42"/>
      <c r="O491" s="17" t="s">
        <v>533</v>
      </c>
      <c r="P491" s="22">
        <v>-76.14555</v>
      </c>
      <c r="Q491" s="22">
        <v>162.39905999999999</v>
      </c>
      <c r="R491" s="22">
        <v>2</v>
      </c>
      <c r="S491" s="22">
        <v>181</v>
      </c>
      <c r="T491" s="17">
        <v>30</v>
      </c>
      <c r="U491" s="23">
        <v>260</v>
      </c>
      <c r="V491" s="23" t="s">
        <v>2307</v>
      </c>
      <c r="W491" s="44" t="s">
        <v>2454</v>
      </c>
      <c r="X491" s="22">
        <f t="shared" si="12"/>
        <v>151</v>
      </c>
      <c r="Y491" s="22">
        <v>4.3</v>
      </c>
      <c r="Z491" s="22">
        <v>2.65</v>
      </c>
      <c r="AA491" s="17" t="s">
        <v>73</v>
      </c>
      <c r="AB491" s="26">
        <v>6433</v>
      </c>
      <c r="AC491" s="26">
        <v>610</v>
      </c>
      <c r="AD491" s="26">
        <v>719</v>
      </c>
      <c r="AE491" s="27">
        <v>38513</v>
      </c>
      <c r="AF491" s="27">
        <v>3646</v>
      </c>
      <c r="AG491" s="28"/>
      <c r="AH491" s="28"/>
      <c r="AI491" s="17">
        <v>2019</v>
      </c>
      <c r="AJ491" s="17">
        <v>0</v>
      </c>
      <c r="AK491" s="34">
        <v>0</v>
      </c>
    </row>
    <row r="492" spans="1:38" ht="12.75" customHeight="1">
      <c r="A492" s="42" t="s">
        <v>557</v>
      </c>
      <c r="B492" s="33" t="s">
        <v>530</v>
      </c>
      <c r="C492" s="27">
        <v>48</v>
      </c>
      <c r="D492" s="77" t="s">
        <v>196</v>
      </c>
      <c r="E492" s="33">
        <v>0</v>
      </c>
      <c r="F492" s="33" t="s">
        <v>531</v>
      </c>
      <c r="G492" s="33" t="s">
        <v>532</v>
      </c>
      <c r="H492" s="33" t="s">
        <v>390</v>
      </c>
      <c r="I492" s="17" t="b">
        <v>1</v>
      </c>
      <c r="J492" s="17" t="s">
        <v>43</v>
      </c>
      <c r="K492" s="21" t="str">
        <f t="shared" si="14"/>
        <v>https://version2.ice-d.org/antarctica/sample/RJ2020-BP-16-23/</v>
      </c>
      <c r="L492" s="42" t="s">
        <v>39</v>
      </c>
      <c r="M492" s="42"/>
      <c r="O492" s="17" t="s">
        <v>533</v>
      </c>
      <c r="P492" s="22">
        <v>-76.145579999999995</v>
      </c>
      <c r="Q492" s="22">
        <v>162.40115</v>
      </c>
      <c r="R492" s="22">
        <v>2</v>
      </c>
      <c r="S492" s="22">
        <v>166</v>
      </c>
      <c r="T492" s="17">
        <v>30</v>
      </c>
      <c r="U492" s="23">
        <v>260</v>
      </c>
      <c r="V492" s="23" t="s">
        <v>2307</v>
      </c>
      <c r="W492" s="44" t="s">
        <v>2454</v>
      </c>
      <c r="X492" s="22">
        <f t="shared" si="12"/>
        <v>136</v>
      </c>
      <c r="Y492" s="22">
        <v>6.1</v>
      </c>
      <c r="Z492" s="22">
        <v>2.65</v>
      </c>
      <c r="AA492" s="17" t="s">
        <v>73</v>
      </c>
      <c r="AB492" s="26">
        <v>7049</v>
      </c>
      <c r="AC492" s="26">
        <v>787</v>
      </c>
      <c r="AD492" s="26">
        <v>890</v>
      </c>
      <c r="AE492" s="27">
        <v>40116</v>
      </c>
      <c r="AF492" s="27">
        <v>4470</v>
      </c>
      <c r="AG492" s="28"/>
      <c r="AH492" s="28"/>
      <c r="AI492" s="17">
        <v>2019</v>
      </c>
      <c r="AJ492" s="17">
        <v>0</v>
      </c>
      <c r="AK492" s="34">
        <v>0</v>
      </c>
    </row>
    <row r="493" spans="1:38" ht="12.75" customHeight="1">
      <c r="A493" s="42" t="s">
        <v>558</v>
      </c>
      <c r="B493" s="33" t="s">
        <v>530</v>
      </c>
      <c r="C493" s="27">
        <v>48</v>
      </c>
      <c r="D493" s="77" t="s">
        <v>196</v>
      </c>
      <c r="E493" s="33">
        <v>0</v>
      </c>
      <c r="F493" s="33" t="s">
        <v>531</v>
      </c>
      <c r="G493" s="33" t="s">
        <v>532</v>
      </c>
      <c r="H493" s="33" t="s">
        <v>390</v>
      </c>
      <c r="I493" s="17" t="b">
        <v>1</v>
      </c>
      <c r="J493" s="17" t="s">
        <v>43</v>
      </c>
      <c r="K493" s="21" t="str">
        <f t="shared" si="14"/>
        <v>https://version2.ice-d.org/antarctica/sample/RJ2020-BP-16-24/</v>
      </c>
      <c r="L493" s="42" t="s">
        <v>39</v>
      </c>
      <c r="M493" s="42"/>
      <c r="O493" s="17" t="s">
        <v>533</v>
      </c>
      <c r="P493" s="22">
        <v>-76.145449999999997</v>
      </c>
      <c r="Q493" s="22">
        <v>162.4025</v>
      </c>
      <c r="R493" s="22">
        <v>2</v>
      </c>
      <c r="S493" s="22">
        <v>161</v>
      </c>
      <c r="T493" s="17">
        <v>30</v>
      </c>
      <c r="U493" s="23">
        <v>260</v>
      </c>
      <c r="V493" s="23" t="s">
        <v>2307</v>
      </c>
      <c r="W493" s="44" t="s">
        <v>2454</v>
      </c>
      <c r="X493" s="22">
        <f t="shared" si="12"/>
        <v>131</v>
      </c>
      <c r="Y493" s="22">
        <v>4.2</v>
      </c>
      <c r="Z493" s="22">
        <v>2.65</v>
      </c>
      <c r="AA493" s="17" t="s">
        <v>73</v>
      </c>
      <c r="AB493" s="26">
        <v>6203</v>
      </c>
      <c r="AC493" s="26">
        <v>478</v>
      </c>
      <c r="AD493" s="26">
        <v>602</v>
      </c>
      <c r="AE493" s="27">
        <v>36417</v>
      </c>
      <c r="AF493" s="27">
        <v>2801</v>
      </c>
      <c r="AG493" s="28"/>
      <c r="AH493" s="28"/>
      <c r="AI493" s="17">
        <v>2019</v>
      </c>
      <c r="AJ493" s="17">
        <v>0</v>
      </c>
      <c r="AK493" s="34">
        <v>0</v>
      </c>
    </row>
    <row r="494" spans="1:38" ht="12.75" customHeight="1">
      <c r="A494" s="42" t="s">
        <v>559</v>
      </c>
      <c r="B494" s="33" t="s">
        <v>560</v>
      </c>
      <c r="C494" s="27">
        <v>49</v>
      </c>
      <c r="D494" s="77" t="s">
        <v>196</v>
      </c>
      <c r="E494" s="33">
        <v>0</v>
      </c>
      <c r="F494" s="33" t="s">
        <v>531</v>
      </c>
      <c r="G494" s="33" t="s">
        <v>532</v>
      </c>
      <c r="H494" s="33" t="s">
        <v>390</v>
      </c>
      <c r="I494" s="17" t="b">
        <v>1</v>
      </c>
      <c r="J494" s="17" t="s">
        <v>43</v>
      </c>
      <c r="K494" s="21" t="str">
        <f t="shared" si="14"/>
        <v>https://version2.ice-d.org/antarctica/sample/RW2020-MM-16-01/</v>
      </c>
      <c r="L494" s="42" t="s">
        <v>39</v>
      </c>
      <c r="M494" s="42"/>
      <c r="O494" s="17" t="s">
        <v>533</v>
      </c>
      <c r="P494" s="22">
        <v>-76.183480000000003</v>
      </c>
      <c r="Q494" s="22">
        <v>162.02873</v>
      </c>
      <c r="R494" s="22">
        <v>2</v>
      </c>
      <c r="S494" s="22">
        <v>211</v>
      </c>
      <c r="T494" s="22">
        <v>115</v>
      </c>
      <c r="U494" s="23">
        <v>260</v>
      </c>
      <c r="V494" s="23" t="s">
        <v>2307</v>
      </c>
      <c r="W494" s="44" t="s">
        <v>2454</v>
      </c>
      <c r="X494" s="22">
        <f t="shared" si="12"/>
        <v>96</v>
      </c>
      <c r="Y494" s="22">
        <v>1.9</v>
      </c>
      <c r="Z494" s="22">
        <v>2.65</v>
      </c>
      <c r="AA494" s="17" t="s">
        <v>73</v>
      </c>
      <c r="AB494" s="26">
        <v>5531</v>
      </c>
      <c r="AC494" s="26">
        <v>494</v>
      </c>
      <c r="AD494" s="26">
        <v>593</v>
      </c>
      <c r="AE494" s="27">
        <v>37026</v>
      </c>
      <c r="AF494" s="27">
        <v>3304</v>
      </c>
      <c r="AG494" s="28"/>
      <c r="AH494" s="28"/>
      <c r="AI494" s="17">
        <v>2016</v>
      </c>
      <c r="AJ494" s="17">
        <v>1</v>
      </c>
      <c r="AK494" s="34">
        <v>0</v>
      </c>
    </row>
    <row r="495" spans="1:38" ht="12.75" customHeight="1">
      <c r="A495" s="42" t="s">
        <v>561</v>
      </c>
      <c r="B495" s="33" t="s">
        <v>560</v>
      </c>
      <c r="C495" s="27">
        <v>49</v>
      </c>
      <c r="D495" s="77" t="s">
        <v>196</v>
      </c>
      <c r="E495" s="33">
        <v>0</v>
      </c>
      <c r="F495" s="33" t="s">
        <v>531</v>
      </c>
      <c r="G495" s="33" t="s">
        <v>532</v>
      </c>
      <c r="H495" s="33" t="s">
        <v>390</v>
      </c>
      <c r="I495" s="17" t="b">
        <v>1</v>
      </c>
      <c r="J495" s="17" t="s">
        <v>43</v>
      </c>
      <c r="K495" s="21" t="str">
        <f t="shared" si="14"/>
        <v>https://version2.ice-d.org/antarctica/sample/RW2020-MM-16-03/</v>
      </c>
      <c r="L495" s="42" t="s">
        <v>39</v>
      </c>
      <c r="M495" s="42"/>
      <c r="O495" s="17" t="s">
        <v>533</v>
      </c>
      <c r="P495" s="22">
        <v>-76.183350000000004</v>
      </c>
      <c r="Q495" s="22">
        <v>162.02744999999999</v>
      </c>
      <c r="R495" s="22">
        <v>2</v>
      </c>
      <c r="S495" s="22">
        <v>214</v>
      </c>
      <c r="T495" s="22">
        <v>115</v>
      </c>
      <c r="U495" s="23">
        <v>260</v>
      </c>
      <c r="V495" s="23" t="s">
        <v>2307</v>
      </c>
      <c r="W495" s="44" t="s">
        <v>2454</v>
      </c>
      <c r="X495" s="22">
        <f t="shared" si="12"/>
        <v>99</v>
      </c>
      <c r="Y495" s="22">
        <v>4.7</v>
      </c>
      <c r="Z495" s="22">
        <v>2.65</v>
      </c>
      <c r="AA495" s="17" t="s">
        <v>73</v>
      </c>
      <c r="AB495" s="26">
        <v>4009</v>
      </c>
      <c r="AC495" s="26">
        <v>1224</v>
      </c>
      <c r="AD495" s="26">
        <v>1247</v>
      </c>
      <c r="AE495" s="27">
        <v>26475</v>
      </c>
      <c r="AF495" s="27">
        <v>8079</v>
      </c>
      <c r="AG495" s="28"/>
      <c r="AH495" s="28"/>
      <c r="AI495" s="17">
        <v>2016</v>
      </c>
      <c r="AJ495" s="17">
        <v>1</v>
      </c>
      <c r="AK495" s="34">
        <v>1</v>
      </c>
      <c r="AL495" s="17" t="s">
        <v>534</v>
      </c>
    </row>
    <row r="496" spans="1:38" ht="12.75" customHeight="1">
      <c r="A496" s="42" t="s">
        <v>562</v>
      </c>
      <c r="B496" s="33" t="s">
        <v>560</v>
      </c>
      <c r="C496" s="27">
        <v>49</v>
      </c>
      <c r="D496" s="77" t="s">
        <v>196</v>
      </c>
      <c r="E496" s="33">
        <v>0</v>
      </c>
      <c r="F496" s="33" t="s">
        <v>531</v>
      </c>
      <c r="G496" s="33" t="s">
        <v>532</v>
      </c>
      <c r="H496" s="33" t="s">
        <v>390</v>
      </c>
      <c r="I496" s="17" t="b">
        <v>1</v>
      </c>
      <c r="J496" s="17" t="s">
        <v>43</v>
      </c>
      <c r="K496" s="21" t="str">
        <f t="shared" si="14"/>
        <v>https://version2.ice-d.org/antarctica/sample/RW2020-MM-16-04/</v>
      </c>
      <c r="L496" s="42" t="s">
        <v>39</v>
      </c>
      <c r="M496" s="42"/>
      <c r="O496" s="17" t="s">
        <v>533</v>
      </c>
      <c r="P496" s="22">
        <v>-76.184330000000003</v>
      </c>
      <c r="Q496" s="22">
        <v>162.01981000000001</v>
      </c>
      <c r="R496" s="22">
        <v>2</v>
      </c>
      <c r="S496" s="22">
        <v>243</v>
      </c>
      <c r="T496" s="22">
        <v>115</v>
      </c>
      <c r="U496" s="23">
        <v>260</v>
      </c>
      <c r="V496" s="23" t="s">
        <v>2307</v>
      </c>
      <c r="W496" s="44" t="s">
        <v>2454</v>
      </c>
      <c r="X496" s="22">
        <f t="shared" si="12"/>
        <v>128</v>
      </c>
      <c r="Y496" s="22">
        <v>1.5</v>
      </c>
      <c r="Z496" s="22">
        <v>2.65</v>
      </c>
      <c r="AA496" s="17" t="s">
        <v>73</v>
      </c>
      <c r="AB496" s="26">
        <v>5364</v>
      </c>
      <c r="AC496" s="26">
        <v>292</v>
      </c>
      <c r="AD496" s="26">
        <v>431</v>
      </c>
      <c r="AE496" s="27">
        <v>37119</v>
      </c>
      <c r="AF496" s="27">
        <v>2020</v>
      </c>
      <c r="AG496" s="28"/>
      <c r="AH496" s="28"/>
      <c r="AI496" s="17">
        <v>2016</v>
      </c>
      <c r="AJ496" s="17">
        <v>1</v>
      </c>
      <c r="AK496" s="34">
        <v>0</v>
      </c>
    </row>
    <row r="497" spans="1:38" ht="12.75" customHeight="1">
      <c r="A497" s="42" t="s">
        <v>563</v>
      </c>
      <c r="B497" s="33" t="s">
        <v>560</v>
      </c>
      <c r="C497" s="27">
        <v>49</v>
      </c>
      <c r="D497" s="77" t="s">
        <v>196</v>
      </c>
      <c r="E497" s="33">
        <v>0</v>
      </c>
      <c r="F497" s="33" t="s">
        <v>531</v>
      </c>
      <c r="G497" s="33" t="s">
        <v>532</v>
      </c>
      <c r="H497" s="33" t="s">
        <v>390</v>
      </c>
      <c r="I497" s="17" t="b">
        <v>1</v>
      </c>
      <c r="J497" s="17" t="s">
        <v>43</v>
      </c>
      <c r="K497" s="21" t="str">
        <f t="shared" si="14"/>
        <v>https://version2.ice-d.org/antarctica/sample/RW2020-MM-16-05/</v>
      </c>
      <c r="L497" s="42" t="s">
        <v>39</v>
      </c>
      <c r="M497" s="42"/>
      <c r="O497" s="17" t="s">
        <v>533</v>
      </c>
      <c r="P497" s="22">
        <v>-76.183966920000003</v>
      </c>
      <c r="Q497" s="22">
        <v>162.0174293</v>
      </c>
      <c r="R497" s="22">
        <v>2</v>
      </c>
      <c r="S497" s="22">
        <v>258</v>
      </c>
      <c r="T497" s="22">
        <v>115</v>
      </c>
      <c r="U497" s="23">
        <v>260</v>
      </c>
      <c r="V497" s="23" t="s">
        <v>2307</v>
      </c>
      <c r="W497" s="44" t="s">
        <v>2454</v>
      </c>
      <c r="X497" s="22">
        <f t="shared" si="12"/>
        <v>143</v>
      </c>
      <c r="Y497" s="22">
        <v>7.4</v>
      </c>
      <c r="Z497" s="22">
        <v>2.65</v>
      </c>
      <c r="AA497" s="17" t="s">
        <v>73</v>
      </c>
      <c r="AB497" s="26">
        <v>5595</v>
      </c>
      <c r="AC497" s="26">
        <v>413</v>
      </c>
      <c r="AD497" s="26">
        <v>529</v>
      </c>
      <c r="AE497" s="27">
        <v>37477</v>
      </c>
      <c r="AF497" s="27">
        <v>2763</v>
      </c>
      <c r="AG497" s="28"/>
      <c r="AH497" s="28"/>
      <c r="AI497" s="17">
        <v>2016</v>
      </c>
      <c r="AJ497" s="17">
        <v>1</v>
      </c>
      <c r="AK497" s="34">
        <v>0</v>
      </c>
    </row>
    <row r="498" spans="1:38" ht="12.75" customHeight="1">
      <c r="A498" s="42" t="s">
        <v>564</v>
      </c>
      <c r="B498" s="33" t="s">
        <v>560</v>
      </c>
      <c r="C498" s="27">
        <v>49</v>
      </c>
      <c r="D498" s="77" t="s">
        <v>196</v>
      </c>
      <c r="E498" s="33">
        <v>0</v>
      </c>
      <c r="F498" s="33" t="s">
        <v>531</v>
      </c>
      <c r="G498" s="33" t="s">
        <v>532</v>
      </c>
      <c r="H498" s="33" t="s">
        <v>390</v>
      </c>
      <c r="I498" s="17" t="b">
        <v>1</v>
      </c>
      <c r="J498" s="17" t="s">
        <v>43</v>
      </c>
      <c r="K498" s="21" t="str">
        <f t="shared" si="14"/>
        <v>https://version2.ice-d.org/antarctica/sample/RW2020-MM-16-06/</v>
      </c>
      <c r="L498" s="42" t="s">
        <v>39</v>
      </c>
      <c r="M498" s="42"/>
      <c r="O498" s="17" t="s">
        <v>533</v>
      </c>
      <c r="P498" s="22">
        <v>-76.183667999999997</v>
      </c>
      <c r="Q498" s="22">
        <v>162.01579330000001</v>
      </c>
      <c r="R498" s="22">
        <v>2</v>
      </c>
      <c r="S498" s="22">
        <v>267</v>
      </c>
      <c r="T498" s="22">
        <v>115</v>
      </c>
      <c r="U498" s="23">
        <v>260</v>
      </c>
      <c r="V498" s="23" t="s">
        <v>2307</v>
      </c>
      <c r="W498" s="44" t="s">
        <v>2454</v>
      </c>
      <c r="X498" s="22">
        <f t="shared" si="12"/>
        <v>152</v>
      </c>
      <c r="Y498" s="22">
        <v>4.9000000000000004</v>
      </c>
      <c r="Z498" s="22">
        <v>2.65</v>
      </c>
      <c r="AA498" s="17" t="s">
        <v>73</v>
      </c>
      <c r="AB498" s="26">
        <v>5367</v>
      </c>
      <c r="AC498" s="26">
        <v>186</v>
      </c>
      <c r="AD498" s="26">
        <v>367</v>
      </c>
      <c r="AE498" s="27">
        <v>36988</v>
      </c>
      <c r="AF498" s="27">
        <v>1277</v>
      </c>
      <c r="AG498" s="28"/>
      <c r="AH498" s="28"/>
      <c r="AI498" s="17">
        <v>2016</v>
      </c>
      <c r="AJ498" s="17">
        <v>1</v>
      </c>
      <c r="AK498" s="34">
        <v>0</v>
      </c>
    </row>
    <row r="499" spans="1:38" ht="12.75" customHeight="1">
      <c r="A499" s="42" t="s">
        <v>565</v>
      </c>
      <c r="B499" s="33" t="s">
        <v>560</v>
      </c>
      <c r="C499" s="27">
        <v>49</v>
      </c>
      <c r="D499" s="77" t="s">
        <v>196</v>
      </c>
      <c r="E499" s="33">
        <v>0</v>
      </c>
      <c r="F499" s="33" t="s">
        <v>531</v>
      </c>
      <c r="G499" s="33" t="s">
        <v>532</v>
      </c>
      <c r="H499" s="33" t="s">
        <v>390</v>
      </c>
      <c r="I499" s="17" t="b">
        <v>1</v>
      </c>
      <c r="J499" s="17" t="s">
        <v>43</v>
      </c>
      <c r="K499" s="21" t="str">
        <f t="shared" si="14"/>
        <v>https://version2.ice-d.org/antarctica/sample/RW2020-MM-16-07/</v>
      </c>
      <c r="L499" s="42" t="s">
        <v>39</v>
      </c>
      <c r="M499" s="42"/>
      <c r="O499" s="17" t="s">
        <v>533</v>
      </c>
      <c r="P499" s="22">
        <v>-76.18388023</v>
      </c>
      <c r="Q499" s="22">
        <v>162.01444699999999</v>
      </c>
      <c r="R499" s="22">
        <v>2</v>
      </c>
      <c r="S499" s="22">
        <v>267</v>
      </c>
      <c r="T499" s="22">
        <v>115</v>
      </c>
      <c r="U499" s="23">
        <v>260</v>
      </c>
      <c r="V499" s="23" t="s">
        <v>2307</v>
      </c>
      <c r="W499" s="44" t="s">
        <v>2454</v>
      </c>
      <c r="X499" s="22">
        <f t="shared" si="12"/>
        <v>152</v>
      </c>
      <c r="Y499" s="22">
        <v>6.6</v>
      </c>
      <c r="Z499" s="22">
        <v>2.65</v>
      </c>
      <c r="AA499" s="17" t="s">
        <v>73</v>
      </c>
      <c r="AB499" s="26">
        <v>4924</v>
      </c>
      <c r="AC499" s="26">
        <v>250</v>
      </c>
      <c r="AD499" s="26">
        <v>383</v>
      </c>
      <c r="AE499" s="27">
        <v>33539</v>
      </c>
      <c r="AF499" s="27">
        <v>1700</v>
      </c>
      <c r="AG499" s="28"/>
      <c r="AH499" s="28"/>
      <c r="AI499" s="17">
        <v>2016</v>
      </c>
      <c r="AJ499" s="17">
        <v>1</v>
      </c>
      <c r="AK499" s="34">
        <v>0</v>
      </c>
    </row>
    <row r="500" spans="1:38" ht="12.75" customHeight="1">
      <c r="A500" s="42" t="s">
        <v>566</v>
      </c>
      <c r="B500" s="33" t="s">
        <v>560</v>
      </c>
      <c r="C500" s="27">
        <v>49</v>
      </c>
      <c r="D500" s="77" t="s">
        <v>196</v>
      </c>
      <c r="E500" s="33">
        <v>0</v>
      </c>
      <c r="F500" s="33" t="s">
        <v>531</v>
      </c>
      <c r="G500" s="33" t="s">
        <v>532</v>
      </c>
      <c r="H500" s="33" t="s">
        <v>390</v>
      </c>
      <c r="I500" s="17" t="b">
        <v>1</v>
      </c>
      <c r="J500" s="17" t="s">
        <v>43</v>
      </c>
      <c r="K500" s="21" t="str">
        <f t="shared" si="14"/>
        <v>https://version2.ice-d.org/antarctica/sample/RW2020-MM-16-08/</v>
      </c>
      <c r="L500" s="42" t="s">
        <v>39</v>
      </c>
      <c r="M500" s="42"/>
      <c r="O500" s="17" t="s">
        <v>533</v>
      </c>
      <c r="P500" s="22">
        <v>-76.18388023</v>
      </c>
      <c r="Q500" s="22">
        <v>162.01444699999999</v>
      </c>
      <c r="R500" s="22">
        <v>2</v>
      </c>
      <c r="S500" s="22">
        <v>267</v>
      </c>
      <c r="T500" s="22">
        <v>115</v>
      </c>
      <c r="U500" s="23">
        <v>260</v>
      </c>
      <c r="V500" s="23" t="s">
        <v>2307</v>
      </c>
      <c r="W500" s="44" t="s">
        <v>2454</v>
      </c>
      <c r="X500" s="22">
        <f t="shared" si="12"/>
        <v>152</v>
      </c>
      <c r="Y500" s="22">
        <v>5.9</v>
      </c>
      <c r="Z500" s="22">
        <v>2.65</v>
      </c>
      <c r="AA500" s="17" t="s">
        <v>73</v>
      </c>
      <c r="AB500" s="26">
        <v>5824</v>
      </c>
      <c r="AC500" s="26">
        <v>384</v>
      </c>
      <c r="AD500" s="26">
        <v>516</v>
      </c>
      <c r="AE500" s="27">
        <v>39908</v>
      </c>
      <c r="AF500" s="27">
        <v>2628</v>
      </c>
      <c r="AG500" s="28"/>
      <c r="AH500" s="28"/>
      <c r="AI500" s="17">
        <v>2016</v>
      </c>
      <c r="AJ500" s="17">
        <v>1</v>
      </c>
      <c r="AK500" s="34">
        <v>0</v>
      </c>
    </row>
    <row r="501" spans="1:38" ht="12.75" customHeight="1">
      <c r="A501" s="42" t="s">
        <v>567</v>
      </c>
      <c r="B501" s="33" t="s">
        <v>560</v>
      </c>
      <c r="C501" s="27">
        <v>49</v>
      </c>
      <c r="D501" s="77" t="s">
        <v>196</v>
      </c>
      <c r="E501" s="33">
        <v>0</v>
      </c>
      <c r="F501" s="33" t="s">
        <v>531</v>
      </c>
      <c r="G501" s="33" t="s">
        <v>532</v>
      </c>
      <c r="H501" s="33" t="s">
        <v>390</v>
      </c>
      <c r="I501" s="17" t="b">
        <v>1</v>
      </c>
      <c r="J501" s="17" t="s">
        <v>43</v>
      </c>
      <c r="K501" s="21" t="str">
        <f t="shared" si="14"/>
        <v>https://version2.ice-d.org/antarctica/sample/RW2020-MM-16-26/</v>
      </c>
      <c r="L501" s="42" t="s">
        <v>39</v>
      </c>
      <c r="M501" s="42"/>
      <c r="O501" s="17" t="s">
        <v>533</v>
      </c>
      <c r="P501" s="22">
        <v>-76.19155198</v>
      </c>
      <c r="Q501" s="22">
        <v>161.94159070000001</v>
      </c>
      <c r="R501" s="22">
        <v>2</v>
      </c>
      <c r="S501" s="22">
        <v>271</v>
      </c>
      <c r="T501" s="22">
        <v>243</v>
      </c>
      <c r="U501" s="23">
        <v>260</v>
      </c>
      <c r="V501" s="23" t="s">
        <v>2307</v>
      </c>
      <c r="W501" s="44" t="s">
        <v>2454</v>
      </c>
      <c r="X501" s="22">
        <f t="shared" si="12"/>
        <v>28</v>
      </c>
      <c r="Y501" s="22">
        <v>7.5</v>
      </c>
      <c r="Z501" s="22">
        <v>2.65</v>
      </c>
      <c r="AA501" s="17" t="s">
        <v>73</v>
      </c>
      <c r="AB501" s="26">
        <v>5068</v>
      </c>
      <c r="AC501" s="26">
        <v>616</v>
      </c>
      <c r="AD501" s="26">
        <v>685</v>
      </c>
      <c r="AE501" s="27">
        <v>34316</v>
      </c>
      <c r="AF501" s="27">
        <v>4165</v>
      </c>
      <c r="AG501" s="28"/>
      <c r="AH501" s="28"/>
      <c r="AI501" s="17">
        <v>2016</v>
      </c>
      <c r="AJ501" s="17">
        <v>1</v>
      </c>
      <c r="AK501" s="34">
        <v>0</v>
      </c>
    </row>
    <row r="502" spans="1:38" ht="12.75" customHeight="1">
      <c r="A502" s="42" t="s">
        <v>568</v>
      </c>
      <c r="B502" s="33" t="s">
        <v>560</v>
      </c>
      <c r="C502" s="27">
        <v>49</v>
      </c>
      <c r="D502" s="77" t="s">
        <v>196</v>
      </c>
      <c r="E502" s="33">
        <v>0</v>
      </c>
      <c r="F502" s="33" t="s">
        <v>531</v>
      </c>
      <c r="G502" s="33" t="s">
        <v>532</v>
      </c>
      <c r="H502" s="33" t="s">
        <v>390</v>
      </c>
      <c r="I502" s="17" t="b">
        <v>1</v>
      </c>
      <c r="J502" s="17" t="s">
        <v>43</v>
      </c>
      <c r="K502" s="21" t="str">
        <f t="shared" si="14"/>
        <v>https://version2.ice-d.org/antarctica/sample/RW2020-MM-16-29/</v>
      </c>
      <c r="L502" s="42" t="s">
        <v>39</v>
      </c>
      <c r="M502" s="42"/>
      <c r="O502" s="17" t="s">
        <v>533</v>
      </c>
      <c r="P502" s="22">
        <v>-76.190103800000003</v>
      </c>
      <c r="Q502" s="22">
        <v>161.94218699999999</v>
      </c>
      <c r="R502" s="22">
        <v>2</v>
      </c>
      <c r="S502" s="22">
        <v>298</v>
      </c>
      <c r="T502" s="22">
        <v>243</v>
      </c>
      <c r="U502" s="23">
        <v>260</v>
      </c>
      <c r="V502" s="23" t="s">
        <v>2307</v>
      </c>
      <c r="W502" s="44" t="s">
        <v>2454</v>
      </c>
      <c r="X502" s="22">
        <f t="shared" si="12"/>
        <v>55</v>
      </c>
      <c r="Y502" s="22">
        <v>7.2</v>
      </c>
      <c r="Z502" s="22">
        <v>2.65</v>
      </c>
      <c r="AA502" s="17" t="s">
        <v>73</v>
      </c>
      <c r="AB502" s="26">
        <v>5451</v>
      </c>
      <c r="AC502" s="26">
        <v>467</v>
      </c>
      <c r="AD502" s="26">
        <v>568</v>
      </c>
      <c r="AE502" s="27">
        <v>38039</v>
      </c>
      <c r="AF502" s="27">
        <v>3257</v>
      </c>
      <c r="AG502" s="28"/>
      <c r="AH502" s="28"/>
      <c r="AI502" s="17">
        <v>2016</v>
      </c>
      <c r="AJ502" s="17">
        <v>1</v>
      </c>
      <c r="AK502" s="34">
        <v>0</v>
      </c>
    </row>
    <row r="503" spans="1:38" ht="12.75" customHeight="1">
      <c r="A503" s="42" t="s">
        <v>569</v>
      </c>
      <c r="B503" s="33" t="s">
        <v>560</v>
      </c>
      <c r="C503" s="27">
        <v>50</v>
      </c>
      <c r="D503" s="77" t="s">
        <v>196</v>
      </c>
      <c r="E503" s="33">
        <v>0</v>
      </c>
      <c r="F503" s="33" t="s">
        <v>531</v>
      </c>
      <c r="G503" s="33" t="s">
        <v>532</v>
      </c>
      <c r="H503" s="33" t="s">
        <v>390</v>
      </c>
      <c r="I503" s="17" t="b">
        <v>1</v>
      </c>
      <c r="J503" s="17" t="s">
        <v>43</v>
      </c>
      <c r="K503" s="21" t="str">
        <f t="shared" si="14"/>
        <v>https://version2.ice-d.org/antarctica/sample/RW2020-MM-16-09/</v>
      </c>
      <c r="L503" s="42" t="s">
        <v>39</v>
      </c>
      <c r="M503" s="42"/>
      <c r="O503" s="17" t="s">
        <v>533</v>
      </c>
      <c r="P503" s="22">
        <v>-76.191230000000004</v>
      </c>
      <c r="Q503" s="22">
        <v>161.95449790000001</v>
      </c>
      <c r="R503" s="22">
        <v>2</v>
      </c>
      <c r="S503" s="22">
        <v>218</v>
      </c>
      <c r="T503" s="22">
        <v>200</v>
      </c>
      <c r="U503" s="23">
        <v>260</v>
      </c>
      <c r="V503" s="23" t="s">
        <v>2307</v>
      </c>
      <c r="W503" s="44" t="s">
        <v>2454</v>
      </c>
      <c r="X503" s="22">
        <f t="shared" si="12"/>
        <v>18</v>
      </c>
      <c r="Y503" s="22">
        <v>7.1</v>
      </c>
      <c r="Z503" s="22">
        <v>2.65</v>
      </c>
      <c r="AA503" s="17" t="s">
        <v>73</v>
      </c>
      <c r="AB503" s="26">
        <v>2926</v>
      </c>
      <c r="AC503" s="26">
        <v>161</v>
      </c>
      <c r="AD503" s="26">
        <v>236</v>
      </c>
      <c r="AE503" s="27">
        <v>19238</v>
      </c>
      <c r="AF503" s="27">
        <v>1055</v>
      </c>
      <c r="AG503" s="28"/>
      <c r="AH503" s="28"/>
      <c r="AI503" s="17">
        <v>2016</v>
      </c>
      <c r="AJ503" s="17">
        <v>1</v>
      </c>
      <c r="AK503" s="34">
        <v>0</v>
      </c>
    </row>
    <row r="504" spans="1:38" ht="12.75" customHeight="1">
      <c r="A504" s="42" t="s">
        <v>570</v>
      </c>
      <c r="B504" s="33" t="s">
        <v>560</v>
      </c>
      <c r="C504" s="27">
        <v>50</v>
      </c>
      <c r="D504" s="77" t="s">
        <v>196</v>
      </c>
      <c r="E504" s="33">
        <v>0</v>
      </c>
      <c r="F504" s="33" t="s">
        <v>531</v>
      </c>
      <c r="G504" s="33" t="s">
        <v>532</v>
      </c>
      <c r="H504" s="33" t="s">
        <v>390</v>
      </c>
      <c r="I504" s="17" t="b">
        <v>1</v>
      </c>
      <c r="J504" s="17" t="s">
        <v>43</v>
      </c>
      <c r="K504" s="21" t="str">
        <f t="shared" si="14"/>
        <v>https://version2.ice-d.org/antarctica/sample/RW2020-MM-16-12/</v>
      </c>
      <c r="L504" s="42" t="s">
        <v>39</v>
      </c>
      <c r="M504" s="42"/>
      <c r="O504" s="17" t="s">
        <v>533</v>
      </c>
      <c r="P504" s="22">
        <v>-76.191635309999995</v>
      </c>
      <c r="Q504" s="22">
        <v>161.95467769999999</v>
      </c>
      <c r="R504" s="22">
        <v>2</v>
      </c>
      <c r="S504" s="22">
        <v>213</v>
      </c>
      <c r="T504" s="22">
        <v>200</v>
      </c>
      <c r="U504" s="23">
        <v>260</v>
      </c>
      <c r="V504" s="23" t="s">
        <v>2307</v>
      </c>
      <c r="W504" s="44" t="s">
        <v>2454</v>
      </c>
      <c r="X504" s="22">
        <f t="shared" si="12"/>
        <v>13</v>
      </c>
      <c r="Y504" s="22">
        <v>5.9</v>
      </c>
      <c r="Z504" s="22">
        <v>2.65</v>
      </c>
      <c r="AA504" s="17" t="s">
        <v>73</v>
      </c>
      <c r="AB504" s="26">
        <v>3306</v>
      </c>
      <c r="AC504" s="26">
        <v>578</v>
      </c>
      <c r="AD504" s="26">
        <v>610</v>
      </c>
      <c r="AE504" s="27">
        <v>21696</v>
      </c>
      <c r="AF504" s="27">
        <v>3792</v>
      </c>
      <c r="AG504" s="28"/>
      <c r="AH504" s="28"/>
      <c r="AI504" s="17">
        <v>2016</v>
      </c>
      <c r="AJ504" s="17">
        <v>1</v>
      </c>
      <c r="AK504" s="34">
        <v>0</v>
      </c>
    </row>
    <row r="505" spans="1:38" ht="12.75" customHeight="1">
      <c r="A505" s="42" t="s">
        <v>571</v>
      </c>
      <c r="B505" s="33" t="s">
        <v>560</v>
      </c>
      <c r="C505" s="27">
        <v>50</v>
      </c>
      <c r="D505" s="77" t="s">
        <v>196</v>
      </c>
      <c r="E505" s="33">
        <v>0</v>
      </c>
      <c r="F505" s="33" t="s">
        <v>531</v>
      </c>
      <c r="G505" s="33" t="s">
        <v>532</v>
      </c>
      <c r="H505" s="33" t="s">
        <v>390</v>
      </c>
      <c r="I505" s="17" t="b">
        <v>1</v>
      </c>
      <c r="J505" s="17" t="s">
        <v>43</v>
      </c>
      <c r="K505" s="21" t="str">
        <f t="shared" si="14"/>
        <v>https://version2.ice-d.org/antarctica/sample/RW2020-MM-16-23/</v>
      </c>
      <c r="L505" s="42" t="s">
        <v>39</v>
      </c>
      <c r="M505" s="42"/>
      <c r="O505" s="17" t="s">
        <v>533</v>
      </c>
      <c r="P505" s="22">
        <v>-76.192301299999997</v>
      </c>
      <c r="Q505" s="22">
        <v>161.94149300000001</v>
      </c>
      <c r="R505" s="22">
        <v>2</v>
      </c>
      <c r="S505" s="22">
        <v>249</v>
      </c>
      <c r="T505" s="22">
        <v>243</v>
      </c>
      <c r="U505" s="23">
        <v>260</v>
      </c>
      <c r="V505" s="23" t="s">
        <v>2307</v>
      </c>
      <c r="W505" s="44" t="s">
        <v>2454</v>
      </c>
      <c r="X505" s="22">
        <f t="shared" si="12"/>
        <v>6</v>
      </c>
      <c r="Y505" s="22">
        <v>6.9</v>
      </c>
      <c r="Z505" s="22">
        <v>2.65</v>
      </c>
      <c r="AA505" s="17" t="s">
        <v>73</v>
      </c>
      <c r="AB505" s="26">
        <v>2451</v>
      </c>
      <c r="AC505" s="26">
        <v>115</v>
      </c>
      <c r="AD505" s="26">
        <v>185</v>
      </c>
      <c r="AE505" s="27">
        <v>16649</v>
      </c>
      <c r="AF505" s="27">
        <v>784</v>
      </c>
      <c r="AG505" s="28"/>
      <c r="AH505" s="28"/>
      <c r="AI505" s="17">
        <v>2016</v>
      </c>
      <c r="AJ505" s="17">
        <v>1</v>
      </c>
      <c r="AK505" s="34">
        <v>0</v>
      </c>
    </row>
    <row r="506" spans="1:38" ht="12.75" customHeight="1">
      <c r="A506" s="42" t="s">
        <v>572</v>
      </c>
      <c r="B506" s="33" t="s">
        <v>560</v>
      </c>
      <c r="C506" s="27">
        <v>50</v>
      </c>
      <c r="D506" s="77" t="s">
        <v>196</v>
      </c>
      <c r="E506" s="33">
        <v>0</v>
      </c>
      <c r="F506" s="33" t="s">
        <v>531</v>
      </c>
      <c r="G506" s="33" t="s">
        <v>532</v>
      </c>
      <c r="H506" s="33" t="s">
        <v>390</v>
      </c>
      <c r="I506" s="17" t="b">
        <v>1</v>
      </c>
      <c r="J506" s="17" t="s">
        <v>43</v>
      </c>
      <c r="K506" s="21" t="str">
        <f t="shared" si="14"/>
        <v>https://version2.ice-d.org/antarctica/sample/RW2020-MM-16-10/</v>
      </c>
      <c r="L506" s="42" t="s">
        <v>39</v>
      </c>
      <c r="M506" s="42"/>
      <c r="O506" s="17" t="s">
        <v>533</v>
      </c>
      <c r="P506" s="22">
        <v>-76.191820590000006</v>
      </c>
      <c r="Q506" s="22">
        <v>161.95390570000001</v>
      </c>
      <c r="R506" s="22">
        <v>2</v>
      </c>
      <c r="S506" s="22">
        <v>203</v>
      </c>
      <c r="T506" s="22">
        <v>200</v>
      </c>
      <c r="U506" s="23">
        <v>260</v>
      </c>
      <c r="V506" s="23" t="s">
        <v>2307</v>
      </c>
      <c r="W506" s="44" t="s">
        <v>2454</v>
      </c>
      <c r="X506" s="22">
        <f t="shared" si="12"/>
        <v>3</v>
      </c>
      <c r="Y506" s="22">
        <v>4.4000000000000004</v>
      </c>
      <c r="Z506" s="22">
        <v>2.65</v>
      </c>
      <c r="AA506" s="17" t="s">
        <v>73</v>
      </c>
      <c r="AB506" s="26">
        <v>17</v>
      </c>
      <c r="AC506" s="26">
        <v>1088</v>
      </c>
      <c r="AD506" s="26">
        <v>1088</v>
      </c>
      <c r="AE506" s="27">
        <v>100</v>
      </c>
      <c r="AF506" s="27">
        <v>6372</v>
      </c>
      <c r="AG506" s="28"/>
      <c r="AH506" s="28"/>
      <c r="AI506" s="17">
        <v>2016</v>
      </c>
      <c r="AJ506" s="17">
        <v>1</v>
      </c>
      <c r="AK506" s="34">
        <v>0</v>
      </c>
    </row>
    <row r="507" spans="1:38" ht="12.75" customHeight="1">
      <c r="A507" s="42" t="s">
        <v>573</v>
      </c>
      <c r="B507" s="33" t="s">
        <v>560</v>
      </c>
      <c r="C507" s="27">
        <v>50</v>
      </c>
      <c r="D507" s="77" t="s">
        <v>196</v>
      </c>
      <c r="E507" s="33">
        <v>0</v>
      </c>
      <c r="F507" s="33" t="s">
        <v>531</v>
      </c>
      <c r="G507" s="33" t="s">
        <v>532</v>
      </c>
      <c r="H507" s="33" t="s">
        <v>390</v>
      </c>
      <c r="I507" s="17" t="b">
        <v>1</v>
      </c>
      <c r="J507" s="17" t="s">
        <v>43</v>
      </c>
      <c r="K507" s="21" t="str">
        <f t="shared" si="14"/>
        <v>https://version2.ice-d.org/antarctica/sample/RW2020-MM-16-17/</v>
      </c>
      <c r="L507" s="42" t="s">
        <v>39</v>
      </c>
      <c r="M507" s="42"/>
      <c r="O507" s="17" t="s">
        <v>533</v>
      </c>
      <c r="P507" s="22">
        <v>-76.193332490000003</v>
      </c>
      <c r="Q507" s="22">
        <v>161.9350389</v>
      </c>
      <c r="R507" s="22">
        <v>2</v>
      </c>
      <c r="S507" s="22">
        <v>244</v>
      </c>
      <c r="T507" s="22">
        <v>243</v>
      </c>
      <c r="U507" s="23">
        <v>260</v>
      </c>
      <c r="V507" s="23" t="s">
        <v>2307</v>
      </c>
      <c r="W507" s="44" t="s">
        <v>2454</v>
      </c>
      <c r="X507" s="22">
        <f t="shared" si="12"/>
        <v>1</v>
      </c>
      <c r="Y507" s="22">
        <v>3.5</v>
      </c>
      <c r="Z507" s="22">
        <v>2.65</v>
      </c>
      <c r="AA507" s="17" t="s">
        <v>73</v>
      </c>
      <c r="AB507" s="26">
        <v>16</v>
      </c>
      <c r="AC507" s="26">
        <v>673</v>
      </c>
      <c r="AD507" s="26">
        <v>673</v>
      </c>
      <c r="AE507" s="27">
        <v>100</v>
      </c>
      <c r="AF507" s="27">
        <v>4144</v>
      </c>
      <c r="AG507" s="28"/>
      <c r="AH507" s="28"/>
      <c r="AI507" s="17">
        <v>2016</v>
      </c>
      <c r="AJ507" s="17">
        <v>1</v>
      </c>
      <c r="AK507" s="34">
        <v>0</v>
      </c>
    </row>
    <row r="508" spans="1:38" ht="15.75" customHeight="1">
      <c r="A508" s="32" t="s">
        <v>574</v>
      </c>
      <c r="B508" s="19" t="s">
        <v>575</v>
      </c>
      <c r="C508" s="17">
        <v>51</v>
      </c>
      <c r="D508" s="77" t="s">
        <v>196</v>
      </c>
      <c r="E508" s="33">
        <v>0</v>
      </c>
      <c r="F508" s="19" t="s">
        <v>576</v>
      </c>
      <c r="G508" s="19" t="s">
        <v>577</v>
      </c>
      <c r="H508" s="19" t="s">
        <v>263</v>
      </c>
      <c r="I508" s="17" t="b">
        <v>1</v>
      </c>
      <c r="J508" s="17" t="s">
        <v>247</v>
      </c>
      <c r="K508" s="21" t="str">
        <f t="shared" si="14"/>
        <v>https://version2.ice-d.org/antarctica/sample/04-DW-046-ERR/</v>
      </c>
      <c r="L508" s="32" t="s">
        <v>39</v>
      </c>
      <c r="M508" s="95"/>
      <c r="O508" s="17" t="s">
        <v>578</v>
      </c>
      <c r="P508" s="79">
        <v>-77.194919999999996</v>
      </c>
      <c r="Q508" s="79">
        <v>159.84098</v>
      </c>
      <c r="R508" s="22"/>
      <c r="S508" s="80">
        <v>1896</v>
      </c>
      <c r="T508" s="19">
        <v>1875</v>
      </c>
      <c r="U508" s="23">
        <v>340</v>
      </c>
      <c r="V508" s="8" t="s">
        <v>2063</v>
      </c>
      <c r="W508" s="44" t="s">
        <v>2429</v>
      </c>
      <c r="X508" s="22">
        <f t="shared" si="12"/>
        <v>21</v>
      </c>
      <c r="Y508" s="22"/>
      <c r="Z508" s="22"/>
      <c r="AB508" s="81">
        <v>7909</v>
      </c>
      <c r="AC508" s="81">
        <v>218</v>
      </c>
      <c r="AD508" s="60">
        <v>698</v>
      </c>
      <c r="AE508" s="27"/>
      <c r="AF508" s="27"/>
      <c r="AG508" s="27"/>
      <c r="AH508" s="27"/>
      <c r="AK508" s="17">
        <v>0</v>
      </c>
      <c r="AL508" s="17" t="s">
        <v>579</v>
      </c>
    </row>
    <row r="509" spans="1:38" ht="15.75" customHeight="1">
      <c r="A509" s="32" t="s">
        <v>580</v>
      </c>
      <c r="B509" s="19" t="s">
        <v>575</v>
      </c>
      <c r="C509" s="17">
        <v>51</v>
      </c>
      <c r="D509" s="77" t="s">
        <v>196</v>
      </c>
      <c r="E509" s="19">
        <v>0</v>
      </c>
      <c r="F509" s="19" t="s">
        <v>576</v>
      </c>
      <c r="G509" s="19" t="s">
        <v>577</v>
      </c>
      <c r="H509" s="19" t="s">
        <v>263</v>
      </c>
      <c r="I509" s="17" t="b">
        <v>1</v>
      </c>
      <c r="J509" s="17" t="s">
        <v>247</v>
      </c>
      <c r="K509" s="21" t="str">
        <f t="shared" si="14"/>
        <v>https://version2.ice-d.org/antarctica/sample/04-DW-043-BR/</v>
      </c>
      <c r="L509" s="32" t="s">
        <v>39</v>
      </c>
      <c r="M509" s="166"/>
      <c r="O509" s="17" t="s">
        <v>578</v>
      </c>
      <c r="P509" s="22">
        <v>-77.194916669999998</v>
      </c>
      <c r="Q509" s="22">
        <v>159.8409833</v>
      </c>
      <c r="R509" s="22"/>
      <c r="S509" s="22">
        <v>1896</v>
      </c>
      <c r="T509" s="19">
        <v>1875</v>
      </c>
      <c r="U509" s="23">
        <v>340</v>
      </c>
      <c r="V509" s="8" t="s">
        <v>2063</v>
      </c>
      <c r="W509" s="44" t="s">
        <v>2429</v>
      </c>
      <c r="X509" s="22">
        <f t="shared" si="12"/>
        <v>21</v>
      </c>
      <c r="Y509" s="22">
        <v>4</v>
      </c>
      <c r="Z509" s="22">
        <v>2.2000000000000002</v>
      </c>
      <c r="AA509" s="17" t="s">
        <v>58</v>
      </c>
      <c r="AB509" s="26">
        <v>7596</v>
      </c>
      <c r="AC509" s="26">
        <v>196</v>
      </c>
      <c r="AD509" s="26">
        <v>653</v>
      </c>
      <c r="AE509" s="27">
        <v>12068041.25</v>
      </c>
      <c r="AF509" s="27">
        <v>343761.18979999999</v>
      </c>
      <c r="AG509" s="27">
        <v>66725923.490000002</v>
      </c>
      <c r="AH509" s="27">
        <v>2162712.0639999998</v>
      </c>
      <c r="AI509" s="17">
        <v>2004</v>
      </c>
      <c r="AJ509" s="17">
        <v>1</v>
      </c>
      <c r="AK509" s="17">
        <v>0</v>
      </c>
      <c r="AL509" s="17" t="s">
        <v>579</v>
      </c>
    </row>
    <row r="510" spans="1:38" ht="12.75" customHeight="1">
      <c r="A510" s="32" t="s">
        <v>581</v>
      </c>
      <c r="B510" s="19" t="s">
        <v>575</v>
      </c>
      <c r="C510" s="17">
        <v>51</v>
      </c>
      <c r="D510" s="77" t="s">
        <v>196</v>
      </c>
      <c r="E510" s="19">
        <v>0</v>
      </c>
      <c r="F510" s="19" t="s">
        <v>576</v>
      </c>
      <c r="G510" s="19" t="s">
        <v>577</v>
      </c>
      <c r="H510" s="19" t="s">
        <v>263</v>
      </c>
      <c r="I510" s="17" t="b">
        <v>1</v>
      </c>
      <c r="J510" s="17" t="s">
        <v>247</v>
      </c>
      <c r="K510" s="21" t="str">
        <f t="shared" si="14"/>
        <v>https://version2.ice-d.org/antarctica/sample/04-DW-047-BR/</v>
      </c>
      <c r="L510" s="32" t="s">
        <v>39</v>
      </c>
      <c r="M510" s="155"/>
      <c r="O510" s="17" t="s">
        <v>578</v>
      </c>
      <c r="P510" s="22">
        <v>-77.193849999999998</v>
      </c>
      <c r="Q510" s="22">
        <v>159.84296670000001</v>
      </c>
      <c r="R510" s="22"/>
      <c r="S510" s="22">
        <v>1883</v>
      </c>
      <c r="T510" s="19">
        <v>1875</v>
      </c>
      <c r="U510" s="23">
        <v>340</v>
      </c>
      <c r="V510" s="8" t="s">
        <v>2063</v>
      </c>
      <c r="W510" s="44" t="s">
        <v>2429</v>
      </c>
      <c r="X510" s="22">
        <f t="shared" si="12"/>
        <v>8</v>
      </c>
      <c r="Y510" s="22">
        <v>6</v>
      </c>
      <c r="Z510" s="22">
        <v>2.2000000000000002</v>
      </c>
      <c r="AA510" s="17" t="s">
        <v>58</v>
      </c>
      <c r="AB510" s="26">
        <v>8041</v>
      </c>
      <c r="AC510" s="26">
        <v>229</v>
      </c>
      <c r="AD510" s="26">
        <v>717</v>
      </c>
      <c r="AE510" s="27">
        <v>17644625.649999999</v>
      </c>
      <c r="AF510" s="27">
        <v>405885.63209999999</v>
      </c>
      <c r="AG510" s="27">
        <v>75375249.439999998</v>
      </c>
      <c r="AH510" s="27">
        <v>3391556.5669999998</v>
      </c>
      <c r="AI510" s="17">
        <v>2004</v>
      </c>
      <c r="AJ510" s="17">
        <v>1</v>
      </c>
      <c r="AK510" s="17">
        <v>0</v>
      </c>
      <c r="AL510" s="17" t="s">
        <v>579</v>
      </c>
    </row>
    <row r="511" spans="1:38" ht="12.75" customHeight="1">
      <c r="A511" s="58" t="s">
        <v>582</v>
      </c>
      <c r="B511" s="19" t="s">
        <v>583</v>
      </c>
      <c r="C511" s="17">
        <v>52</v>
      </c>
      <c r="D511" s="77" t="s">
        <v>196</v>
      </c>
      <c r="E511" s="19">
        <v>0</v>
      </c>
      <c r="F511" s="19" t="s">
        <v>531</v>
      </c>
      <c r="G511" s="19" t="s">
        <v>577</v>
      </c>
      <c r="H511" s="19" t="s">
        <v>263</v>
      </c>
      <c r="I511" s="17" t="b">
        <v>1</v>
      </c>
      <c r="J511" s="17" t="s">
        <v>43</v>
      </c>
      <c r="K511" s="21" t="str">
        <f t="shared" si="14"/>
        <v>https://version2.ice-d.org/antarctica/sample/J2015-CC93/</v>
      </c>
      <c r="L511" s="58" t="s">
        <v>39</v>
      </c>
      <c r="M511" s="176" t="s">
        <v>44</v>
      </c>
      <c r="O511" s="17" t="s">
        <v>584</v>
      </c>
      <c r="P511" s="22">
        <v>-76.990200000000002</v>
      </c>
      <c r="Q511" s="22">
        <v>162.27889999999999</v>
      </c>
      <c r="R511" s="22"/>
      <c r="S511" s="22">
        <v>219</v>
      </c>
      <c r="T511" s="17">
        <v>60</v>
      </c>
      <c r="U511" s="23">
        <v>340</v>
      </c>
      <c r="V511" s="8" t="s">
        <v>2063</v>
      </c>
      <c r="W511" s="44" t="s">
        <v>2429</v>
      </c>
      <c r="X511" s="22">
        <f t="shared" si="12"/>
        <v>159</v>
      </c>
      <c r="Y511" s="22">
        <v>3.5</v>
      </c>
      <c r="Z511" s="22">
        <v>2.2000000000000002</v>
      </c>
      <c r="AA511" s="17" t="s">
        <v>73</v>
      </c>
      <c r="AB511" s="26">
        <v>4310</v>
      </c>
      <c r="AC511" s="26">
        <v>191</v>
      </c>
      <c r="AD511" s="26">
        <v>318</v>
      </c>
      <c r="AE511" s="27">
        <v>28709</v>
      </c>
      <c r="AF511" s="27">
        <v>1270</v>
      </c>
      <c r="AG511" s="28"/>
      <c r="AH511" s="28"/>
      <c r="AI511" s="17">
        <v>2013</v>
      </c>
      <c r="AJ511" s="17">
        <v>1</v>
      </c>
      <c r="AK511" s="17">
        <v>1</v>
      </c>
      <c r="AL511" s="17" t="s">
        <v>534</v>
      </c>
    </row>
    <row r="512" spans="1:38" ht="12.75" customHeight="1">
      <c r="A512" s="58" t="s">
        <v>585</v>
      </c>
      <c r="B512" s="19" t="s">
        <v>583</v>
      </c>
      <c r="C512" s="17">
        <v>52</v>
      </c>
      <c r="D512" s="77" t="s">
        <v>196</v>
      </c>
      <c r="E512" s="19">
        <v>0</v>
      </c>
      <c r="F512" s="19" t="s">
        <v>531</v>
      </c>
      <c r="G512" s="19" t="s">
        <v>577</v>
      </c>
      <c r="H512" s="19" t="s">
        <v>263</v>
      </c>
      <c r="I512" s="17" t="b">
        <v>1</v>
      </c>
      <c r="J512" s="17" t="s">
        <v>43</v>
      </c>
      <c r="K512" s="21" t="str">
        <f t="shared" si="14"/>
        <v>https://version2.ice-d.org/antarctica/sample/J2015-CC86/</v>
      </c>
      <c r="L512" s="58" t="s">
        <v>39</v>
      </c>
      <c r="M512" s="155"/>
      <c r="O512" s="17" t="s">
        <v>584</v>
      </c>
      <c r="P512" s="22">
        <v>-76.987499999999997</v>
      </c>
      <c r="Q512" s="22">
        <v>162.27459999999999</v>
      </c>
      <c r="R512" s="22"/>
      <c r="S512" s="22">
        <v>62</v>
      </c>
      <c r="T512" s="17">
        <v>60</v>
      </c>
      <c r="U512" s="23">
        <v>340</v>
      </c>
      <c r="V512" s="8" t="s">
        <v>2063</v>
      </c>
      <c r="W512" s="44" t="s">
        <v>2429</v>
      </c>
      <c r="X512" s="22">
        <f t="shared" si="12"/>
        <v>2</v>
      </c>
      <c r="Y512" s="22">
        <v>3.5</v>
      </c>
      <c r="Z512" s="22">
        <v>2.2000000000000002</v>
      </c>
      <c r="AA512" s="17" t="s">
        <v>73</v>
      </c>
      <c r="AB512" s="26">
        <v>217</v>
      </c>
      <c r="AC512" s="26">
        <v>84</v>
      </c>
      <c r="AD512" s="26">
        <v>85</v>
      </c>
      <c r="AE512" s="27">
        <v>1173.9000000000001</v>
      </c>
      <c r="AF512" s="27">
        <v>453</v>
      </c>
      <c r="AG512" s="28"/>
      <c r="AH512" s="28"/>
      <c r="AI512" s="17">
        <v>2013</v>
      </c>
      <c r="AJ512" s="17">
        <v>1</v>
      </c>
      <c r="AK512" s="17">
        <v>0</v>
      </c>
    </row>
    <row r="513" spans="1:39" ht="12.75" customHeight="1">
      <c r="A513" s="58" t="s">
        <v>586</v>
      </c>
      <c r="B513" s="19" t="s">
        <v>583</v>
      </c>
      <c r="C513" s="17">
        <v>52</v>
      </c>
      <c r="D513" s="77" t="s">
        <v>196</v>
      </c>
      <c r="E513" s="19">
        <v>0</v>
      </c>
      <c r="F513" s="19" t="s">
        <v>531</v>
      </c>
      <c r="G513" s="19" t="s">
        <v>577</v>
      </c>
      <c r="H513" s="19" t="s">
        <v>263</v>
      </c>
      <c r="I513" s="17" t="b">
        <v>1</v>
      </c>
      <c r="J513" s="17" t="s">
        <v>43</v>
      </c>
      <c r="K513" s="21" t="str">
        <f t="shared" si="14"/>
        <v>https://version2.ice-d.org/antarctica/sample/J2015-CC87/</v>
      </c>
      <c r="L513" s="58" t="s">
        <v>39</v>
      </c>
      <c r="M513" s="155"/>
      <c r="O513" s="17" t="s">
        <v>584</v>
      </c>
      <c r="P513" s="22">
        <v>-76.988100000000003</v>
      </c>
      <c r="Q513" s="22">
        <v>162.27510000000001</v>
      </c>
      <c r="R513" s="22"/>
      <c r="S513" s="22">
        <v>84</v>
      </c>
      <c r="T513" s="17">
        <v>60</v>
      </c>
      <c r="U513" s="23">
        <v>340</v>
      </c>
      <c r="V513" s="8" t="s">
        <v>2063</v>
      </c>
      <c r="W513" s="44" t="s">
        <v>2429</v>
      </c>
      <c r="X513" s="22">
        <f t="shared" si="12"/>
        <v>24</v>
      </c>
      <c r="Y513" s="22">
        <v>5.75</v>
      </c>
      <c r="Z513" s="22">
        <v>2.2000000000000002</v>
      </c>
      <c r="AA513" s="17" t="s">
        <v>73</v>
      </c>
      <c r="AB513" s="26">
        <v>867</v>
      </c>
      <c r="AC513" s="26">
        <v>119</v>
      </c>
      <c r="AD513" s="26">
        <v>130</v>
      </c>
      <c r="AE513" s="27">
        <v>5158.6000000000004</v>
      </c>
      <c r="AF513" s="27">
        <v>708</v>
      </c>
      <c r="AG513" s="28"/>
      <c r="AH513" s="28"/>
      <c r="AI513" s="17">
        <v>2013</v>
      </c>
      <c r="AJ513" s="17">
        <v>1</v>
      </c>
      <c r="AK513" s="17">
        <v>0</v>
      </c>
    </row>
    <row r="514" spans="1:39" ht="12.75" customHeight="1">
      <c r="A514" s="58" t="s">
        <v>587</v>
      </c>
      <c r="B514" s="19" t="s">
        <v>583</v>
      </c>
      <c r="C514" s="17">
        <v>52</v>
      </c>
      <c r="D514" s="77" t="s">
        <v>196</v>
      </c>
      <c r="E514" s="19">
        <v>0</v>
      </c>
      <c r="F514" s="19" t="s">
        <v>531</v>
      </c>
      <c r="G514" s="19" t="s">
        <v>577</v>
      </c>
      <c r="H514" s="19" t="s">
        <v>263</v>
      </c>
      <c r="I514" s="17" t="b">
        <v>1</v>
      </c>
      <c r="J514" s="17" t="s">
        <v>43</v>
      </c>
      <c r="K514" s="21" t="str">
        <f t="shared" si="14"/>
        <v>https://version2.ice-d.org/antarctica/sample/J2015-CC89/</v>
      </c>
      <c r="L514" s="58" t="s">
        <v>39</v>
      </c>
      <c r="M514" s="155"/>
      <c r="O514" s="17" t="s">
        <v>584</v>
      </c>
      <c r="P514" s="22">
        <v>-76.988100000000003</v>
      </c>
      <c r="Q514" s="22">
        <v>162.2765</v>
      </c>
      <c r="R514" s="22"/>
      <c r="S514" s="22">
        <v>86</v>
      </c>
      <c r="T514" s="17">
        <v>60</v>
      </c>
      <c r="U514" s="23">
        <v>340</v>
      </c>
      <c r="V514" s="8" t="s">
        <v>2063</v>
      </c>
      <c r="W514" s="44" t="s">
        <v>2429</v>
      </c>
      <c r="X514" s="22">
        <f t="shared" si="12"/>
        <v>26</v>
      </c>
      <c r="Y514" s="22">
        <v>4.5</v>
      </c>
      <c r="Z514" s="22">
        <v>2.2000000000000002</v>
      </c>
      <c r="AA514" s="17" t="s">
        <v>73</v>
      </c>
      <c r="AB514" s="26">
        <v>827</v>
      </c>
      <c r="AC514" s="26">
        <v>111</v>
      </c>
      <c r="AD514" s="26">
        <v>121</v>
      </c>
      <c r="AE514" s="27">
        <v>4974.8</v>
      </c>
      <c r="AF514" s="27">
        <v>668</v>
      </c>
      <c r="AG514" s="28"/>
      <c r="AH514" s="28"/>
      <c r="AI514" s="17">
        <v>2013</v>
      </c>
      <c r="AJ514" s="17">
        <v>1</v>
      </c>
      <c r="AK514" s="17">
        <v>0</v>
      </c>
    </row>
    <row r="515" spans="1:39" ht="12.75" customHeight="1">
      <c r="A515" s="58" t="s">
        <v>588</v>
      </c>
      <c r="B515" s="19" t="s">
        <v>583</v>
      </c>
      <c r="C515" s="17">
        <v>52</v>
      </c>
      <c r="D515" s="77" t="s">
        <v>196</v>
      </c>
      <c r="E515" s="19">
        <v>0</v>
      </c>
      <c r="F515" s="19" t="s">
        <v>531</v>
      </c>
      <c r="G515" s="19" t="s">
        <v>577</v>
      </c>
      <c r="H515" s="19" t="s">
        <v>263</v>
      </c>
      <c r="I515" s="17" t="b">
        <v>1</v>
      </c>
      <c r="J515" s="17" t="s">
        <v>43</v>
      </c>
      <c r="K515" s="21" t="str">
        <f t="shared" si="14"/>
        <v>https://version2.ice-d.org/antarctica/sample/J2015-CC90/</v>
      </c>
      <c r="L515" s="58" t="s">
        <v>39</v>
      </c>
      <c r="M515" s="155"/>
      <c r="O515" s="17" t="s">
        <v>584</v>
      </c>
      <c r="P515" s="22">
        <v>-76.988100000000003</v>
      </c>
      <c r="Q515" s="22">
        <v>162.2765</v>
      </c>
      <c r="R515" s="22"/>
      <c r="S515" s="22">
        <v>87</v>
      </c>
      <c r="T515" s="17">
        <v>60</v>
      </c>
      <c r="U515" s="23">
        <v>340</v>
      </c>
      <c r="V515" s="8" t="s">
        <v>2063</v>
      </c>
      <c r="W515" s="44" t="s">
        <v>2429</v>
      </c>
      <c r="X515" s="22">
        <f t="shared" si="12"/>
        <v>27</v>
      </c>
      <c r="Y515" s="22">
        <v>3</v>
      </c>
      <c r="Z515" s="22">
        <v>2.2000000000000002</v>
      </c>
      <c r="AA515" s="17" t="s">
        <v>51</v>
      </c>
      <c r="AB515" s="26">
        <v>1027</v>
      </c>
      <c r="AC515" s="26">
        <v>140</v>
      </c>
      <c r="AD515" s="26">
        <v>153</v>
      </c>
      <c r="AE515" s="27">
        <v>6249.3</v>
      </c>
      <c r="AF515" s="27">
        <v>853</v>
      </c>
      <c r="AG515" s="28"/>
      <c r="AH515" s="28"/>
      <c r="AI515" s="17">
        <v>2013</v>
      </c>
      <c r="AJ515" s="17">
        <v>1</v>
      </c>
      <c r="AK515" s="17">
        <v>0</v>
      </c>
    </row>
    <row r="516" spans="1:39" ht="12.75" customHeight="1">
      <c r="A516" s="58" t="s">
        <v>589</v>
      </c>
      <c r="B516" s="19" t="s">
        <v>583</v>
      </c>
      <c r="C516" s="17">
        <v>52</v>
      </c>
      <c r="D516" s="77" t="s">
        <v>196</v>
      </c>
      <c r="E516" s="19">
        <v>0</v>
      </c>
      <c r="F516" s="19" t="s">
        <v>531</v>
      </c>
      <c r="G516" s="19" t="s">
        <v>577</v>
      </c>
      <c r="H516" s="19" t="s">
        <v>263</v>
      </c>
      <c r="I516" s="17" t="b">
        <v>1</v>
      </c>
      <c r="J516" s="17" t="s">
        <v>43</v>
      </c>
      <c r="K516" s="21" t="str">
        <f t="shared" si="14"/>
        <v>https://version2.ice-d.org/antarctica/sample/J2015-CC91/</v>
      </c>
      <c r="L516" s="58" t="s">
        <v>39</v>
      </c>
      <c r="M516" s="155"/>
      <c r="O516" s="17" t="s">
        <v>584</v>
      </c>
      <c r="P516" s="22">
        <v>-76.989599999999996</v>
      </c>
      <c r="Q516" s="22">
        <v>162.2773</v>
      </c>
      <c r="R516" s="22"/>
      <c r="S516" s="22">
        <v>179</v>
      </c>
      <c r="T516" s="17">
        <v>60</v>
      </c>
      <c r="U516" s="23">
        <v>340</v>
      </c>
      <c r="V516" s="8" t="s">
        <v>2063</v>
      </c>
      <c r="W516" s="44" t="s">
        <v>2429</v>
      </c>
      <c r="X516" s="22">
        <f t="shared" si="12"/>
        <v>119</v>
      </c>
      <c r="Y516" s="22">
        <v>3.25</v>
      </c>
      <c r="Z516" s="22">
        <v>2.2000000000000002</v>
      </c>
      <c r="AA516" s="17" t="s">
        <v>73</v>
      </c>
      <c r="AB516" s="26">
        <v>6540</v>
      </c>
      <c r="AC516" s="26">
        <v>429</v>
      </c>
      <c r="AD516" s="26">
        <v>577</v>
      </c>
      <c r="AE516" s="27">
        <v>41865</v>
      </c>
      <c r="AF516" s="27">
        <v>2740</v>
      </c>
      <c r="AG516" s="28"/>
      <c r="AH516" s="28"/>
      <c r="AI516" s="17">
        <v>2013</v>
      </c>
      <c r="AJ516" s="17">
        <v>1</v>
      </c>
      <c r="AK516" s="17">
        <v>0</v>
      </c>
    </row>
    <row r="517" spans="1:39" ht="12.75" customHeight="1">
      <c r="A517" s="58" t="s">
        <v>590</v>
      </c>
      <c r="B517" s="19" t="s">
        <v>583</v>
      </c>
      <c r="C517" s="17">
        <v>52</v>
      </c>
      <c r="D517" s="77" t="s">
        <v>196</v>
      </c>
      <c r="E517" s="19">
        <v>0</v>
      </c>
      <c r="F517" s="19" t="s">
        <v>531</v>
      </c>
      <c r="G517" s="19" t="s">
        <v>577</v>
      </c>
      <c r="H517" s="19" t="s">
        <v>263</v>
      </c>
      <c r="I517" s="17" t="b">
        <v>1</v>
      </c>
      <c r="J517" s="17" t="s">
        <v>43</v>
      </c>
      <c r="K517" s="21" t="str">
        <f t="shared" si="14"/>
        <v>https://version2.ice-d.org/antarctica/sample/J2015-CC92/</v>
      </c>
      <c r="L517" s="58" t="s">
        <v>39</v>
      </c>
      <c r="M517" s="155"/>
      <c r="O517" s="17" t="s">
        <v>584</v>
      </c>
      <c r="P517" s="22">
        <v>-76.989599999999996</v>
      </c>
      <c r="Q517" s="22">
        <v>162.2773</v>
      </c>
      <c r="R517" s="22"/>
      <c r="S517" s="22">
        <v>179</v>
      </c>
      <c r="T517" s="17">
        <v>60</v>
      </c>
      <c r="U517" s="23">
        <v>340</v>
      </c>
      <c r="V517" s="8" t="s">
        <v>2063</v>
      </c>
      <c r="W517" s="44" t="s">
        <v>2429</v>
      </c>
      <c r="X517" s="22">
        <f t="shared" si="12"/>
        <v>119</v>
      </c>
      <c r="Y517" s="22">
        <v>4.5</v>
      </c>
      <c r="Z517" s="22">
        <v>2.2000000000000002</v>
      </c>
      <c r="AA517" s="17" t="s">
        <v>51</v>
      </c>
      <c r="AB517" s="26">
        <v>6009</v>
      </c>
      <c r="AC517" s="26">
        <v>316</v>
      </c>
      <c r="AD517" s="26">
        <v>475</v>
      </c>
      <c r="AE517" s="27">
        <v>38086</v>
      </c>
      <c r="AF517" s="27">
        <v>2000</v>
      </c>
      <c r="AG517" s="28"/>
      <c r="AH517" s="28"/>
      <c r="AI517" s="17">
        <v>2013</v>
      </c>
      <c r="AJ517" s="17">
        <v>1</v>
      </c>
      <c r="AK517" s="17">
        <v>0</v>
      </c>
    </row>
    <row r="518" spans="1:39" ht="12.75" customHeight="1">
      <c r="A518" s="58" t="s">
        <v>591</v>
      </c>
      <c r="B518" s="19" t="s">
        <v>583</v>
      </c>
      <c r="C518" s="17">
        <v>52</v>
      </c>
      <c r="D518" s="77" t="s">
        <v>196</v>
      </c>
      <c r="E518" s="19">
        <v>0</v>
      </c>
      <c r="F518" s="19" t="s">
        <v>531</v>
      </c>
      <c r="G518" s="19" t="s">
        <v>577</v>
      </c>
      <c r="H518" s="19" t="s">
        <v>263</v>
      </c>
      <c r="I518" s="17" t="b">
        <v>1</v>
      </c>
      <c r="J518" s="17" t="s">
        <v>43</v>
      </c>
      <c r="K518" s="21" t="str">
        <f t="shared" si="14"/>
        <v>https://version2.ice-d.org/antarctica/sample/J2015-CC95/</v>
      </c>
      <c r="L518" s="58" t="s">
        <v>39</v>
      </c>
      <c r="M518" s="155"/>
      <c r="O518" s="17" t="s">
        <v>584</v>
      </c>
      <c r="P518" s="22">
        <v>-76.990799999999993</v>
      </c>
      <c r="Q518" s="22">
        <v>162.27969999999999</v>
      </c>
      <c r="R518" s="22"/>
      <c r="S518" s="22">
        <v>245</v>
      </c>
      <c r="T518" s="17">
        <v>60</v>
      </c>
      <c r="U518" s="23">
        <v>340</v>
      </c>
      <c r="V518" s="8" t="s">
        <v>2063</v>
      </c>
      <c r="W518" s="44" t="s">
        <v>2429</v>
      </c>
      <c r="X518" s="22">
        <f t="shared" si="12"/>
        <v>185</v>
      </c>
      <c r="Y518" s="22">
        <v>4.5</v>
      </c>
      <c r="Z518" s="22">
        <v>2.2000000000000002</v>
      </c>
      <c r="AA518" s="17" t="s">
        <v>73</v>
      </c>
      <c r="AB518" s="26">
        <v>6610</v>
      </c>
      <c r="AC518" s="26">
        <v>321</v>
      </c>
      <c r="AD518" s="26">
        <v>505</v>
      </c>
      <c r="AE518" s="27">
        <v>44992</v>
      </c>
      <c r="AF518" s="27">
        <v>2180</v>
      </c>
      <c r="AG518" s="28"/>
      <c r="AH518" s="28"/>
      <c r="AI518" s="17">
        <v>2013</v>
      </c>
      <c r="AJ518" s="17">
        <v>1</v>
      </c>
      <c r="AK518" s="17">
        <v>0</v>
      </c>
    </row>
    <row r="519" spans="1:39" ht="12.75" customHeight="1">
      <c r="A519" s="58" t="s">
        <v>592</v>
      </c>
      <c r="B519" s="19" t="s">
        <v>583</v>
      </c>
      <c r="C519" s="17">
        <v>52</v>
      </c>
      <c r="D519" s="77" t="s">
        <v>196</v>
      </c>
      <c r="E519" s="19">
        <v>0</v>
      </c>
      <c r="F519" s="19" t="s">
        <v>531</v>
      </c>
      <c r="G519" s="19" t="s">
        <v>577</v>
      </c>
      <c r="H519" s="19" t="s">
        <v>263</v>
      </c>
      <c r="I519" s="17" t="b">
        <v>1</v>
      </c>
      <c r="J519" s="17" t="s">
        <v>43</v>
      </c>
      <c r="K519" s="21" t="str">
        <f t="shared" si="14"/>
        <v>https://version2.ice-d.org/antarctica/sample/J2015-CC98/</v>
      </c>
      <c r="L519" s="58" t="s">
        <v>39</v>
      </c>
      <c r="M519" s="155"/>
      <c r="O519" s="17" t="s">
        <v>584</v>
      </c>
      <c r="P519" s="22">
        <v>-76.991500000000002</v>
      </c>
      <c r="Q519" s="22">
        <v>162.27979999999999</v>
      </c>
      <c r="R519" s="22"/>
      <c r="S519" s="22">
        <v>264</v>
      </c>
      <c r="T519" s="17">
        <v>60</v>
      </c>
      <c r="U519" s="23">
        <v>340</v>
      </c>
      <c r="V519" s="8" t="s">
        <v>2063</v>
      </c>
      <c r="W519" s="44" t="s">
        <v>2429</v>
      </c>
      <c r="X519" s="22">
        <f t="shared" si="12"/>
        <v>204</v>
      </c>
      <c r="Y519" s="22">
        <v>4.25</v>
      </c>
      <c r="Z519" s="22">
        <v>2.2000000000000002</v>
      </c>
      <c r="AA519" s="17" t="s">
        <v>73</v>
      </c>
      <c r="AB519" s="26">
        <v>6408</v>
      </c>
      <c r="AC519" s="26">
        <v>277</v>
      </c>
      <c r="AD519" s="26">
        <v>469</v>
      </c>
      <c r="AE519" s="27">
        <v>44670</v>
      </c>
      <c r="AF519" s="27">
        <v>1930</v>
      </c>
      <c r="AG519" s="28"/>
      <c r="AH519" s="28"/>
      <c r="AI519" s="17">
        <v>2013</v>
      </c>
      <c r="AJ519" s="17">
        <v>1</v>
      </c>
      <c r="AK519" s="17">
        <v>0</v>
      </c>
    </row>
    <row r="520" spans="1:39" ht="12.75" customHeight="1">
      <c r="A520" s="58" t="s">
        <v>593</v>
      </c>
      <c r="B520" s="19" t="s">
        <v>583</v>
      </c>
      <c r="C520" s="17">
        <v>52</v>
      </c>
      <c r="D520" s="77" t="s">
        <v>196</v>
      </c>
      <c r="E520" s="19">
        <v>0</v>
      </c>
      <c r="F520" s="19" t="s">
        <v>531</v>
      </c>
      <c r="G520" s="19" t="s">
        <v>577</v>
      </c>
      <c r="H520" s="19" t="s">
        <v>263</v>
      </c>
      <c r="I520" s="17" t="b">
        <v>1</v>
      </c>
      <c r="J520" s="17" t="s">
        <v>43</v>
      </c>
      <c r="K520" s="21" t="str">
        <f t="shared" si="14"/>
        <v>https://version2.ice-d.org/antarctica/sample/J2015-CC99/</v>
      </c>
      <c r="L520" s="58" t="s">
        <v>39</v>
      </c>
      <c r="M520" s="155"/>
      <c r="O520" s="17" t="s">
        <v>584</v>
      </c>
      <c r="P520" s="22">
        <v>-76.991399999999999</v>
      </c>
      <c r="Q520" s="22">
        <v>162.27979999999999</v>
      </c>
      <c r="R520" s="22"/>
      <c r="S520" s="22">
        <v>263</v>
      </c>
      <c r="T520" s="17">
        <v>60</v>
      </c>
      <c r="U520" s="23">
        <v>340</v>
      </c>
      <c r="V520" s="8" t="s">
        <v>2063</v>
      </c>
      <c r="W520" s="44" t="s">
        <v>2429</v>
      </c>
      <c r="X520" s="22">
        <f t="shared" si="12"/>
        <v>203</v>
      </c>
      <c r="Y520" s="22">
        <v>3.9</v>
      </c>
      <c r="Z520" s="22">
        <v>2.2000000000000002</v>
      </c>
      <c r="AA520" s="17" t="s">
        <v>73</v>
      </c>
      <c r="AB520" s="26">
        <v>6301</v>
      </c>
      <c r="AC520" s="26">
        <v>554</v>
      </c>
      <c r="AD520" s="26">
        <v>668</v>
      </c>
      <c r="AE520" s="27">
        <v>43956</v>
      </c>
      <c r="AF520" s="27">
        <v>3860</v>
      </c>
      <c r="AG520" s="28"/>
      <c r="AH520" s="28"/>
      <c r="AI520" s="17">
        <v>2013</v>
      </c>
      <c r="AJ520" s="17">
        <v>1</v>
      </c>
      <c r="AK520" s="17">
        <v>0</v>
      </c>
      <c r="AM520" s="17">
        <v>68</v>
      </c>
    </row>
    <row r="521" spans="1:39" ht="12.75" customHeight="1">
      <c r="A521" s="74" t="s">
        <v>594</v>
      </c>
      <c r="B521" s="19" t="s">
        <v>595</v>
      </c>
      <c r="C521" s="17">
        <v>53</v>
      </c>
      <c r="D521" s="77" t="s">
        <v>196</v>
      </c>
      <c r="E521" s="19">
        <v>0</v>
      </c>
      <c r="F521" s="19" t="s">
        <v>531</v>
      </c>
      <c r="G521" s="19" t="s">
        <v>577</v>
      </c>
      <c r="H521" s="19" t="s">
        <v>263</v>
      </c>
      <c r="I521" s="17" t="b">
        <v>1</v>
      </c>
      <c r="J521" s="17" t="s">
        <v>43</v>
      </c>
      <c r="K521" s="21" t="str">
        <f t="shared" si="14"/>
        <v>https://version2.ice-d.org/antarctica/sample/J2015-GR37/</v>
      </c>
      <c r="L521" s="74" t="s">
        <v>596</v>
      </c>
      <c r="M521" s="175"/>
      <c r="O521" s="17" t="s">
        <v>584</v>
      </c>
      <c r="P521" s="22">
        <v>-77.004499999999993</v>
      </c>
      <c r="Q521" s="22">
        <v>161.7595</v>
      </c>
      <c r="R521" s="22"/>
      <c r="S521" s="22">
        <v>524</v>
      </c>
      <c r="T521" s="17">
        <v>472</v>
      </c>
      <c r="U521" s="23">
        <v>340</v>
      </c>
      <c r="V521" s="8" t="s">
        <v>2063</v>
      </c>
      <c r="W521" s="44" t="s">
        <v>2429</v>
      </c>
      <c r="X521" s="22">
        <f t="shared" si="12"/>
        <v>52</v>
      </c>
      <c r="Y521" s="22">
        <v>4.5</v>
      </c>
      <c r="Z521" s="22">
        <v>2.2000000000000002</v>
      </c>
      <c r="AA521" s="17" t="s">
        <v>51</v>
      </c>
      <c r="AB521" s="26">
        <v>8373</v>
      </c>
      <c r="AC521" s="26">
        <v>2750</v>
      </c>
      <c r="AD521" s="26">
        <v>2794</v>
      </c>
      <c r="AE521" s="27">
        <v>72619</v>
      </c>
      <c r="AF521" s="27">
        <v>23800</v>
      </c>
      <c r="AG521" s="28"/>
      <c r="AH521" s="28"/>
      <c r="AI521" s="17">
        <v>2013</v>
      </c>
      <c r="AJ521" s="17">
        <v>1</v>
      </c>
      <c r="AK521" s="17">
        <v>1</v>
      </c>
      <c r="AL521" s="17" t="s">
        <v>597</v>
      </c>
    </row>
    <row r="522" spans="1:39" ht="12.75" customHeight="1">
      <c r="A522" s="74" t="s">
        <v>598</v>
      </c>
      <c r="B522" s="19" t="s">
        <v>595</v>
      </c>
      <c r="C522" s="17">
        <v>53</v>
      </c>
      <c r="D522" s="77" t="s">
        <v>196</v>
      </c>
      <c r="E522" s="19">
        <v>0</v>
      </c>
      <c r="F522" s="19" t="s">
        <v>531</v>
      </c>
      <c r="G522" s="19" t="s">
        <v>577</v>
      </c>
      <c r="H522" s="19" t="s">
        <v>263</v>
      </c>
      <c r="I522" s="17" t="b">
        <v>1</v>
      </c>
      <c r="J522" s="17" t="s">
        <v>43</v>
      </c>
      <c r="K522" s="21" t="str">
        <f t="shared" si="14"/>
        <v>https://version2.ice-d.org/antarctica/sample/J2015-GR40/</v>
      </c>
      <c r="L522" s="74" t="s">
        <v>596</v>
      </c>
      <c r="M522" s="155"/>
      <c r="O522" s="17" t="s">
        <v>584</v>
      </c>
      <c r="P522" s="22">
        <v>-77.0047</v>
      </c>
      <c r="Q522" s="22">
        <v>161.7602</v>
      </c>
      <c r="R522" s="22"/>
      <c r="S522" s="22">
        <v>539</v>
      </c>
      <c r="T522" s="17">
        <v>472</v>
      </c>
      <c r="U522" s="23">
        <v>340</v>
      </c>
      <c r="V522" s="8" t="s">
        <v>2063</v>
      </c>
      <c r="W522" s="44" t="s">
        <v>2429</v>
      </c>
      <c r="X522" s="22">
        <f t="shared" si="12"/>
        <v>67</v>
      </c>
      <c r="Y522" s="22">
        <v>5</v>
      </c>
      <c r="Z522" s="22">
        <v>2.2000000000000002</v>
      </c>
      <c r="AA522" s="17" t="s">
        <v>73</v>
      </c>
      <c r="AB522" s="26">
        <v>10089</v>
      </c>
      <c r="AC522" s="26">
        <v>1854</v>
      </c>
      <c r="AD522" s="26">
        <v>1948</v>
      </c>
      <c r="AE522" s="27">
        <v>91099</v>
      </c>
      <c r="AF522" s="27">
        <v>16700</v>
      </c>
      <c r="AG522" s="28"/>
      <c r="AH522" s="28"/>
      <c r="AI522" s="17">
        <v>2013</v>
      </c>
      <c r="AJ522" s="17">
        <v>1</v>
      </c>
      <c r="AK522" s="17">
        <v>1</v>
      </c>
      <c r="AL522" s="17" t="s">
        <v>534</v>
      </c>
    </row>
    <row r="523" spans="1:39" ht="12.75" customHeight="1">
      <c r="A523" s="74" t="s">
        <v>599</v>
      </c>
      <c r="B523" s="19" t="s">
        <v>595</v>
      </c>
      <c r="C523" s="17">
        <v>53</v>
      </c>
      <c r="D523" s="77" t="s">
        <v>196</v>
      </c>
      <c r="E523" s="19">
        <v>0</v>
      </c>
      <c r="F523" s="19" t="s">
        <v>531</v>
      </c>
      <c r="G523" s="19" t="s">
        <v>577</v>
      </c>
      <c r="H523" s="19" t="s">
        <v>263</v>
      </c>
      <c r="I523" s="17" t="b">
        <v>1</v>
      </c>
      <c r="J523" s="17" t="s">
        <v>43</v>
      </c>
      <c r="K523" s="21" t="str">
        <f t="shared" si="14"/>
        <v>https://version2.ice-d.org/antarctica/sample/J2015-GR83/</v>
      </c>
      <c r="L523" s="74" t="s">
        <v>596</v>
      </c>
      <c r="M523" s="155"/>
      <c r="O523" s="17" t="s">
        <v>584</v>
      </c>
      <c r="P523" s="22">
        <v>-76.998599999999996</v>
      </c>
      <c r="Q523" s="22">
        <v>161.78800000000001</v>
      </c>
      <c r="R523" s="22"/>
      <c r="S523" s="22">
        <v>449</v>
      </c>
      <c r="T523" s="17">
        <v>405</v>
      </c>
      <c r="U523" s="23">
        <v>340</v>
      </c>
      <c r="V523" s="8" t="s">
        <v>2063</v>
      </c>
      <c r="W523" s="44" t="s">
        <v>2429</v>
      </c>
      <c r="X523" s="22">
        <f t="shared" si="12"/>
        <v>44</v>
      </c>
      <c r="Y523" s="22">
        <v>7.5</v>
      </c>
      <c r="Z523" s="22">
        <v>2.2000000000000002</v>
      </c>
      <c r="AA523" s="17" t="s">
        <v>73</v>
      </c>
      <c r="AB523" s="26">
        <v>13608</v>
      </c>
      <c r="AC523" s="26">
        <v>3670</v>
      </c>
      <c r="AD523" s="26">
        <v>3758</v>
      </c>
      <c r="AE523" s="27">
        <v>110500</v>
      </c>
      <c r="AF523" s="27">
        <v>29700</v>
      </c>
      <c r="AG523" s="28"/>
      <c r="AH523" s="28"/>
      <c r="AI523" s="17">
        <v>2013</v>
      </c>
      <c r="AJ523" s="17">
        <v>1</v>
      </c>
      <c r="AK523" s="17">
        <v>1</v>
      </c>
    </row>
    <row r="524" spans="1:39" ht="15.75" customHeight="1">
      <c r="A524" s="74" t="s">
        <v>600</v>
      </c>
      <c r="B524" s="19" t="s">
        <v>595</v>
      </c>
      <c r="C524" s="17">
        <v>53</v>
      </c>
      <c r="D524" s="77" t="s">
        <v>196</v>
      </c>
      <c r="E524" s="19">
        <v>0</v>
      </c>
      <c r="F524" s="19" t="s">
        <v>531</v>
      </c>
      <c r="G524" s="19" t="s">
        <v>577</v>
      </c>
      <c r="H524" s="19" t="s">
        <v>263</v>
      </c>
      <c r="I524" s="17" t="b">
        <v>1</v>
      </c>
      <c r="J524" s="17" t="s">
        <v>43</v>
      </c>
      <c r="K524" s="21" t="str">
        <f t="shared" si="14"/>
        <v>https://version2.ice-d.org/antarctica/sample/J2015-GR68/</v>
      </c>
      <c r="L524" s="74" t="s">
        <v>596</v>
      </c>
      <c r="M524" s="155"/>
      <c r="O524" s="17" t="s">
        <v>584</v>
      </c>
      <c r="P524" s="22">
        <v>-77.002399999999994</v>
      </c>
      <c r="Q524" s="22">
        <v>161.7654</v>
      </c>
      <c r="R524" s="22"/>
      <c r="S524" s="22">
        <v>505</v>
      </c>
      <c r="T524" s="17">
        <v>472</v>
      </c>
      <c r="U524" s="23">
        <v>340</v>
      </c>
      <c r="V524" s="8" t="s">
        <v>2063</v>
      </c>
      <c r="W524" s="44" t="s">
        <v>2429</v>
      </c>
      <c r="X524" s="22">
        <f t="shared" si="12"/>
        <v>33</v>
      </c>
      <c r="Y524" s="22">
        <v>5.25</v>
      </c>
      <c r="Z524" s="22">
        <v>2.2000000000000002</v>
      </c>
      <c r="AA524" s="17" t="s">
        <v>73</v>
      </c>
      <c r="AB524" s="26">
        <v>5843</v>
      </c>
      <c r="AC524" s="26">
        <v>1523</v>
      </c>
      <c r="AD524" s="26">
        <v>1561</v>
      </c>
      <c r="AE524" s="27">
        <v>49580</v>
      </c>
      <c r="AF524" s="27">
        <v>12900</v>
      </c>
      <c r="AG524" s="28"/>
      <c r="AH524" s="28"/>
      <c r="AI524" s="17">
        <v>2013</v>
      </c>
      <c r="AJ524" s="17">
        <v>1</v>
      </c>
      <c r="AK524" s="17">
        <v>0</v>
      </c>
    </row>
    <row r="525" spans="1:39" ht="15.75" customHeight="1">
      <c r="A525" s="74" t="s">
        <v>601</v>
      </c>
      <c r="B525" s="19" t="s">
        <v>595</v>
      </c>
      <c r="C525" s="17">
        <v>53</v>
      </c>
      <c r="D525" s="77" t="s">
        <v>196</v>
      </c>
      <c r="E525" s="19">
        <v>0</v>
      </c>
      <c r="F525" s="19" t="s">
        <v>531</v>
      </c>
      <c r="G525" s="19" t="s">
        <v>577</v>
      </c>
      <c r="H525" s="19" t="s">
        <v>263</v>
      </c>
      <c r="I525" s="17" t="b">
        <v>1</v>
      </c>
      <c r="J525" s="17" t="s">
        <v>43</v>
      </c>
      <c r="K525" s="21" t="str">
        <f t="shared" si="14"/>
        <v>https://version2.ice-d.org/antarctica/sample/J2015-GR69/</v>
      </c>
      <c r="L525" s="74" t="s">
        <v>596</v>
      </c>
      <c r="M525" s="155"/>
      <c r="O525" s="17" t="s">
        <v>584</v>
      </c>
      <c r="P525" s="22">
        <v>-77.002399999999994</v>
      </c>
      <c r="Q525" s="22">
        <v>161.76490000000001</v>
      </c>
      <c r="R525" s="22"/>
      <c r="S525" s="22">
        <v>498</v>
      </c>
      <c r="T525" s="17">
        <v>472</v>
      </c>
      <c r="U525" s="23">
        <v>340</v>
      </c>
      <c r="V525" s="8" t="s">
        <v>2063</v>
      </c>
      <c r="W525" s="44" t="s">
        <v>2429</v>
      </c>
      <c r="X525" s="22">
        <f t="shared" si="12"/>
        <v>26</v>
      </c>
      <c r="Y525" s="22">
        <v>5.75</v>
      </c>
      <c r="Z525" s="22">
        <v>2.2000000000000002</v>
      </c>
      <c r="AA525" s="17" t="s">
        <v>73</v>
      </c>
      <c r="AB525" s="26">
        <v>6936</v>
      </c>
      <c r="AC525" s="26">
        <v>989</v>
      </c>
      <c r="AD525" s="26">
        <v>1071</v>
      </c>
      <c r="AE525" s="27">
        <v>58597</v>
      </c>
      <c r="AF525" s="27">
        <v>8340</v>
      </c>
      <c r="AG525" s="28"/>
      <c r="AH525" s="28"/>
      <c r="AI525" s="17">
        <v>2013</v>
      </c>
      <c r="AJ525" s="17">
        <v>1</v>
      </c>
      <c r="AK525" s="17">
        <v>0</v>
      </c>
    </row>
    <row r="526" spans="1:39" ht="12.75" customHeight="1">
      <c r="A526" s="74" t="s">
        <v>602</v>
      </c>
      <c r="B526" s="19" t="s">
        <v>595</v>
      </c>
      <c r="C526" s="17">
        <v>53</v>
      </c>
      <c r="D526" s="77" t="s">
        <v>196</v>
      </c>
      <c r="E526" s="19">
        <v>0</v>
      </c>
      <c r="F526" s="19" t="s">
        <v>531</v>
      </c>
      <c r="G526" s="19" t="s">
        <v>577</v>
      </c>
      <c r="H526" s="19" t="s">
        <v>263</v>
      </c>
      <c r="I526" s="17" t="b">
        <v>1</v>
      </c>
      <c r="J526" s="17" t="s">
        <v>43</v>
      </c>
      <c r="K526" s="21" t="str">
        <f t="shared" si="14"/>
        <v>https://version2.ice-d.org/antarctica/sample/J2015-GR34/</v>
      </c>
      <c r="L526" s="74" t="s">
        <v>596</v>
      </c>
      <c r="M526" s="155"/>
      <c r="O526" s="17" t="s">
        <v>584</v>
      </c>
      <c r="P526" s="22">
        <v>-77.0047</v>
      </c>
      <c r="Q526" s="22">
        <v>161.75729999999999</v>
      </c>
      <c r="R526" s="22"/>
      <c r="S526" s="22">
        <v>517</v>
      </c>
      <c r="T526" s="17">
        <v>472</v>
      </c>
      <c r="U526" s="23">
        <v>340</v>
      </c>
      <c r="V526" s="8" t="s">
        <v>2063</v>
      </c>
      <c r="W526" s="44" t="s">
        <v>2429</v>
      </c>
      <c r="X526" s="22">
        <f t="shared" si="12"/>
        <v>45</v>
      </c>
      <c r="Y526" s="22">
        <v>5</v>
      </c>
      <c r="Z526" s="22">
        <v>2.2000000000000002</v>
      </c>
      <c r="AA526" s="17" t="s">
        <v>73</v>
      </c>
      <c r="AB526" s="26">
        <v>4661</v>
      </c>
      <c r="AC526" s="26">
        <v>1802</v>
      </c>
      <c r="AD526" s="26">
        <v>1823</v>
      </c>
      <c r="AE526" s="27">
        <v>39619</v>
      </c>
      <c r="AF526" s="27">
        <v>15300</v>
      </c>
      <c r="AG526" s="28"/>
      <c r="AH526" s="28"/>
      <c r="AI526" s="17">
        <v>2013</v>
      </c>
      <c r="AJ526" s="17">
        <v>1</v>
      </c>
      <c r="AK526" s="17">
        <v>0</v>
      </c>
    </row>
    <row r="527" spans="1:39" ht="12.75" customHeight="1">
      <c r="A527" s="74" t="s">
        <v>603</v>
      </c>
      <c r="B527" s="19" t="s">
        <v>595</v>
      </c>
      <c r="C527" s="17">
        <v>53</v>
      </c>
      <c r="D527" s="77" t="s">
        <v>196</v>
      </c>
      <c r="E527" s="19">
        <v>0</v>
      </c>
      <c r="F527" s="19" t="s">
        <v>531</v>
      </c>
      <c r="G527" s="19" t="s">
        <v>577</v>
      </c>
      <c r="H527" s="19" t="s">
        <v>263</v>
      </c>
      <c r="I527" s="17" t="b">
        <v>1</v>
      </c>
      <c r="J527" s="17" t="s">
        <v>43</v>
      </c>
      <c r="K527" s="21" t="str">
        <f t="shared" si="14"/>
        <v>https://version2.ice-d.org/antarctica/sample/J2015-GR35/</v>
      </c>
      <c r="L527" s="74" t="s">
        <v>596</v>
      </c>
      <c r="M527" s="155"/>
      <c r="O527" s="17" t="s">
        <v>584</v>
      </c>
      <c r="P527" s="22">
        <v>-77.0047</v>
      </c>
      <c r="Q527" s="22">
        <v>161.75819999999999</v>
      </c>
      <c r="R527" s="22"/>
      <c r="S527" s="22">
        <v>522</v>
      </c>
      <c r="T527" s="17">
        <v>472</v>
      </c>
      <c r="U527" s="23">
        <v>340</v>
      </c>
      <c r="V527" s="8" t="s">
        <v>2063</v>
      </c>
      <c r="W527" s="44" t="s">
        <v>2429</v>
      </c>
      <c r="X527" s="22">
        <f t="shared" si="12"/>
        <v>50</v>
      </c>
      <c r="Y527" s="22">
        <v>4</v>
      </c>
      <c r="Z527" s="22">
        <v>2.2000000000000002</v>
      </c>
      <c r="AA527" s="17" t="s">
        <v>73</v>
      </c>
      <c r="AB527" s="26">
        <v>6955</v>
      </c>
      <c r="AC527" s="26">
        <v>302</v>
      </c>
      <c r="AD527" s="26">
        <v>510</v>
      </c>
      <c r="AE527" s="27">
        <v>59958</v>
      </c>
      <c r="AF527" s="27">
        <v>2600</v>
      </c>
      <c r="AG527" s="28"/>
      <c r="AH527" s="28"/>
      <c r="AI527" s="17">
        <v>2013</v>
      </c>
      <c r="AJ527" s="17">
        <v>1</v>
      </c>
      <c r="AK527" s="17">
        <v>0</v>
      </c>
    </row>
    <row r="528" spans="1:39" ht="12.75" customHeight="1">
      <c r="A528" s="74" t="s">
        <v>604</v>
      </c>
      <c r="B528" s="19" t="s">
        <v>595</v>
      </c>
      <c r="C528" s="17">
        <v>53</v>
      </c>
      <c r="D528" s="77" t="s">
        <v>196</v>
      </c>
      <c r="E528" s="19">
        <v>0</v>
      </c>
      <c r="F528" s="19" t="s">
        <v>531</v>
      </c>
      <c r="G528" s="19" t="s">
        <v>577</v>
      </c>
      <c r="H528" s="19" t="s">
        <v>263</v>
      </c>
      <c r="I528" s="17" t="b">
        <v>1</v>
      </c>
      <c r="J528" s="17" t="s">
        <v>43</v>
      </c>
      <c r="K528" s="21" t="str">
        <f t="shared" si="14"/>
        <v>https://version2.ice-d.org/antarctica/sample/J2015-GR36/</v>
      </c>
      <c r="L528" s="74" t="s">
        <v>596</v>
      </c>
      <c r="M528" s="155"/>
      <c r="O528" s="17" t="s">
        <v>584</v>
      </c>
      <c r="P528" s="22">
        <v>-77.004400000000004</v>
      </c>
      <c r="Q528" s="22">
        <v>161.75970000000001</v>
      </c>
      <c r="R528" s="22"/>
      <c r="S528" s="22">
        <v>524</v>
      </c>
      <c r="T528" s="17">
        <v>472</v>
      </c>
      <c r="U528" s="23">
        <v>340</v>
      </c>
      <c r="V528" s="8" t="s">
        <v>2063</v>
      </c>
      <c r="W528" s="44" t="s">
        <v>2429</v>
      </c>
      <c r="X528" s="22">
        <f t="shared" si="12"/>
        <v>52</v>
      </c>
      <c r="Y528" s="22">
        <v>3.75</v>
      </c>
      <c r="Z528" s="22">
        <v>2.2000000000000002</v>
      </c>
      <c r="AA528" s="17" t="s">
        <v>73</v>
      </c>
      <c r="AB528" s="26">
        <v>6591</v>
      </c>
      <c r="AC528" s="26">
        <v>259</v>
      </c>
      <c r="AD528" s="26">
        <v>468</v>
      </c>
      <c r="AE528" s="27">
        <v>54835</v>
      </c>
      <c r="AF528" s="27">
        <v>2150</v>
      </c>
      <c r="AG528" s="28"/>
      <c r="AH528" s="28"/>
      <c r="AI528" s="17">
        <v>2013</v>
      </c>
      <c r="AJ528" s="17">
        <v>1</v>
      </c>
      <c r="AK528" s="17">
        <v>0</v>
      </c>
    </row>
    <row r="529" spans="1:47" ht="12.75" customHeight="1">
      <c r="A529" s="74" t="s">
        <v>605</v>
      </c>
      <c r="B529" s="19" t="s">
        <v>595</v>
      </c>
      <c r="C529" s="17">
        <v>53</v>
      </c>
      <c r="D529" s="77" t="s">
        <v>196</v>
      </c>
      <c r="E529" s="19">
        <v>0</v>
      </c>
      <c r="F529" s="19" t="s">
        <v>531</v>
      </c>
      <c r="G529" s="19" t="s">
        <v>577</v>
      </c>
      <c r="H529" s="19" t="s">
        <v>263</v>
      </c>
      <c r="I529" s="17" t="b">
        <v>1</v>
      </c>
      <c r="J529" s="17" t="s">
        <v>43</v>
      </c>
      <c r="K529" s="21" t="str">
        <f t="shared" si="14"/>
        <v>https://version2.ice-d.org/antarctica/sample/J2015-GR38/</v>
      </c>
      <c r="L529" s="74" t="s">
        <v>596</v>
      </c>
      <c r="M529" s="155"/>
      <c r="O529" s="17" t="s">
        <v>584</v>
      </c>
      <c r="P529" s="22">
        <v>-77.0047</v>
      </c>
      <c r="Q529" s="22">
        <v>161.75829999999999</v>
      </c>
      <c r="R529" s="22"/>
      <c r="S529" s="22">
        <v>523</v>
      </c>
      <c r="T529" s="17">
        <v>472</v>
      </c>
      <c r="U529" s="23">
        <v>340</v>
      </c>
      <c r="V529" s="8" t="s">
        <v>2063</v>
      </c>
      <c r="W529" s="44" t="s">
        <v>2429</v>
      </c>
      <c r="X529" s="22">
        <f t="shared" si="12"/>
        <v>51</v>
      </c>
      <c r="Y529" s="22">
        <v>5</v>
      </c>
      <c r="Z529" s="22">
        <v>2.2000000000000002</v>
      </c>
      <c r="AA529" s="17" t="s">
        <v>51</v>
      </c>
      <c r="AB529" s="26">
        <v>5140</v>
      </c>
      <c r="AC529" s="26">
        <v>888</v>
      </c>
      <c r="AD529" s="26">
        <v>938</v>
      </c>
      <c r="AE529" s="27">
        <v>44514</v>
      </c>
      <c r="AF529" s="27">
        <v>7680</v>
      </c>
      <c r="AG529" s="28"/>
      <c r="AH529" s="28"/>
      <c r="AI529" s="17">
        <v>2013</v>
      </c>
      <c r="AJ529" s="17">
        <v>1</v>
      </c>
      <c r="AK529" s="17">
        <v>0</v>
      </c>
    </row>
    <row r="530" spans="1:47" ht="12.75" customHeight="1">
      <c r="A530" s="74" t="s">
        <v>606</v>
      </c>
      <c r="B530" s="19" t="s">
        <v>595</v>
      </c>
      <c r="C530" s="17">
        <v>53</v>
      </c>
      <c r="D530" s="77" t="s">
        <v>196</v>
      </c>
      <c r="E530" s="19">
        <v>0</v>
      </c>
      <c r="F530" s="19" t="s">
        <v>531</v>
      </c>
      <c r="G530" s="19" t="s">
        <v>577</v>
      </c>
      <c r="H530" s="19" t="s">
        <v>263</v>
      </c>
      <c r="I530" s="17" t="b">
        <v>1</v>
      </c>
      <c r="J530" s="17" t="s">
        <v>43</v>
      </c>
      <c r="K530" s="21" t="str">
        <f t="shared" si="14"/>
        <v>https://version2.ice-d.org/antarctica/sample/J2015-GR41/</v>
      </c>
      <c r="L530" s="74" t="s">
        <v>596</v>
      </c>
      <c r="M530" s="155"/>
      <c r="O530" s="17" t="s">
        <v>584</v>
      </c>
      <c r="P530" s="22">
        <v>-77.005200000000002</v>
      </c>
      <c r="Q530" s="22">
        <v>161.7595</v>
      </c>
      <c r="R530" s="22"/>
      <c r="S530" s="22">
        <v>552</v>
      </c>
      <c r="T530" s="17">
        <v>472</v>
      </c>
      <c r="U530" s="23">
        <v>340</v>
      </c>
      <c r="V530" s="8" t="s">
        <v>2063</v>
      </c>
      <c r="W530" s="44" t="s">
        <v>2429</v>
      </c>
      <c r="X530" s="22">
        <f t="shared" si="12"/>
        <v>80</v>
      </c>
      <c r="Y530" s="22">
        <v>3.5</v>
      </c>
      <c r="Z530" s="22">
        <v>2.2000000000000002</v>
      </c>
      <c r="AA530" s="17" t="s">
        <v>73</v>
      </c>
      <c r="AB530" s="26">
        <v>6602</v>
      </c>
      <c r="AC530" s="26">
        <v>252</v>
      </c>
      <c r="AD530" s="26">
        <v>465</v>
      </c>
      <c r="AE530" s="27">
        <v>61038</v>
      </c>
      <c r="AF530" s="27">
        <v>2330</v>
      </c>
      <c r="AG530" s="28"/>
      <c r="AH530" s="28"/>
      <c r="AI530" s="17">
        <v>2013</v>
      </c>
      <c r="AJ530" s="17">
        <v>1</v>
      </c>
      <c r="AK530" s="17">
        <v>0</v>
      </c>
    </row>
    <row r="531" spans="1:47" ht="12.75" customHeight="1">
      <c r="A531" s="74" t="s">
        <v>607</v>
      </c>
      <c r="B531" s="19" t="s">
        <v>595</v>
      </c>
      <c r="C531" s="17">
        <v>53</v>
      </c>
      <c r="D531" s="77" t="s">
        <v>196</v>
      </c>
      <c r="E531" s="19">
        <v>0</v>
      </c>
      <c r="F531" s="19" t="s">
        <v>531</v>
      </c>
      <c r="G531" s="19" t="s">
        <v>577</v>
      </c>
      <c r="H531" s="19" t="s">
        <v>263</v>
      </c>
      <c r="I531" s="17" t="b">
        <v>1</v>
      </c>
      <c r="J531" s="17" t="s">
        <v>43</v>
      </c>
      <c r="K531" s="21" t="str">
        <f t="shared" si="14"/>
        <v>https://version2.ice-d.org/antarctica/sample/J2015-GR44a/</v>
      </c>
      <c r="L531" s="74" t="s">
        <v>596</v>
      </c>
      <c r="M531" s="155"/>
      <c r="O531" s="17" t="s">
        <v>584</v>
      </c>
      <c r="P531" s="22">
        <v>-77.004499999999993</v>
      </c>
      <c r="Q531" s="22">
        <v>161.76480000000001</v>
      </c>
      <c r="R531" s="22"/>
      <c r="S531" s="22">
        <v>569</v>
      </c>
      <c r="T531" s="17">
        <v>472</v>
      </c>
      <c r="U531" s="23">
        <v>340</v>
      </c>
      <c r="V531" s="8" t="s">
        <v>2063</v>
      </c>
      <c r="W531" s="44" t="s">
        <v>2429</v>
      </c>
      <c r="X531" s="22">
        <f t="shared" si="12"/>
        <v>97</v>
      </c>
      <c r="Y531" s="22">
        <v>3.75</v>
      </c>
      <c r="Z531" s="22">
        <v>2.2000000000000002</v>
      </c>
      <c r="AA531" s="17" t="s">
        <v>73</v>
      </c>
      <c r="AB531" s="26">
        <v>7127</v>
      </c>
      <c r="AC531" s="26">
        <v>280</v>
      </c>
      <c r="AD531" s="26">
        <v>506</v>
      </c>
      <c r="AE531" s="27">
        <v>67059</v>
      </c>
      <c r="AF531" s="27">
        <v>2630</v>
      </c>
      <c r="AG531" s="28"/>
      <c r="AH531" s="28"/>
      <c r="AI531" s="17">
        <v>2013</v>
      </c>
      <c r="AJ531" s="17">
        <v>1</v>
      </c>
      <c r="AK531" s="17">
        <v>0</v>
      </c>
    </row>
    <row r="532" spans="1:47" ht="12.75" customHeight="1">
      <c r="A532" s="74" t="s">
        <v>608</v>
      </c>
      <c r="B532" s="19" t="s">
        <v>595</v>
      </c>
      <c r="C532" s="17">
        <v>53</v>
      </c>
      <c r="D532" s="77" t="s">
        <v>196</v>
      </c>
      <c r="E532" s="19">
        <v>0</v>
      </c>
      <c r="F532" s="19" t="s">
        <v>531</v>
      </c>
      <c r="G532" s="19" t="s">
        <v>577</v>
      </c>
      <c r="H532" s="19" t="s">
        <v>263</v>
      </c>
      <c r="I532" s="17" t="b">
        <v>1</v>
      </c>
      <c r="J532" s="17" t="s">
        <v>43</v>
      </c>
      <c r="K532" s="21" t="str">
        <f t="shared" si="14"/>
        <v>https://version2.ice-d.org/antarctica/sample/J2015-GR45/</v>
      </c>
      <c r="L532" s="74" t="s">
        <v>596</v>
      </c>
      <c r="M532" s="155"/>
      <c r="O532" s="17" t="s">
        <v>584</v>
      </c>
      <c r="P532" s="22">
        <v>-77.004599999999996</v>
      </c>
      <c r="Q532" s="22">
        <v>161.7647</v>
      </c>
      <c r="R532" s="22"/>
      <c r="S532" s="22">
        <v>569</v>
      </c>
      <c r="T532" s="17">
        <v>472</v>
      </c>
      <c r="U532" s="23">
        <v>340</v>
      </c>
      <c r="V532" s="8" t="s">
        <v>2063</v>
      </c>
      <c r="W532" s="44" t="s">
        <v>2429</v>
      </c>
      <c r="X532" s="22">
        <f t="shared" si="12"/>
        <v>97</v>
      </c>
      <c r="Y532" s="22">
        <v>4.25</v>
      </c>
      <c r="Z532" s="22">
        <v>2.4</v>
      </c>
      <c r="AA532" s="17" t="s">
        <v>51</v>
      </c>
      <c r="AB532" s="26">
        <v>6586</v>
      </c>
      <c r="AC532" s="26">
        <v>279</v>
      </c>
      <c r="AD532" s="26">
        <v>479</v>
      </c>
      <c r="AE532" s="27">
        <v>61494</v>
      </c>
      <c r="AF532" s="27">
        <v>2600</v>
      </c>
      <c r="AG532" s="28"/>
      <c r="AH532" s="28"/>
      <c r="AI532" s="17">
        <v>2013</v>
      </c>
      <c r="AJ532" s="17">
        <v>1</v>
      </c>
      <c r="AK532" s="17">
        <v>0</v>
      </c>
    </row>
    <row r="533" spans="1:47" ht="12.75" customHeight="1">
      <c r="A533" s="74" t="s">
        <v>609</v>
      </c>
      <c r="B533" s="19" t="s">
        <v>595</v>
      </c>
      <c r="C533" s="17">
        <v>53</v>
      </c>
      <c r="D533" s="77" t="s">
        <v>196</v>
      </c>
      <c r="E533" s="19">
        <v>0</v>
      </c>
      <c r="F533" s="19" t="s">
        <v>531</v>
      </c>
      <c r="G533" s="19" t="s">
        <v>577</v>
      </c>
      <c r="H533" s="19" t="s">
        <v>263</v>
      </c>
      <c r="I533" s="17" t="b">
        <v>1</v>
      </c>
      <c r="J533" s="17" t="s">
        <v>43</v>
      </c>
      <c r="K533" s="21" t="str">
        <f t="shared" si="14"/>
        <v>https://version2.ice-d.org/antarctica/sample/J2015-GR46/</v>
      </c>
      <c r="L533" s="74" t="s">
        <v>596</v>
      </c>
      <c r="M533" s="155"/>
      <c r="O533" s="17" t="s">
        <v>584</v>
      </c>
      <c r="P533" s="22">
        <v>-77.004400000000004</v>
      </c>
      <c r="Q533" s="22">
        <v>161.7636</v>
      </c>
      <c r="R533" s="22"/>
      <c r="S533" s="22">
        <v>563</v>
      </c>
      <c r="T533" s="17">
        <v>472</v>
      </c>
      <c r="U533" s="23">
        <v>340</v>
      </c>
      <c r="V533" s="8" t="s">
        <v>2063</v>
      </c>
      <c r="W533" s="44" t="s">
        <v>2429</v>
      </c>
      <c r="X533" s="22">
        <f t="shared" si="12"/>
        <v>91</v>
      </c>
      <c r="Y533" s="22">
        <v>3</v>
      </c>
      <c r="Z533" s="22">
        <v>2.2000000000000002</v>
      </c>
      <c r="AA533" s="17" t="s">
        <v>51</v>
      </c>
      <c r="AB533" s="26">
        <v>6218</v>
      </c>
      <c r="AC533" s="26">
        <v>238</v>
      </c>
      <c r="AD533" s="26">
        <v>438</v>
      </c>
      <c r="AE533" s="27">
        <v>57895</v>
      </c>
      <c r="AF533" s="27">
        <v>2210</v>
      </c>
      <c r="AG533" s="28"/>
      <c r="AH533" s="28"/>
      <c r="AI533" s="17">
        <v>2013</v>
      </c>
      <c r="AJ533" s="17">
        <v>1</v>
      </c>
      <c r="AK533" s="17">
        <v>0</v>
      </c>
    </row>
    <row r="534" spans="1:47" ht="15.75" customHeight="1">
      <c r="A534" s="74" t="s">
        <v>610</v>
      </c>
      <c r="B534" s="19" t="s">
        <v>611</v>
      </c>
      <c r="C534" s="17">
        <v>54</v>
      </c>
      <c r="D534" s="19" t="s">
        <v>196</v>
      </c>
      <c r="E534" s="19">
        <v>0</v>
      </c>
      <c r="F534" s="19" t="s">
        <v>531</v>
      </c>
      <c r="G534" s="19" t="s">
        <v>577</v>
      </c>
      <c r="H534" s="19" t="s">
        <v>263</v>
      </c>
      <c r="I534" s="17" t="b">
        <v>1</v>
      </c>
      <c r="J534" s="17" t="s">
        <v>43</v>
      </c>
      <c r="K534" s="21" t="str">
        <f t="shared" si="14"/>
        <v>https://version2.ice-d.org/antarctica/sample/J2015-GR47/</v>
      </c>
      <c r="L534" s="74" t="s">
        <v>596</v>
      </c>
      <c r="M534" s="175" t="s">
        <v>44</v>
      </c>
      <c r="O534" s="17" t="s">
        <v>584</v>
      </c>
      <c r="P534" s="22">
        <v>-77.036199999999994</v>
      </c>
      <c r="Q534" s="22">
        <v>161.64879999999999</v>
      </c>
      <c r="R534" s="22"/>
      <c r="S534" s="22">
        <v>793</v>
      </c>
      <c r="T534" s="17">
        <v>563</v>
      </c>
      <c r="U534" s="23">
        <v>340</v>
      </c>
      <c r="V534" s="8" t="s">
        <v>2063</v>
      </c>
      <c r="W534" s="44" t="s">
        <v>2429</v>
      </c>
      <c r="X534" s="22">
        <f t="shared" si="12"/>
        <v>230</v>
      </c>
      <c r="Y534" s="22">
        <v>4.25</v>
      </c>
      <c r="Z534" s="22">
        <v>2.2000000000000002</v>
      </c>
      <c r="AA534" s="17" t="s">
        <v>73</v>
      </c>
      <c r="AB534" s="26">
        <v>7695</v>
      </c>
      <c r="AC534" s="26">
        <v>1972</v>
      </c>
      <c r="AD534" s="26">
        <v>2024</v>
      </c>
      <c r="AE534" s="27">
        <v>88729</v>
      </c>
      <c r="AF534" s="27">
        <v>22700</v>
      </c>
      <c r="AG534" s="28"/>
      <c r="AH534" s="28"/>
      <c r="AI534" s="17">
        <v>2013</v>
      </c>
      <c r="AJ534" s="17">
        <v>1</v>
      </c>
      <c r="AK534" s="17">
        <v>0</v>
      </c>
      <c r="AL534" s="17" t="s">
        <v>612</v>
      </c>
      <c r="AN534" s="96"/>
      <c r="AO534" s="96"/>
      <c r="AP534" s="96"/>
      <c r="AQ534" s="96"/>
      <c r="AR534" s="96"/>
      <c r="AS534" s="96"/>
      <c r="AT534" s="96"/>
      <c r="AU534" s="96"/>
    </row>
    <row r="535" spans="1:47" ht="15.75" customHeight="1">
      <c r="A535" s="74" t="s">
        <v>613</v>
      </c>
      <c r="B535" s="19" t="s">
        <v>611</v>
      </c>
      <c r="C535" s="17">
        <v>54</v>
      </c>
      <c r="D535" s="19" t="s">
        <v>196</v>
      </c>
      <c r="E535" s="19">
        <v>0</v>
      </c>
      <c r="F535" s="19" t="s">
        <v>531</v>
      </c>
      <c r="G535" s="19" t="s">
        <v>577</v>
      </c>
      <c r="H535" s="19" t="s">
        <v>263</v>
      </c>
      <c r="I535" s="17" t="b">
        <v>1</v>
      </c>
      <c r="J535" s="17" t="s">
        <v>43</v>
      </c>
      <c r="K535" s="21" t="str">
        <f t="shared" si="14"/>
        <v>https://version2.ice-d.org/antarctica/sample/J2015-GR48/</v>
      </c>
      <c r="L535" s="74" t="s">
        <v>596</v>
      </c>
      <c r="M535" s="155"/>
      <c r="O535" s="17" t="s">
        <v>584</v>
      </c>
      <c r="P535" s="22">
        <v>-77.036100000000005</v>
      </c>
      <c r="Q535" s="22">
        <v>161.64869999999999</v>
      </c>
      <c r="R535" s="22"/>
      <c r="S535" s="22">
        <v>795</v>
      </c>
      <c r="T535" s="17">
        <v>563</v>
      </c>
      <c r="U535" s="23">
        <v>340</v>
      </c>
      <c r="V535" s="8" t="s">
        <v>2063</v>
      </c>
      <c r="W535" s="44" t="s">
        <v>2429</v>
      </c>
      <c r="X535" s="22">
        <f t="shared" si="12"/>
        <v>232</v>
      </c>
      <c r="Y535" s="22">
        <v>5.25</v>
      </c>
      <c r="Z535" s="22">
        <v>2.4</v>
      </c>
      <c r="AA535" s="17" t="s">
        <v>73</v>
      </c>
      <c r="AB535" s="26">
        <v>6460</v>
      </c>
      <c r="AC535" s="26">
        <v>273</v>
      </c>
      <c r="AD535" s="26">
        <v>469</v>
      </c>
      <c r="AE535" s="27">
        <v>73409</v>
      </c>
      <c r="AF535" s="27">
        <v>3100</v>
      </c>
      <c r="AG535" s="28"/>
      <c r="AH535" s="28"/>
      <c r="AI535" s="17">
        <v>2013</v>
      </c>
      <c r="AJ535" s="17">
        <v>1</v>
      </c>
      <c r="AK535" s="17">
        <v>0</v>
      </c>
      <c r="AL535" s="17" t="s">
        <v>612</v>
      </c>
    </row>
    <row r="536" spans="1:47" ht="15.75" customHeight="1">
      <c r="A536" s="74" t="s">
        <v>614</v>
      </c>
      <c r="B536" s="19" t="s">
        <v>611</v>
      </c>
      <c r="C536" s="17">
        <v>54</v>
      </c>
      <c r="D536" s="19" t="s">
        <v>196</v>
      </c>
      <c r="E536" s="19">
        <v>0</v>
      </c>
      <c r="F536" s="19" t="s">
        <v>531</v>
      </c>
      <c r="G536" s="19" t="s">
        <v>577</v>
      </c>
      <c r="H536" s="19" t="s">
        <v>263</v>
      </c>
      <c r="I536" s="17" t="b">
        <v>1</v>
      </c>
      <c r="J536" s="17" t="s">
        <v>43</v>
      </c>
      <c r="K536" s="21" t="str">
        <f t="shared" si="14"/>
        <v>https://version2.ice-d.org/antarctica/sample/J2015-GR51/</v>
      </c>
      <c r="L536" s="74" t="s">
        <v>596</v>
      </c>
      <c r="M536" s="155"/>
      <c r="O536" s="17" t="s">
        <v>584</v>
      </c>
      <c r="P536" s="22">
        <v>-77.036500000000004</v>
      </c>
      <c r="Q536" s="22">
        <v>161.65459999999999</v>
      </c>
      <c r="R536" s="22"/>
      <c r="S536" s="22">
        <v>823</v>
      </c>
      <c r="T536" s="17">
        <v>563</v>
      </c>
      <c r="U536" s="23">
        <v>340</v>
      </c>
      <c r="V536" s="8" t="s">
        <v>2063</v>
      </c>
      <c r="W536" s="44" t="s">
        <v>2429</v>
      </c>
      <c r="X536" s="22">
        <f t="shared" si="12"/>
        <v>260</v>
      </c>
      <c r="Y536" s="22">
        <v>6.5</v>
      </c>
      <c r="Z536" s="22">
        <v>2.2000000000000002</v>
      </c>
      <c r="AA536" s="17" t="s">
        <v>73</v>
      </c>
      <c r="AB536" s="26">
        <v>18581</v>
      </c>
      <c r="AC536" s="26">
        <v>3107</v>
      </c>
      <c r="AD536" s="26">
        <v>3296</v>
      </c>
      <c r="AE536" s="27">
        <v>209710</v>
      </c>
      <c r="AF536" s="27">
        <v>34900</v>
      </c>
      <c r="AG536" s="28"/>
      <c r="AH536" s="28"/>
      <c r="AI536" s="17">
        <v>2013</v>
      </c>
      <c r="AJ536" s="17">
        <v>1</v>
      </c>
      <c r="AK536" s="17">
        <v>0</v>
      </c>
      <c r="AL536" s="17" t="s">
        <v>612</v>
      </c>
    </row>
    <row r="537" spans="1:47" ht="15.75" customHeight="1">
      <c r="A537" s="74" t="s">
        <v>615</v>
      </c>
      <c r="B537" s="19" t="s">
        <v>611</v>
      </c>
      <c r="C537" s="17">
        <v>54</v>
      </c>
      <c r="D537" s="19" t="s">
        <v>196</v>
      </c>
      <c r="E537" s="19">
        <v>0</v>
      </c>
      <c r="F537" s="19" t="s">
        <v>531</v>
      </c>
      <c r="G537" s="19" t="s">
        <v>577</v>
      </c>
      <c r="H537" s="19" t="s">
        <v>263</v>
      </c>
      <c r="I537" s="17" t="b">
        <v>1</v>
      </c>
      <c r="J537" s="17" t="s">
        <v>43</v>
      </c>
      <c r="K537" s="21" t="str">
        <f t="shared" si="14"/>
        <v>https://version2.ice-d.org/antarctica/sample/J2015-GR53a/</v>
      </c>
      <c r="L537" s="74" t="s">
        <v>596</v>
      </c>
      <c r="M537" s="155"/>
      <c r="O537" s="17" t="s">
        <v>584</v>
      </c>
      <c r="P537" s="22">
        <v>-77.036500000000004</v>
      </c>
      <c r="Q537" s="22">
        <v>161.64519999999999</v>
      </c>
      <c r="R537" s="22"/>
      <c r="S537" s="22">
        <v>780</v>
      </c>
      <c r="T537" s="17">
        <v>563</v>
      </c>
      <c r="U537" s="23">
        <v>340</v>
      </c>
      <c r="V537" s="8" t="s">
        <v>2063</v>
      </c>
      <c r="W537" s="44" t="s">
        <v>2429</v>
      </c>
      <c r="X537" s="22">
        <f t="shared" si="12"/>
        <v>217</v>
      </c>
      <c r="Y537" s="22">
        <v>4</v>
      </c>
      <c r="Z537" s="22">
        <v>2.2000000000000002</v>
      </c>
      <c r="AA537" s="17" t="s">
        <v>73</v>
      </c>
      <c r="AB537" s="26">
        <v>6216</v>
      </c>
      <c r="AC537" s="26">
        <v>288</v>
      </c>
      <c r="AD537" s="26">
        <v>467</v>
      </c>
      <c r="AE537" s="27">
        <v>70554</v>
      </c>
      <c r="AF537" s="27">
        <v>3260</v>
      </c>
      <c r="AG537" s="28"/>
      <c r="AH537" s="28"/>
      <c r="AI537" s="17">
        <v>2013</v>
      </c>
      <c r="AJ537" s="17">
        <v>1</v>
      </c>
      <c r="AK537" s="17">
        <v>0</v>
      </c>
      <c r="AL537" s="17" t="s">
        <v>612</v>
      </c>
    </row>
    <row r="538" spans="1:47" ht="15.75" customHeight="1">
      <c r="A538" s="74" t="s">
        <v>616</v>
      </c>
      <c r="B538" s="19" t="s">
        <v>611</v>
      </c>
      <c r="C538" s="17">
        <v>54</v>
      </c>
      <c r="D538" s="19" t="s">
        <v>196</v>
      </c>
      <c r="E538" s="19">
        <v>0</v>
      </c>
      <c r="F538" s="19" t="s">
        <v>531</v>
      </c>
      <c r="G538" s="19" t="s">
        <v>577</v>
      </c>
      <c r="H538" s="19" t="s">
        <v>263</v>
      </c>
      <c r="I538" s="17" t="b">
        <v>1</v>
      </c>
      <c r="J538" s="17" t="s">
        <v>43</v>
      </c>
      <c r="K538" s="21" t="str">
        <f t="shared" si="14"/>
        <v>https://version2.ice-d.org/antarctica/sample/J2015-GR54/</v>
      </c>
      <c r="L538" s="74" t="s">
        <v>596</v>
      </c>
      <c r="M538" s="155"/>
      <c r="O538" s="17" t="s">
        <v>584</v>
      </c>
      <c r="P538" s="22">
        <v>-77.036100000000005</v>
      </c>
      <c r="Q538" s="22">
        <v>161.64590000000001</v>
      </c>
      <c r="R538" s="22"/>
      <c r="S538" s="22">
        <v>782</v>
      </c>
      <c r="T538" s="17">
        <v>563</v>
      </c>
      <c r="U538" s="23">
        <v>340</v>
      </c>
      <c r="V538" s="8" t="s">
        <v>2063</v>
      </c>
      <c r="W538" s="44" t="s">
        <v>2429</v>
      </c>
      <c r="X538" s="22">
        <f t="shared" si="12"/>
        <v>219</v>
      </c>
      <c r="Y538" s="22">
        <v>5.5</v>
      </c>
      <c r="Z538" s="22">
        <v>2.2000000000000002</v>
      </c>
      <c r="AA538" s="17" t="s">
        <v>73</v>
      </c>
      <c r="AB538" s="26">
        <v>7744</v>
      </c>
      <c r="AC538" s="26">
        <v>2044</v>
      </c>
      <c r="AD538" s="26">
        <v>2095</v>
      </c>
      <c r="AE538" s="27">
        <v>87688</v>
      </c>
      <c r="AF538" s="27">
        <v>23100</v>
      </c>
      <c r="AG538" s="28"/>
      <c r="AH538" s="28"/>
      <c r="AI538" s="17">
        <v>2013</v>
      </c>
      <c r="AJ538" s="17">
        <v>1</v>
      </c>
      <c r="AK538" s="17">
        <v>0</v>
      </c>
      <c r="AL538" s="17" t="s">
        <v>612</v>
      </c>
    </row>
    <row r="539" spans="1:47" ht="15.75" customHeight="1">
      <c r="A539" s="74" t="s">
        <v>617</v>
      </c>
      <c r="B539" s="19" t="s">
        <v>611</v>
      </c>
      <c r="C539" s="17">
        <v>54</v>
      </c>
      <c r="D539" s="19" t="s">
        <v>196</v>
      </c>
      <c r="E539" s="19">
        <v>0</v>
      </c>
      <c r="F539" s="19" t="s">
        <v>531</v>
      </c>
      <c r="G539" s="19" t="s">
        <v>577</v>
      </c>
      <c r="H539" s="19" t="s">
        <v>263</v>
      </c>
      <c r="I539" s="17" t="b">
        <v>1</v>
      </c>
      <c r="J539" s="17" t="s">
        <v>43</v>
      </c>
      <c r="K539" s="21" t="str">
        <f t="shared" si="14"/>
        <v>https://version2.ice-d.org/antarctica/sample/J2015-GR55/</v>
      </c>
      <c r="L539" s="74" t="s">
        <v>596</v>
      </c>
      <c r="M539" s="155"/>
      <c r="O539" s="17" t="s">
        <v>584</v>
      </c>
      <c r="P539" s="22">
        <v>-77.037300000000002</v>
      </c>
      <c r="Q539" s="22">
        <v>161.63730000000001</v>
      </c>
      <c r="R539" s="22"/>
      <c r="S539" s="22">
        <v>709</v>
      </c>
      <c r="T539" s="17">
        <v>563</v>
      </c>
      <c r="U539" s="23">
        <v>340</v>
      </c>
      <c r="V539" s="8" t="s">
        <v>2063</v>
      </c>
      <c r="W539" s="44" t="s">
        <v>2429</v>
      </c>
      <c r="X539" s="22">
        <f t="shared" si="12"/>
        <v>146</v>
      </c>
      <c r="Y539" s="22">
        <v>5</v>
      </c>
      <c r="Z539" s="22">
        <v>2.2000000000000002</v>
      </c>
      <c r="AA539" s="17" t="s">
        <v>73</v>
      </c>
      <c r="AB539" s="26">
        <v>6678</v>
      </c>
      <c r="AC539" s="26">
        <v>275</v>
      </c>
      <c r="AD539" s="26">
        <v>481</v>
      </c>
      <c r="AE539" s="27">
        <v>70663</v>
      </c>
      <c r="AF539" s="27">
        <v>2910</v>
      </c>
      <c r="AG539" s="28"/>
      <c r="AH539" s="28"/>
      <c r="AI539" s="17">
        <v>2013</v>
      </c>
      <c r="AJ539" s="17">
        <v>1</v>
      </c>
      <c r="AK539" s="17">
        <v>0</v>
      </c>
      <c r="AL539" s="17" t="s">
        <v>612</v>
      </c>
    </row>
    <row r="540" spans="1:47" ht="15.75" customHeight="1">
      <c r="A540" s="74" t="s">
        <v>618</v>
      </c>
      <c r="B540" s="19" t="s">
        <v>611</v>
      </c>
      <c r="C540" s="17">
        <v>54</v>
      </c>
      <c r="D540" s="19" t="s">
        <v>196</v>
      </c>
      <c r="E540" s="19">
        <v>0</v>
      </c>
      <c r="F540" s="19" t="s">
        <v>531</v>
      </c>
      <c r="G540" s="19" t="s">
        <v>577</v>
      </c>
      <c r="H540" s="19" t="s">
        <v>263</v>
      </c>
      <c r="I540" s="17" t="b">
        <v>1</v>
      </c>
      <c r="J540" s="17" t="s">
        <v>43</v>
      </c>
      <c r="K540" s="21" t="str">
        <f t="shared" si="14"/>
        <v>https://version2.ice-d.org/antarctica/sample/J2015-GR56/</v>
      </c>
      <c r="L540" s="74" t="s">
        <v>596</v>
      </c>
      <c r="M540" s="155"/>
      <c r="O540" s="17" t="s">
        <v>584</v>
      </c>
      <c r="P540" s="22">
        <v>-77.037400000000005</v>
      </c>
      <c r="Q540" s="22">
        <v>161.63740000000001</v>
      </c>
      <c r="R540" s="22"/>
      <c r="S540" s="22">
        <v>710</v>
      </c>
      <c r="T540" s="17">
        <v>563</v>
      </c>
      <c r="U540" s="23">
        <v>340</v>
      </c>
      <c r="V540" s="8" t="s">
        <v>2063</v>
      </c>
      <c r="W540" s="44" t="s">
        <v>2429</v>
      </c>
      <c r="X540" s="22">
        <f t="shared" si="12"/>
        <v>147</v>
      </c>
      <c r="Y540" s="22">
        <v>4.5</v>
      </c>
      <c r="Z540" s="22">
        <v>2.2000000000000002</v>
      </c>
      <c r="AA540" s="17" t="s">
        <v>73</v>
      </c>
      <c r="AB540" s="26">
        <v>6559</v>
      </c>
      <c r="AC540" s="26">
        <v>370</v>
      </c>
      <c r="AD540" s="26">
        <v>536</v>
      </c>
      <c r="AE540" s="27">
        <v>69505</v>
      </c>
      <c r="AF540" s="27">
        <v>3910</v>
      </c>
      <c r="AG540" s="28"/>
      <c r="AH540" s="28"/>
      <c r="AI540" s="17">
        <v>2013</v>
      </c>
      <c r="AJ540" s="17">
        <v>1</v>
      </c>
      <c r="AK540" s="17">
        <v>0</v>
      </c>
      <c r="AL540" s="17" t="s">
        <v>612</v>
      </c>
    </row>
    <row r="541" spans="1:47" ht="15.75" customHeight="1">
      <c r="A541" s="74" t="s">
        <v>619</v>
      </c>
      <c r="B541" s="19" t="s">
        <v>611</v>
      </c>
      <c r="C541" s="17">
        <v>54</v>
      </c>
      <c r="D541" s="19" t="s">
        <v>196</v>
      </c>
      <c r="E541" s="19">
        <v>0</v>
      </c>
      <c r="F541" s="19" t="s">
        <v>531</v>
      </c>
      <c r="G541" s="19" t="s">
        <v>577</v>
      </c>
      <c r="H541" s="19" t="s">
        <v>263</v>
      </c>
      <c r="I541" s="17" t="b">
        <v>1</v>
      </c>
      <c r="J541" s="17" t="s">
        <v>43</v>
      </c>
      <c r="K541" s="21" t="str">
        <f t="shared" si="14"/>
        <v>https://version2.ice-d.org/antarctica/sample/J2015-GR58/</v>
      </c>
      <c r="L541" s="74" t="s">
        <v>596</v>
      </c>
      <c r="M541" s="155"/>
      <c r="O541" s="17" t="s">
        <v>584</v>
      </c>
      <c r="P541" s="22">
        <v>-77.037300000000002</v>
      </c>
      <c r="Q541" s="22">
        <v>161.63720000000001</v>
      </c>
      <c r="R541" s="22"/>
      <c r="S541" s="22">
        <v>710</v>
      </c>
      <c r="T541" s="17">
        <v>563</v>
      </c>
      <c r="U541" s="23">
        <v>340</v>
      </c>
      <c r="V541" s="8" t="s">
        <v>2063</v>
      </c>
      <c r="W541" s="44" t="s">
        <v>2429</v>
      </c>
      <c r="X541" s="22">
        <f t="shared" si="12"/>
        <v>147</v>
      </c>
      <c r="Y541" s="22">
        <v>5.5</v>
      </c>
      <c r="Z541" s="22">
        <v>2.2000000000000002</v>
      </c>
      <c r="AA541" s="17" t="s">
        <v>73</v>
      </c>
      <c r="AB541" s="26">
        <v>6627</v>
      </c>
      <c r="AC541" s="26">
        <v>260</v>
      </c>
      <c r="AD541" s="26">
        <v>470</v>
      </c>
      <c r="AE541" s="27">
        <v>69950</v>
      </c>
      <c r="AF541" s="27">
        <v>2740</v>
      </c>
      <c r="AG541" s="28"/>
      <c r="AH541" s="28"/>
      <c r="AI541" s="17">
        <v>2013</v>
      </c>
      <c r="AJ541" s="17">
        <v>1</v>
      </c>
      <c r="AK541" s="17">
        <v>0</v>
      </c>
      <c r="AL541" s="17" t="s">
        <v>612</v>
      </c>
    </row>
    <row r="542" spans="1:47" ht="15.75" customHeight="1">
      <c r="A542" s="74" t="s">
        <v>620</v>
      </c>
      <c r="B542" s="19" t="s">
        <v>611</v>
      </c>
      <c r="C542" s="17">
        <v>54</v>
      </c>
      <c r="D542" s="19" t="s">
        <v>196</v>
      </c>
      <c r="E542" s="19">
        <v>0</v>
      </c>
      <c r="F542" s="19" t="s">
        <v>531</v>
      </c>
      <c r="G542" s="19" t="s">
        <v>577</v>
      </c>
      <c r="H542" s="19" t="s">
        <v>263</v>
      </c>
      <c r="I542" s="17" t="b">
        <v>1</v>
      </c>
      <c r="J542" s="17" t="s">
        <v>43</v>
      </c>
      <c r="K542" s="21" t="str">
        <f t="shared" si="14"/>
        <v>https://version2.ice-d.org/antarctica/sample/J2015-GR59/</v>
      </c>
      <c r="L542" s="74" t="s">
        <v>596</v>
      </c>
      <c r="M542" s="155"/>
      <c r="O542" s="17" t="s">
        <v>584</v>
      </c>
      <c r="P542" s="22">
        <v>-77.033799999999999</v>
      </c>
      <c r="Q542" s="22">
        <v>161.63919999999999</v>
      </c>
      <c r="R542" s="22"/>
      <c r="S542" s="22">
        <v>648</v>
      </c>
      <c r="T542" s="17">
        <v>563</v>
      </c>
      <c r="U542" s="23">
        <v>340</v>
      </c>
      <c r="V542" s="8" t="s">
        <v>2063</v>
      </c>
      <c r="W542" s="44" t="s">
        <v>2429</v>
      </c>
      <c r="X542" s="22">
        <f t="shared" si="12"/>
        <v>85</v>
      </c>
      <c r="Y542" s="22">
        <v>4.5</v>
      </c>
      <c r="Z542" s="22">
        <v>2.2000000000000002</v>
      </c>
      <c r="AA542" s="17" t="s">
        <v>73</v>
      </c>
      <c r="AB542" s="26">
        <v>6339</v>
      </c>
      <c r="AC542" s="26">
        <v>256</v>
      </c>
      <c r="AD542" s="26">
        <v>454</v>
      </c>
      <c r="AE542" s="27">
        <v>63256</v>
      </c>
      <c r="AF542" s="27">
        <v>2550</v>
      </c>
      <c r="AG542" s="28"/>
      <c r="AH542" s="28"/>
      <c r="AI542" s="17">
        <v>2013</v>
      </c>
      <c r="AJ542" s="17">
        <v>1</v>
      </c>
      <c r="AK542" s="17">
        <v>0</v>
      </c>
      <c r="AL542" s="17" t="s">
        <v>612</v>
      </c>
    </row>
    <row r="543" spans="1:47" ht="15.75" customHeight="1">
      <c r="A543" s="74" t="s">
        <v>621</v>
      </c>
      <c r="B543" s="19" t="s">
        <v>611</v>
      </c>
      <c r="C543" s="17">
        <v>54</v>
      </c>
      <c r="D543" s="19" t="s">
        <v>196</v>
      </c>
      <c r="E543" s="19">
        <v>0</v>
      </c>
      <c r="F543" s="19" t="s">
        <v>531</v>
      </c>
      <c r="G543" s="19" t="s">
        <v>577</v>
      </c>
      <c r="H543" s="19" t="s">
        <v>263</v>
      </c>
      <c r="I543" s="17" t="b">
        <v>1</v>
      </c>
      <c r="J543" s="17" t="s">
        <v>43</v>
      </c>
      <c r="K543" s="21" t="str">
        <f t="shared" si="14"/>
        <v>https://version2.ice-d.org/antarctica/sample/J2015-GR62a/</v>
      </c>
      <c r="L543" s="74" t="s">
        <v>596</v>
      </c>
      <c r="M543" s="155"/>
      <c r="O543" s="17" t="s">
        <v>584</v>
      </c>
      <c r="P543" s="22">
        <v>-77.0351</v>
      </c>
      <c r="Q543" s="22">
        <v>161.6328</v>
      </c>
      <c r="R543" s="22"/>
      <c r="S543" s="22">
        <v>629</v>
      </c>
      <c r="T543" s="17">
        <v>563</v>
      </c>
      <c r="U543" s="23">
        <v>340</v>
      </c>
      <c r="V543" s="8" t="s">
        <v>2063</v>
      </c>
      <c r="W543" s="44" t="s">
        <v>2429</v>
      </c>
      <c r="X543" s="22">
        <f t="shared" si="12"/>
        <v>66</v>
      </c>
      <c r="Y543" s="22">
        <v>4.25</v>
      </c>
      <c r="Z543" s="22">
        <v>2.2000000000000002</v>
      </c>
      <c r="AA543" s="17" t="s">
        <v>73</v>
      </c>
      <c r="AB543" s="26">
        <v>6341</v>
      </c>
      <c r="AC543" s="26">
        <v>256</v>
      </c>
      <c r="AD543" s="26">
        <v>454</v>
      </c>
      <c r="AE543" s="27">
        <v>61795</v>
      </c>
      <c r="AF543" s="27">
        <v>2490</v>
      </c>
      <c r="AG543" s="28"/>
      <c r="AH543" s="28"/>
      <c r="AI543" s="17">
        <v>2013</v>
      </c>
      <c r="AJ543" s="17">
        <v>1</v>
      </c>
      <c r="AK543" s="17">
        <v>0</v>
      </c>
      <c r="AL543" s="17" t="s">
        <v>612</v>
      </c>
    </row>
    <row r="544" spans="1:47" ht="15.75" customHeight="1">
      <c r="A544" s="74" t="s">
        <v>622</v>
      </c>
      <c r="B544" s="19" t="s">
        <v>611</v>
      </c>
      <c r="C544" s="17">
        <v>54</v>
      </c>
      <c r="D544" s="19" t="s">
        <v>196</v>
      </c>
      <c r="E544" s="19">
        <v>0</v>
      </c>
      <c r="F544" s="19" t="s">
        <v>531</v>
      </c>
      <c r="G544" s="19" t="s">
        <v>577</v>
      </c>
      <c r="H544" s="19" t="s">
        <v>263</v>
      </c>
      <c r="I544" s="17" t="b">
        <v>1</v>
      </c>
      <c r="J544" s="17" t="s">
        <v>43</v>
      </c>
      <c r="K544" s="21" t="str">
        <f t="shared" si="14"/>
        <v>https://version2.ice-d.org/antarctica/sample/J2015-GR62b/</v>
      </c>
      <c r="L544" s="74" t="s">
        <v>596</v>
      </c>
      <c r="M544" s="155"/>
      <c r="O544" s="17" t="s">
        <v>584</v>
      </c>
      <c r="P544" s="22">
        <v>-77.0351</v>
      </c>
      <c r="Q544" s="22">
        <v>161.6328</v>
      </c>
      <c r="R544" s="22"/>
      <c r="S544" s="22">
        <v>629</v>
      </c>
      <c r="T544" s="17">
        <v>563</v>
      </c>
      <c r="U544" s="23">
        <v>340</v>
      </c>
      <c r="V544" s="8" t="s">
        <v>2063</v>
      </c>
      <c r="W544" s="44" t="s">
        <v>2429</v>
      </c>
      <c r="X544" s="22">
        <f t="shared" si="12"/>
        <v>66</v>
      </c>
      <c r="Y544" s="22">
        <v>4</v>
      </c>
      <c r="Z544" s="22">
        <v>2.2000000000000002</v>
      </c>
      <c r="AA544" s="17" t="s">
        <v>73</v>
      </c>
      <c r="AB544" s="26">
        <v>6636</v>
      </c>
      <c r="AC544" s="26">
        <v>1755</v>
      </c>
      <c r="AD544" s="26">
        <v>1798</v>
      </c>
      <c r="AE544" s="27">
        <v>64772</v>
      </c>
      <c r="AF544" s="27">
        <v>17100</v>
      </c>
      <c r="AG544" s="28"/>
      <c r="AH544" s="28"/>
      <c r="AI544" s="17">
        <v>2013</v>
      </c>
      <c r="AJ544" s="17">
        <v>1</v>
      </c>
      <c r="AK544" s="17">
        <v>0</v>
      </c>
      <c r="AL544" s="17" t="s">
        <v>612</v>
      </c>
    </row>
    <row r="545" spans="1:38" ht="12.75" customHeight="1">
      <c r="A545" s="74" t="s">
        <v>623</v>
      </c>
      <c r="B545" s="19" t="s">
        <v>611</v>
      </c>
      <c r="C545" s="17">
        <v>54</v>
      </c>
      <c r="D545" s="19" t="s">
        <v>196</v>
      </c>
      <c r="E545" s="19">
        <v>0</v>
      </c>
      <c r="F545" s="19" t="s">
        <v>531</v>
      </c>
      <c r="G545" s="19" t="s">
        <v>577</v>
      </c>
      <c r="H545" s="19" t="s">
        <v>263</v>
      </c>
      <c r="I545" s="17" t="b">
        <v>1</v>
      </c>
      <c r="J545" s="17" t="s">
        <v>43</v>
      </c>
      <c r="K545" s="21" t="str">
        <f t="shared" si="14"/>
        <v>https://version2.ice-d.org/antarctica/sample/J2015-GR63/</v>
      </c>
      <c r="L545" s="74" t="s">
        <v>596</v>
      </c>
      <c r="M545" s="155"/>
      <c r="O545" s="17" t="s">
        <v>584</v>
      </c>
      <c r="P545" s="22">
        <v>-77.034499999999994</v>
      </c>
      <c r="Q545" s="22">
        <v>161.6318</v>
      </c>
      <c r="R545" s="22"/>
      <c r="S545" s="22">
        <v>613</v>
      </c>
      <c r="T545" s="17">
        <v>563</v>
      </c>
      <c r="U545" s="23">
        <v>340</v>
      </c>
      <c r="V545" s="8" t="s">
        <v>2063</v>
      </c>
      <c r="W545" s="44" t="s">
        <v>2429</v>
      </c>
      <c r="X545" s="22">
        <f t="shared" si="12"/>
        <v>50</v>
      </c>
      <c r="Y545" s="22">
        <v>3.5</v>
      </c>
      <c r="Z545" s="22">
        <v>2.2000000000000002</v>
      </c>
      <c r="AA545" s="17" t="s">
        <v>73</v>
      </c>
      <c r="AB545" s="26">
        <v>6291</v>
      </c>
      <c r="AC545" s="26">
        <v>393</v>
      </c>
      <c r="AD545" s="26">
        <v>541</v>
      </c>
      <c r="AE545" s="27">
        <v>61076</v>
      </c>
      <c r="AF545" s="27">
        <v>3810</v>
      </c>
      <c r="AG545" s="28"/>
      <c r="AH545" s="28"/>
      <c r="AI545" s="17">
        <v>2013</v>
      </c>
      <c r="AJ545" s="17">
        <v>1</v>
      </c>
      <c r="AK545" s="17">
        <v>0</v>
      </c>
      <c r="AL545" s="17" t="s">
        <v>612</v>
      </c>
    </row>
    <row r="546" spans="1:38" ht="12.75" customHeight="1">
      <c r="A546" s="74" t="s">
        <v>624</v>
      </c>
      <c r="B546" s="19" t="s">
        <v>611</v>
      </c>
      <c r="C546" s="17">
        <v>54</v>
      </c>
      <c r="D546" s="19" t="s">
        <v>196</v>
      </c>
      <c r="E546" s="19">
        <v>0</v>
      </c>
      <c r="F546" s="19" t="s">
        <v>531</v>
      </c>
      <c r="G546" s="19" t="s">
        <v>577</v>
      </c>
      <c r="H546" s="19" t="s">
        <v>263</v>
      </c>
      <c r="I546" s="17" t="b">
        <v>1</v>
      </c>
      <c r="J546" s="17" t="s">
        <v>43</v>
      </c>
      <c r="K546" s="21" t="str">
        <f t="shared" si="14"/>
        <v>https://version2.ice-d.org/antarctica/sample/J2015-GR64/</v>
      </c>
      <c r="L546" s="74" t="s">
        <v>596</v>
      </c>
      <c r="M546" s="155"/>
      <c r="O546" s="17" t="s">
        <v>584</v>
      </c>
      <c r="P546" s="22">
        <v>-77.034499999999994</v>
      </c>
      <c r="Q546" s="22">
        <v>161.62970000000001</v>
      </c>
      <c r="R546" s="22"/>
      <c r="S546" s="22">
        <v>588</v>
      </c>
      <c r="T546" s="17">
        <v>563</v>
      </c>
      <c r="U546" s="23">
        <v>340</v>
      </c>
      <c r="V546" s="8" t="s">
        <v>2063</v>
      </c>
      <c r="W546" s="44" t="s">
        <v>2429</v>
      </c>
      <c r="X546" s="22">
        <f t="shared" si="12"/>
        <v>25</v>
      </c>
      <c r="Y546" s="22">
        <v>4.5</v>
      </c>
      <c r="Z546" s="22">
        <v>2.2000000000000002</v>
      </c>
      <c r="AA546" s="17" t="s">
        <v>73</v>
      </c>
      <c r="AB546" s="26">
        <v>3243</v>
      </c>
      <c r="AC546" s="26">
        <v>1071</v>
      </c>
      <c r="AD546" s="26">
        <v>1088</v>
      </c>
      <c r="AE546" s="27">
        <v>30923</v>
      </c>
      <c r="AF546" s="27">
        <v>10200</v>
      </c>
      <c r="AG546" s="28"/>
      <c r="AH546" s="28"/>
      <c r="AI546" s="17">
        <v>2013</v>
      </c>
      <c r="AJ546" s="17">
        <v>1</v>
      </c>
      <c r="AK546" s="17">
        <v>0</v>
      </c>
      <c r="AL546" s="17" t="s">
        <v>612</v>
      </c>
    </row>
    <row r="547" spans="1:38" ht="12.75" customHeight="1">
      <c r="A547" s="74" t="s">
        <v>625</v>
      </c>
      <c r="B547" s="19" t="s">
        <v>611</v>
      </c>
      <c r="C547" s="17">
        <v>54</v>
      </c>
      <c r="D547" s="19" t="s">
        <v>196</v>
      </c>
      <c r="E547" s="19">
        <v>0</v>
      </c>
      <c r="F547" s="19" t="s">
        <v>531</v>
      </c>
      <c r="G547" s="19" t="s">
        <v>577</v>
      </c>
      <c r="H547" s="19" t="s">
        <v>263</v>
      </c>
      <c r="I547" s="17" t="b">
        <v>1</v>
      </c>
      <c r="J547" s="17" t="s">
        <v>43</v>
      </c>
      <c r="K547" s="21" t="str">
        <f t="shared" si="14"/>
        <v>https://version2.ice-d.org/antarctica/sample/J2015-GR67/</v>
      </c>
      <c r="L547" s="74" t="s">
        <v>596</v>
      </c>
      <c r="M547" s="155"/>
      <c r="O547" s="17" t="s">
        <v>584</v>
      </c>
      <c r="P547" s="22">
        <v>-77.034499999999994</v>
      </c>
      <c r="Q547" s="22">
        <v>161.62950000000001</v>
      </c>
      <c r="R547" s="22"/>
      <c r="S547" s="22">
        <v>587</v>
      </c>
      <c r="T547" s="17">
        <v>563</v>
      </c>
      <c r="U547" s="23">
        <v>340</v>
      </c>
      <c r="V547" s="8" t="s">
        <v>2063</v>
      </c>
      <c r="W547" s="44" t="s">
        <v>2429</v>
      </c>
      <c r="X547" s="22">
        <f t="shared" si="12"/>
        <v>24</v>
      </c>
      <c r="Y547" s="22">
        <v>5.5</v>
      </c>
      <c r="Z547" s="22">
        <v>2.2000000000000002</v>
      </c>
      <c r="AA547" s="17" t="s">
        <v>73</v>
      </c>
      <c r="AB547" s="26">
        <v>4235</v>
      </c>
      <c r="AC547" s="26">
        <v>756</v>
      </c>
      <c r="AD547" s="26">
        <v>796</v>
      </c>
      <c r="AE547" s="27">
        <v>38646</v>
      </c>
      <c r="AF547" s="27">
        <v>6890</v>
      </c>
      <c r="AG547" s="28"/>
      <c r="AH547" s="28"/>
      <c r="AI547" s="17">
        <v>2013</v>
      </c>
      <c r="AJ547" s="17">
        <v>1</v>
      </c>
      <c r="AK547" s="17">
        <v>0</v>
      </c>
      <c r="AL547" s="17" t="s">
        <v>612</v>
      </c>
    </row>
    <row r="548" spans="1:38" ht="15.75" customHeight="1">
      <c r="A548" s="74" t="s">
        <v>626</v>
      </c>
      <c r="B548" s="19" t="s">
        <v>627</v>
      </c>
      <c r="C548" s="17">
        <v>55</v>
      </c>
      <c r="D548" s="19" t="s">
        <v>196</v>
      </c>
      <c r="E548" s="19">
        <v>0</v>
      </c>
      <c r="F548" s="19" t="s">
        <v>531</v>
      </c>
      <c r="G548" s="19" t="s">
        <v>577</v>
      </c>
      <c r="H548" s="19" t="s">
        <v>263</v>
      </c>
      <c r="I548" s="17" t="b">
        <v>1</v>
      </c>
      <c r="J548" s="17" t="s">
        <v>43</v>
      </c>
      <c r="K548" s="21" t="str">
        <f t="shared" si="14"/>
        <v>https://version2.ice-d.org/antarctica/sample/J2015-GR77/</v>
      </c>
      <c r="L548" s="74" t="s">
        <v>596</v>
      </c>
      <c r="M548" s="155"/>
      <c r="O548" s="17" t="s">
        <v>584</v>
      </c>
      <c r="P548" s="22">
        <v>-76.997900000000001</v>
      </c>
      <c r="Q548" s="22">
        <v>161.79040000000001</v>
      </c>
      <c r="R548" s="22"/>
      <c r="S548" s="22">
        <v>416</v>
      </c>
      <c r="T548" s="17">
        <v>405</v>
      </c>
      <c r="U548" s="23">
        <v>340</v>
      </c>
      <c r="V548" s="8" t="s">
        <v>2063</v>
      </c>
      <c r="W548" s="44" t="s">
        <v>2429</v>
      </c>
      <c r="X548" s="22">
        <f t="shared" si="12"/>
        <v>11</v>
      </c>
      <c r="Y548" s="22">
        <v>4.5</v>
      </c>
      <c r="Z548" s="22">
        <v>2.2000000000000002</v>
      </c>
      <c r="AA548" s="17" t="s">
        <v>73</v>
      </c>
      <c r="AB548" s="26">
        <v>4531</v>
      </c>
      <c r="AC548" s="26">
        <v>211</v>
      </c>
      <c r="AD548" s="26">
        <v>341</v>
      </c>
      <c r="AE548" s="27">
        <v>36270</v>
      </c>
      <c r="AF548" s="27">
        <v>1690</v>
      </c>
      <c r="AG548" s="28"/>
      <c r="AH548" s="28"/>
      <c r="AI548" s="17">
        <v>2013</v>
      </c>
      <c r="AJ548" s="17">
        <v>1</v>
      </c>
      <c r="AK548" s="17">
        <v>0</v>
      </c>
    </row>
    <row r="549" spans="1:38" ht="15.75" customHeight="1">
      <c r="A549" s="74" t="s">
        <v>628</v>
      </c>
      <c r="B549" s="19" t="s">
        <v>627</v>
      </c>
      <c r="C549" s="17">
        <v>55</v>
      </c>
      <c r="D549" s="19" t="s">
        <v>196</v>
      </c>
      <c r="E549" s="19">
        <v>0</v>
      </c>
      <c r="F549" s="19" t="s">
        <v>531</v>
      </c>
      <c r="G549" s="19" t="s">
        <v>577</v>
      </c>
      <c r="H549" s="19" t="s">
        <v>263</v>
      </c>
      <c r="I549" s="17" t="b">
        <v>1</v>
      </c>
      <c r="J549" s="17" t="s">
        <v>43</v>
      </c>
      <c r="K549" s="21" t="str">
        <f t="shared" si="14"/>
        <v>https://version2.ice-d.org/antarctica/sample/J2015-GR78/</v>
      </c>
      <c r="L549" s="74" t="s">
        <v>596</v>
      </c>
      <c r="M549" s="155"/>
      <c r="O549" s="17" t="s">
        <v>584</v>
      </c>
      <c r="P549" s="22">
        <v>-76.997900000000001</v>
      </c>
      <c r="Q549" s="22">
        <v>161.79040000000001</v>
      </c>
      <c r="R549" s="22"/>
      <c r="S549" s="22">
        <v>417</v>
      </c>
      <c r="T549" s="17">
        <v>405</v>
      </c>
      <c r="U549" s="23">
        <v>340</v>
      </c>
      <c r="V549" s="8" t="s">
        <v>2063</v>
      </c>
      <c r="W549" s="44" t="s">
        <v>2429</v>
      </c>
      <c r="X549" s="22">
        <f t="shared" si="12"/>
        <v>12</v>
      </c>
      <c r="Y549" s="22">
        <v>4.25</v>
      </c>
      <c r="Z549" s="22">
        <v>2.2000000000000002</v>
      </c>
      <c r="AA549" s="17" t="s">
        <v>73</v>
      </c>
      <c r="AB549" s="26">
        <v>4037</v>
      </c>
      <c r="AC549" s="26">
        <v>180</v>
      </c>
      <c r="AD549" s="26">
        <v>299</v>
      </c>
      <c r="AE549" s="27">
        <v>32466</v>
      </c>
      <c r="AF549" s="27">
        <v>1450</v>
      </c>
      <c r="AG549" s="28"/>
      <c r="AH549" s="28"/>
      <c r="AI549" s="17">
        <v>2013</v>
      </c>
      <c r="AJ549" s="17">
        <v>1</v>
      </c>
      <c r="AK549" s="17">
        <v>0</v>
      </c>
    </row>
    <row r="550" spans="1:38" ht="15.75" customHeight="1">
      <c r="A550" s="74" t="s">
        <v>629</v>
      </c>
      <c r="B550" s="19" t="s">
        <v>627</v>
      </c>
      <c r="C550" s="17">
        <v>55</v>
      </c>
      <c r="D550" s="19" t="s">
        <v>196</v>
      </c>
      <c r="E550" s="19">
        <v>0</v>
      </c>
      <c r="F550" s="19" t="s">
        <v>531</v>
      </c>
      <c r="G550" s="19" t="s">
        <v>577</v>
      </c>
      <c r="H550" s="19" t="s">
        <v>263</v>
      </c>
      <c r="I550" s="17" t="b">
        <v>1</v>
      </c>
      <c r="J550" s="17" t="s">
        <v>43</v>
      </c>
      <c r="K550" s="21" t="str">
        <f t="shared" si="14"/>
        <v>https://version2.ice-d.org/antarctica/sample/J2015-GR79/</v>
      </c>
      <c r="L550" s="74" t="s">
        <v>596</v>
      </c>
      <c r="M550" s="155"/>
      <c r="O550" s="17" t="s">
        <v>584</v>
      </c>
      <c r="P550" s="22">
        <v>-76.9983</v>
      </c>
      <c r="Q550" s="22">
        <v>161.78899999999999</v>
      </c>
      <c r="R550" s="22"/>
      <c r="S550" s="22">
        <v>429</v>
      </c>
      <c r="T550" s="17">
        <v>405</v>
      </c>
      <c r="U550" s="23">
        <v>340</v>
      </c>
      <c r="V550" s="8" t="s">
        <v>2063</v>
      </c>
      <c r="W550" s="44" t="s">
        <v>2429</v>
      </c>
      <c r="X550" s="22">
        <f t="shared" si="12"/>
        <v>24</v>
      </c>
      <c r="Y550" s="22">
        <v>6</v>
      </c>
      <c r="Z550" s="22">
        <v>2.4</v>
      </c>
      <c r="AA550" s="17" t="s">
        <v>73</v>
      </c>
      <c r="AB550" s="26">
        <v>6104</v>
      </c>
      <c r="AC550" s="26">
        <v>297</v>
      </c>
      <c r="AD550" s="26">
        <v>467</v>
      </c>
      <c r="AE550" s="27">
        <v>46579</v>
      </c>
      <c r="AF550" s="27">
        <v>2260</v>
      </c>
      <c r="AG550" s="28"/>
      <c r="AH550" s="28"/>
      <c r="AI550" s="17">
        <v>2013</v>
      </c>
      <c r="AJ550" s="17">
        <v>1</v>
      </c>
      <c r="AK550" s="17">
        <v>0</v>
      </c>
    </row>
    <row r="551" spans="1:38" ht="15.75" customHeight="1">
      <c r="A551" s="74" t="s">
        <v>630</v>
      </c>
      <c r="B551" s="19" t="s">
        <v>627</v>
      </c>
      <c r="C551" s="17">
        <v>55</v>
      </c>
      <c r="D551" s="19" t="s">
        <v>196</v>
      </c>
      <c r="E551" s="19">
        <v>0</v>
      </c>
      <c r="F551" s="19" t="s">
        <v>531</v>
      </c>
      <c r="G551" s="19" t="s">
        <v>577</v>
      </c>
      <c r="H551" s="19" t="s">
        <v>263</v>
      </c>
      <c r="I551" s="17" t="b">
        <v>1</v>
      </c>
      <c r="J551" s="17" t="s">
        <v>43</v>
      </c>
      <c r="K551" s="21" t="str">
        <f t="shared" si="14"/>
        <v>https://version2.ice-d.org/antarctica/sample/J2015-GR80/</v>
      </c>
      <c r="L551" s="74" t="s">
        <v>596</v>
      </c>
      <c r="M551" s="155"/>
      <c r="O551" s="17" t="s">
        <v>584</v>
      </c>
      <c r="P551" s="22">
        <v>-76.9983</v>
      </c>
      <c r="Q551" s="22">
        <v>161.78899999999999</v>
      </c>
      <c r="R551" s="22"/>
      <c r="S551" s="22">
        <v>430</v>
      </c>
      <c r="T551" s="17">
        <v>405</v>
      </c>
      <c r="U551" s="23">
        <v>340</v>
      </c>
      <c r="V551" s="8" t="s">
        <v>2063</v>
      </c>
      <c r="W551" s="44" t="s">
        <v>2429</v>
      </c>
      <c r="X551" s="22">
        <f t="shared" si="12"/>
        <v>25</v>
      </c>
      <c r="Y551" s="22">
        <v>4</v>
      </c>
      <c r="Z551" s="22">
        <v>2.2000000000000002</v>
      </c>
      <c r="AA551" s="17" t="s">
        <v>73</v>
      </c>
      <c r="AB551" s="26">
        <v>6466</v>
      </c>
      <c r="AC551" s="26">
        <v>255</v>
      </c>
      <c r="AD551" s="26">
        <v>459</v>
      </c>
      <c r="AE551" s="27">
        <v>49622</v>
      </c>
      <c r="AF551" s="27">
        <v>1950</v>
      </c>
      <c r="AG551" s="28"/>
      <c r="AH551" s="28"/>
      <c r="AI551" s="17">
        <v>2013</v>
      </c>
      <c r="AJ551" s="17">
        <v>1</v>
      </c>
      <c r="AK551" s="17">
        <v>0</v>
      </c>
    </row>
    <row r="552" spans="1:38" ht="15.75" customHeight="1">
      <c r="A552" s="74" t="s">
        <v>631</v>
      </c>
      <c r="B552" s="19" t="s">
        <v>627</v>
      </c>
      <c r="C552" s="17">
        <v>55</v>
      </c>
      <c r="D552" s="19" t="s">
        <v>196</v>
      </c>
      <c r="E552" s="19">
        <v>0</v>
      </c>
      <c r="F552" s="19" t="s">
        <v>531</v>
      </c>
      <c r="G552" s="19" t="s">
        <v>577</v>
      </c>
      <c r="H552" s="19" t="s">
        <v>263</v>
      </c>
      <c r="I552" s="17" t="b">
        <v>1</v>
      </c>
      <c r="J552" s="17" t="s">
        <v>43</v>
      </c>
      <c r="K552" s="21" t="str">
        <f t="shared" si="14"/>
        <v>https://version2.ice-d.org/antarctica/sample/J2015-GR82/</v>
      </c>
      <c r="L552" s="74" t="s">
        <v>596</v>
      </c>
      <c r="M552" s="155"/>
      <c r="O552" s="17" t="s">
        <v>584</v>
      </c>
      <c r="P552" s="22">
        <v>-76.998500000000007</v>
      </c>
      <c r="Q552" s="22">
        <v>161.7878</v>
      </c>
      <c r="R552" s="22"/>
      <c r="S552" s="22">
        <v>446</v>
      </c>
      <c r="T552" s="17">
        <v>405</v>
      </c>
      <c r="U552" s="23">
        <v>340</v>
      </c>
      <c r="V552" s="8" t="s">
        <v>2063</v>
      </c>
      <c r="W552" s="44" t="s">
        <v>2429</v>
      </c>
      <c r="X552" s="22">
        <f t="shared" si="12"/>
        <v>41</v>
      </c>
      <c r="Y552" s="22">
        <v>3</v>
      </c>
      <c r="Z552" s="22">
        <v>2.2000000000000002</v>
      </c>
      <c r="AA552" s="17" t="s">
        <v>73</v>
      </c>
      <c r="AB552" s="26">
        <v>6381</v>
      </c>
      <c r="AC552" s="26">
        <v>347</v>
      </c>
      <c r="AD552" s="26">
        <v>513</v>
      </c>
      <c r="AE552" s="27">
        <v>52970</v>
      </c>
      <c r="AF552" s="27">
        <v>2880</v>
      </c>
      <c r="AG552" s="28"/>
      <c r="AH552" s="28"/>
      <c r="AI552" s="17">
        <v>2013</v>
      </c>
      <c r="AJ552" s="17">
        <v>1</v>
      </c>
      <c r="AK552" s="17">
        <v>0</v>
      </c>
    </row>
    <row r="553" spans="1:38" ht="12.75" customHeight="1">
      <c r="A553" s="45" t="s">
        <v>632</v>
      </c>
      <c r="B553" s="19" t="s">
        <v>633</v>
      </c>
      <c r="C553" s="22">
        <v>56</v>
      </c>
      <c r="D553" s="20" t="s">
        <v>196</v>
      </c>
      <c r="E553" s="19">
        <v>0</v>
      </c>
      <c r="F553" s="19" t="s">
        <v>634</v>
      </c>
      <c r="G553" s="19" t="s">
        <v>635</v>
      </c>
      <c r="H553" s="19" t="s">
        <v>263</v>
      </c>
      <c r="I553" s="59" t="b">
        <v>1</v>
      </c>
      <c r="J553" s="17" t="s">
        <v>43</v>
      </c>
      <c r="K553" s="21" t="str">
        <f t="shared" si="14"/>
        <v>https://version2.ice-d.org/antarctica/sample/07-SCT-196-HOP/</v>
      </c>
      <c r="L553" s="45" t="s">
        <v>39</v>
      </c>
      <c r="M553" s="45"/>
      <c r="O553" s="17" t="s">
        <v>636</v>
      </c>
      <c r="P553" s="22">
        <v>-83.511499999999998</v>
      </c>
      <c r="Q553" s="22">
        <v>171.42769999999999</v>
      </c>
      <c r="R553" s="22"/>
      <c r="S553" s="22">
        <v>182</v>
      </c>
      <c r="T553" s="22">
        <v>80</v>
      </c>
      <c r="U553" s="67">
        <f t="shared" ref="U553:U559" si="15">836 - T553</f>
        <v>756</v>
      </c>
      <c r="V553" s="9"/>
      <c r="W553" s="69"/>
      <c r="X553" s="22">
        <v>102</v>
      </c>
      <c r="AB553" s="60">
        <v>8442</v>
      </c>
      <c r="AC553" s="60">
        <v>272</v>
      </c>
      <c r="AD553" s="60">
        <v>569</v>
      </c>
      <c r="AE553" s="22">
        <v>2007</v>
      </c>
      <c r="AF553" s="22">
        <v>1</v>
      </c>
      <c r="AG553" s="22">
        <v>6</v>
      </c>
      <c r="AH553" s="22">
        <v>0</v>
      </c>
      <c r="AK553" s="17">
        <v>0</v>
      </c>
    </row>
    <row r="554" spans="1:38" ht="12.75" customHeight="1">
      <c r="A554" s="45" t="s">
        <v>637</v>
      </c>
      <c r="B554" s="19" t="s">
        <v>633</v>
      </c>
      <c r="C554" s="22">
        <v>56</v>
      </c>
      <c r="D554" s="20" t="s">
        <v>196</v>
      </c>
      <c r="E554" s="19">
        <v>0</v>
      </c>
      <c r="F554" s="19" t="s">
        <v>634</v>
      </c>
      <c r="G554" s="19" t="s">
        <v>635</v>
      </c>
      <c r="H554" s="19" t="s">
        <v>263</v>
      </c>
      <c r="I554" s="59" t="b">
        <v>1</v>
      </c>
      <c r="J554" s="17" t="s">
        <v>43</v>
      </c>
      <c r="K554" s="21" t="str">
        <f t="shared" si="14"/>
        <v>https://version2.ice-d.org/antarctica/sample/07-SCT-197-HOP/</v>
      </c>
      <c r="L554" s="45" t="s">
        <v>39</v>
      </c>
      <c r="M554" s="45"/>
      <c r="O554" s="17" t="s">
        <v>636</v>
      </c>
      <c r="P554" s="22">
        <v>-83.507499999999993</v>
      </c>
      <c r="Q554" s="22">
        <v>171.41919999999999</v>
      </c>
      <c r="R554" s="22"/>
      <c r="S554" s="22">
        <v>224</v>
      </c>
      <c r="T554" s="22">
        <v>80</v>
      </c>
      <c r="U554" s="67">
        <f t="shared" si="15"/>
        <v>756</v>
      </c>
      <c r="V554" s="67"/>
      <c r="W554" s="69"/>
      <c r="X554" s="22">
        <v>144</v>
      </c>
      <c r="AB554" s="60">
        <v>9399</v>
      </c>
      <c r="AC554" s="60">
        <v>231</v>
      </c>
      <c r="AD554" s="60">
        <v>602</v>
      </c>
      <c r="AE554" s="22">
        <v>2007</v>
      </c>
      <c r="AF554" s="22">
        <v>1</v>
      </c>
      <c r="AG554" s="22">
        <v>6</v>
      </c>
      <c r="AH554" s="22">
        <v>0</v>
      </c>
      <c r="AK554" s="17">
        <v>0</v>
      </c>
    </row>
    <row r="555" spans="1:38" ht="12.75" customHeight="1">
      <c r="A555" s="45" t="s">
        <v>638</v>
      </c>
      <c r="B555" s="19" t="s">
        <v>633</v>
      </c>
      <c r="C555" s="22">
        <v>56</v>
      </c>
      <c r="D555" s="20" t="s">
        <v>196</v>
      </c>
      <c r="E555" s="19">
        <v>0</v>
      </c>
      <c r="F555" s="19" t="s">
        <v>634</v>
      </c>
      <c r="G555" s="19" t="s">
        <v>635</v>
      </c>
      <c r="H555" s="19" t="s">
        <v>263</v>
      </c>
      <c r="I555" s="59" t="b">
        <v>1</v>
      </c>
      <c r="J555" s="17" t="s">
        <v>247</v>
      </c>
      <c r="K555" s="21" t="str">
        <f t="shared" si="14"/>
        <v>https://version2.ice-d.org/antarctica/sample/07-SCT-198-HOP/</v>
      </c>
      <c r="L555" s="45" t="s">
        <v>39</v>
      </c>
      <c r="M555" s="45"/>
      <c r="O555" s="17" t="s">
        <v>636</v>
      </c>
      <c r="P555" s="22">
        <v>-83.5077</v>
      </c>
      <c r="Q555" s="22">
        <v>171.42019999999999</v>
      </c>
      <c r="R555" s="22"/>
      <c r="S555" s="22">
        <v>226</v>
      </c>
      <c r="T555" s="22">
        <v>80</v>
      </c>
      <c r="U555" s="67">
        <f t="shared" si="15"/>
        <v>756</v>
      </c>
      <c r="V555" s="67"/>
      <c r="W555" s="69"/>
      <c r="X555" s="22">
        <v>146</v>
      </c>
      <c r="AB555" s="60">
        <v>10170</v>
      </c>
      <c r="AC555" s="60">
        <v>289</v>
      </c>
      <c r="AD555" s="60">
        <v>667</v>
      </c>
      <c r="AE555" s="22">
        <v>2007</v>
      </c>
      <c r="AF555" s="22">
        <v>1</v>
      </c>
      <c r="AG555" s="22">
        <v>6</v>
      </c>
      <c r="AH555" s="22">
        <v>0</v>
      </c>
      <c r="AK555" s="17">
        <v>0</v>
      </c>
    </row>
    <row r="556" spans="1:38" ht="12.75" customHeight="1">
      <c r="A556" s="45" t="s">
        <v>639</v>
      </c>
      <c r="B556" s="19" t="s">
        <v>633</v>
      </c>
      <c r="C556" s="22">
        <v>56</v>
      </c>
      <c r="D556" s="20" t="s">
        <v>196</v>
      </c>
      <c r="E556" s="19">
        <v>0</v>
      </c>
      <c r="F556" s="19" t="s">
        <v>634</v>
      </c>
      <c r="G556" s="19" t="s">
        <v>635</v>
      </c>
      <c r="H556" s="19" t="s">
        <v>263</v>
      </c>
      <c r="I556" s="59" t="b">
        <v>1</v>
      </c>
      <c r="J556" s="17" t="s">
        <v>43</v>
      </c>
      <c r="K556" s="21" t="str">
        <f t="shared" si="14"/>
        <v>https://version2.ice-d.org/antarctica/sample/10-BDM-079-HOP/</v>
      </c>
      <c r="L556" s="46" t="s">
        <v>112</v>
      </c>
      <c r="M556" s="46"/>
      <c r="O556" s="17" t="s">
        <v>636</v>
      </c>
      <c r="P556" s="22">
        <v>-83.507599999999996</v>
      </c>
      <c r="Q556" s="22">
        <v>171.4196</v>
      </c>
      <c r="R556" s="22"/>
      <c r="S556" s="22">
        <v>224</v>
      </c>
      <c r="T556" s="22">
        <v>80</v>
      </c>
      <c r="U556" s="67">
        <f t="shared" si="15"/>
        <v>756</v>
      </c>
      <c r="V556" s="67"/>
      <c r="W556" s="69"/>
      <c r="X556" s="22">
        <v>144</v>
      </c>
      <c r="AB556" s="60">
        <v>9308</v>
      </c>
      <c r="AC556" s="60">
        <v>375</v>
      </c>
      <c r="AD556" s="60">
        <v>666</v>
      </c>
      <c r="AE556" s="22">
        <v>2010</v>
      </c>
      <c r="AF556" s="22">
        <v>1</v>
      </c>
      <c r="AG556" s="22">
        <v>7</v>
      </c>
      <c r="AH556" s="22">
        <v>0</v>
      </c>
      <c r="AK556" s="17">
        <v>0</v>
      </c>
    </row>
    <row r="557" spans="1:38" ht="12.75" customHeight="1">
      <c r="A557" s="45" t="s">
        <v>640</v>
      </c>
      <c r="B557" s="19" t="s">
        <v>633</v>
      </c>
      <c r="C557" s="22">
        <v>56</v>
      </c>
      <c r="D557" s="20" t="s">
        <v>196</v>
      </c>
      <c r="E557" s="19">
        <v>0</v>
      </c>
      <c r="F557" s="19" t="s">
        <v>634</v>
      </c>
      <c r="G557" s="19" t="s">
        <v>635</v>
      </c>
      <c r="H557" s="19" t="s">
        <v>263</v>
      </c>
      <c r="I557" s="59" t="b">
        <v>1</v>
      </c>
      <c r="J557" s="17" t="s">
        <v>43</v>
      </c>
      <c r="K557" s="21" t="str">
        <f t="shared" si="14"/>
        <v>https://version2.ice-d.org/antarctica/sample/10-BDM-080-HOP/</v>
      </c>
      <c r="L557" s="46" t="s">
        <v>112</v>
      </c>
      <c r="M557" s="46"/>
      <c r="O557" s="17" t="s">
        <v>636</v>
      </c>
      <c r="P557" s="22">
        <v>-83.507800000000003</v>
      </c>
      <c r="Q557" s="22">
        <v>171.4177</v>
      </c>
      <c r="R557" s="22"/>
      <c r="S557" s="22">
        <v>223</v>
      </c>
      <c r="T557" s="22">
        <v>80</v>
      </c>
      <c r="U557" s="67">
        <f t="shared" si="15"/>
        <v>756</v>
      </c>
      <c r="V557" s="67"/>
      <c r="W557" s="69"/>
      <c r="X557" s="22">
        <v>143</v>
      </c>
      <c r="AB557" s="60">
        <v>10283</v>
      </c>
      <c r="AC557" s="60">
        <v>312</v>
      </c>
      <c r="AD557" s="60">
        <v>684</v>
      </c>
      <c r="AE557" s="22">
        <v>2010</v>
      </c>
      <c r="AF557" s="22">
        <v>1</v>
      </c>
      <c r="AG557" s="22">
        <v>7</v>
      </c>
      <c r="AH557" s="22">
        <v>0</v>
      </c>
      <c r="AK557" s="17">
        <v>0</v>
      </c>
    </row>
    <row r="558" spans="1:38" ht="12.75" customHeight="1">
      <c r="A558" s="45" t="s">
        <v>641</v>
      </c>
      <c r="B558" s="19" t="s">
        <v>633</v>
      </c>
      <c r="C558" s="22">
        <v>56</v>
      </c>
      <c r="D558" s="20" t="s">
        <v>196</v>
      </c>
      <c r="E558" s="19">
        <v>0</v>
      </c>
      <c r="F558" s="19" t="s">
        <v>634</v>
      </c>
      <c r="G558" s="19" t="s">
        <v>635</v>
      </c>
      <c r="H558" s="19" t="s">
        <v>263</v>
      </c>
      <c r="I558" s="59" t="b">
        <v>1</v>
      </c>
      <c r="J558" s="17" t="s">
        <v>43</v>
      </c>
      <c r="K558" s="21" t="str">
        <f t="shared" si="14"/>
        <v>https://version2.ice-d.org/antarctica/sample/10-BDM-082-HOP/</v>
      </c>
      <c r="L558" s="46" t="s">
        <v>112</v>
      </c>
      <c r="M558" s="46"/>
      <c r="O558" s="17" t="s">
        <v>636</v>
      </c>
      <c r="P558" s="22">
        <v>-83.508200000000002</v>
      </c>
      <c r="Q558" s="22">
        <v>171.42850000000001</v>
      </c>
      <c r="R558" s="22"/>
      <c r="S558" s="22">
        <v>195</v>
      </c>
      <c r="T558" s="22">
        <v>80</v>
      </c>
      <c r="U558" s="67">
        <f t="shared" si="15"/>
        <v>756</v>
      </c>
      <c r="V558" s="67"/>
      <c r="W558" s="69"/>
      <c r="X558" s="22">
        <v>115</v>
      </c>
      <c r="AB558" s="60">
        <v>9229</v>
      </c>
      <c r="AC558" s="60">
        <v>323</v>
      </c>
      <c r="AD558" s="60">
        <v>634</v>
      </c>
      <c r="AE558" s="22">
        <v>2010</v>
      </c>
      <c r="AF558" s="22">
        <v>1</v>
      </c>
      <c r="AG558" s="22">
        <v>7</v>
      </c>
      <c r="AH558" s="22">
        <v>0</v>
      </c>
      <c r="AK558" s="17">
        <v>0</v>
      </c>
    </row>
    <row r="559" spans="1:38" ht="12.75" customHeight="1">
      <c r="A559" s="45" t="s">
        <v>642</v>
      </c>
      <c r="B559" s="19" t="s">
        <v>633</v>
      </c>
      <c r="C559" s="22">
        <v>56</v>
      </c>
      <c r="D559" s="20" t="s">
        <v>196</v>
      </c>
      <c r="E559" s="19">
        <v>0</v>
      </c>
      <c r="F559" s="19" t="s">
        <v>634</v>
      </c>
      <c r="G559" s="19" t="s">
        <v>635</v>
      </c>
      <c r="H559" s="19" t="s">
        <v>263</v>
      </c>
      <c r="I559" s="59" t="b">
        <v>1</v>
      </c>
      <c r="J559" s="17" t="s">
        <v>43</v>
      </c>
      <c r="K559" s="21" t="str">
        <f t="shared" si="14"/>
        <v>https://version2.ice-d.org/antarctica/sample/10-BDM-083-HOP/</v>
      </c>
      <c r="L559" s="46" t="s">
        <v>112</v>
      </c>
      <c r="M559" s="46"/>
      <c r="O559" s="17" t="s">
        <v>636</v>
      </c>
      <c r="P559" s="22">
        <v>-83.508300000000006</v>
      </c>
      <c r="Q559" s="22">
        <v>171.4288</v>
      </c>
      <c r="R559" s="22"/>
      <c r="S559" s="22">
        <v>189</v>
      </c>
      <c r="T559" s="22">
        <v>80</v>
      </c>
      <c r="U559" s="67">
        <f t="shared" si="15"/>
        <v>756</v>
      </c>
      <c r="V559" s="67"/>
      <c r="W559" s="69"/>
      <c r="X559" s="22">
        <v>109</v>
      </c>
      <c r="AB559" s="60">
        <v>9106</v>
      </c>
      <c r="AC559" s="60">
        <v>319</v>
      </c>
      <c r="AD559" s="60">
        <v>626</v>
      </c>
      <c r="AE559" s="22">
        <v>2010</v>
      </c>
      <c r="AF559" s="22">
        <v>1</v>
      </c>
      <c r="AG559" s="22">
        <v>7</v>
      </c>
      <c r="AH559" s="22">
        <v>0</v>
      </c>
      <c r="AK559" s="17">
        <v>0</v>
      </c>
    </row>
    <row r="560" spans="1:38" ht="12.75" customHeight="1">
      <c r="A560" s="45" t="s">
        <v>643</v>
      </c>
      <c r="B560" s="19" t="s">
        <v>633</v>
      </c>
      <c r="C560" s="22">
        <v>57</v>
      </c>
      <c r="D560" s="19" t="s">
        <v>196</v>
      </c>
      <c r="E560" s="19">
        <v>0</v>
      </c>
      <c r="F560" s="19" t="s">
        <v>634</v>
      </c>
      <c r="G560" s="19" t="s">
        <v>635</v>
      </c>
      <c r="H560" s="19" t="s">
        <v>263</v>
      </c>
      <c r="I560" s="59" t="b">
        <v>1</v>
      </c>
      <c r="J560" s="17" t="s">
        <v>43</v>
      </c>
      <c r="K560" s="21" t="str">
        <f t="shared" si="14"/>
        <v>https://version2.ice-d.org/antarctica/sample/07-SCT-190-HOP/</v>
      </c>
      <c r="L560" s="45" t="s">
        <v>39</v>
      </c>
      <c r="M560" s="45" t="s">
        <v>44</v>
      </c>
      <c r="O560" s="17" t="s">
        <v>636</v>
      </c>
      <c r="P560" s="22">
        <v>-83.515600000000006</v>
      </c>
      <c r="Q560" s="22">
        <v>171.48220000000001</v>
      </c>
      <c r="R560" s="22"/>
      <c r="S560" s="22">
        <v>81</v>
      </c>
      <c r="T560" s="22">
        <v>80</v>
      </c>
      <c r="U560" s="67">
        <f t="shared" ref="U560:U582" si="16">836 - T560</f>
        <v>756</v>
      </c>
      <c r="V560" s="67"/>
      <c r="W560" s="69"/>
      <c r="X560" s="22">
        <v>1</v>
      </c>
      <c r="AB560" s="60">
        <v>542</v>
      </c>
      <c r="AC560" s="60">
        <v>68</v>
      </c>
      <c r="AD560" s="60">
        <v>75</v>
      </c>
      <c r="AE560" s="22">
        <v>2007</v>
      </c>
      <c r="AF560" s="22">
        <v>1</v>
      </c>
      <c r="AG560" s="22">
        <v>6</v>
      </c>
      <c r="AH560" s="22">
        <v>0</v>
      </c>
      <c r="AK560" s="17">
        <v>0</v>
      </c>
    </row>
    <row r="561" spans="1:37" ht="12.75" customHeight="1">
      <c r="A561" s="45" t="s">
        <v>644</v>
      </c>
      <c r="B561" s="19" t="s">
        <v>633</v>
      </c>
      <c r="C561" s="22">
        <v>57</v>
      </c>
      <c r="D561" s="19" t="s">
        <v>196</v>
      </c>
      <c r="E561" s="19">
        <v>0</v>
      </c>
      <c r="F561" s="19" t="s">
        <v>634</v>
      </c>
      <c r="G561" s="19" t="s">
        <v>635</v>
      </c>
      <c r="H561" s="19" t="s">
        <v>263</v>
      </c>
      <c r="I561" s="59" t="b">
        <v>1</v>
      </c>
      <c r="J561" s="17" t="s">
        <v>43</v>
      </c>
      <c r="K561" s="21" t="str">
        <f t="shared" si="14"/>
        <v>https://version2.ice-d.org/antarctica/sample/07-SCT-192-HOP/</v>
      </c>
      <c r="L561" s="45" t="s">
        <v>39</v>
      </c>
      <c r="M561" s="45"/>
      <c r="O561" s="17" t="s">
        <v>636</v>
      </c>
      <c r="P561" s="22">
        <v>-83.515199999999993</v>
      </c>
      <c r="Q561" s="22">
        <v>171.4785</v>
      </c>
      <c r="R561" s="22"/>
      <c r="S561" s="22">
        <v>92</v>
      </c>
      <c r="T561" s="22">
        <v>80</v>
      </c>
      <c r="U561" s="67">
        <f t="shared" si="16"/>
        <v>756</v>
      </c>
      <c r="V561" s="67"/>
      <c r="W561" s="69"/>
      <c r="X561" s="22">
        <v>12</v>
      </c>
      <c r="AB561" s="60">
        <v>3147</v>
      </c>
      <c r="AC561" s="60">
        <v>141</v>
      </c>
      <c r="AD561" s="60">
        <v>233</v>
      </c>
      <c r="AE561" s="22">
        <v>2007</v>
      </c>
      <c r="AF561" s="22">
        <v>1</v>
      </c>
      <c r="AG561" s="22">
        <v>6</v>
      </c>
      <c r="AH561" s="22">
        <v>0</v>
      </c>
      <c r="AK561" s="17">
        <v>0</v>
      </c>
    </row>
    <row r="562" spans="1:37" ht="12.75" customHeight="1">
      <c r="A562" s="45" t="s">
        <v>645</v>
      </c>
      <c r="B562" s="19" t="s">
        <v>633</v>
      </c>
      <c r="C562" s="22">
        <v>57</v>
      </c>
      <c r="D562" s="19" t="s">
        <v>196</v>
      </c>
      <c r="E562" s="19">
        <v>0</v>
      </c>
      <c r="F562" s="19" t="s">
        <v>634</v>
      </c>
      <c r="G562" s="19" t="s">
        <v>635</v>
      </c>
      <c r="H562" s="19" t="s">
        <v>263</v>
      </c>
      <c r="I562" s="59" t="b">
        <v>1</v>
      </c>
      <c r="J562" s="17" t="s">
        <v>43</v>
      </c>
      <c r="K562" s="21" t="str">
        <f t="shared" si="14"/>
        <v>https://version2.ice-d.org/antarctica/sample/07-SCT-194-HOP/</v>
      </c>
      <c r="L562" s="45" t="s">
        <v>39</v>
      </c>
      <c r="M562" s="45"/>
      <c r="O562" s="17" t="s">
        <v>636</v>
      </c>
      <c r="P562" s="22">
        <v>-83.513800000000003</v>
      </c>
      <c r="Q562" s="22">
        <v>171.47730000000001</v>
      </c>
      <c r="R562" s="22"/>
      <c r="S562" s="22">
        <v>120</v>
      </c>
      <c r="T562" s="22">
        <v>80</v>
      </c>
      <c r="U562" s="67">
        <f t="shared" si="16"/>
        <v>756</v>
      </c>
      <c r="V562" s="67"/>
      <c r="W562" s="69"/>
      <c r="X562" s="22">
        <v>40</v>
      </c>
      <c r="AB562" s="60">
        <v>7214</v>
      </c>
      <c r="AC562" s="60">
        <v>173</v>
      </c>
      <c r="AD562" s="60">
        <v>460</v>
      </c>
      <c r="AE562" s="22">
        <v>2007</v>
      </c>
      <c r="AF562" s="22">
        <v>1</v>
      </c>
      <c r="AG562" s="22">
        <v>6</v>
      </c>
      <c r="AH562" s="22">
        <v>0</v>
      </c>
      <c r="AK562" s="17">
        <v>0</v>
      </c>
    </row>
    <row r="563" spans="1:37" ht="12.75" customHeight="1">
      <c r="A563" s="45" t="s">
        <v>646</v>
      </c>
      <c r="B563" s="19" t="s">
        <v>633</v>
      </c>
      <c r="C563" s="22">
        <v>57</v>
      </c>
      <c r="D563" s="19" t="s">
        <v>196</v>
      </c>
      <c r="E563" s="19">
        <v>0</v>
      </c>
      <c r="F563" s="19" t="s">
        <v>634</v>
      </c>
      <c r="G563" s="19" t="s">
        <v>635</v>
      </c>
      <c r="H563" s="19" t="s">
        <v>263</v>
      </c>
      <c r="I563" s="59" t="b">
        <v>1</v>
      </c>
      <c r="J563" s="17" t="s">
        <v>43</v>
      </c>
      <c r="K563" s="21" t="str">
        <f t="shared" si="14"/>
        <v>https://version2.ice-d.org/antarctica/sample/07-SCT-195-HOP/</v>
      </c>
      <c r="L563" s="45" t="s">
        <v>39</v>
      </c>
      <c r="M563" s="45"/>
      <c r="O563" s="17" t="s">
        <v>636</v>
      </c>
      <c r="P563" s="22">
        <v>-83.513400000000004</v>
      </c>
      <c r="Q563" s="22">
        <v>171.47069999999999</v>
      </c>
      <c r="R563" s="22"/>
      <c r="S563" s="22">
        <v>140</v>
      </c>
      <c r="T563" s="22">
        <v>80</v>
      </c>
      <c r="U563" s="67">
        <f t="shared" si="16"/>
        <v>756</v>
      </c>
      <c r="V563" s="67"/>
      <c r="W563" s="69"/>
      <c r="X563" s="22">
        <v>60</v>
      </c>
      <c r="AB563" s="60">
        <v>7717</v>
      </c>
      <c r="AC563" s="60">
        <v>184</v>
      </c>
      <c r="AD563" s="60">
        <v>492</v>
      </c>
      <c r="AE563" s="22">
        <v>2007</v>
      </c>
      <c r="AF563" s="22">
        <v>1</v>
      </c>
      <c r="AG563" s="22">
        <v>6</v>
      </c>
      <c r="AH563" s="22">
        <v>0</v>
      </c>
      <c r="AK563" s="17">
        <v>0</v>
      </c>
    </row>
    <row r="564" spans="1:37" ht="12.75" customHeight="1">
      <c r="A564" s="45" t="s">
        <v>647</v>
      </c>
      <c r="B564" s="19" t="s">
        <v>633</v>
      </c>
      <c r="C564" s="22">
        <v>57</v>
      </c>
      <c r="D564" s="19" t="s">
        <v>196</v>
      </c>
      <c r="E564" s="19">
        <v>0</v>
      </c>
      <c r="F564" s="19" t="s">
        <v>634</v>
      </c>
      <c r="G564" s="19" t="s">
        <v>635</v>
      </c>
      <c r="H564" s="19" t="s">
        <v>263</v>
      </c>
      <c r="I564" s="59" t="b">
        <v>1</v>
      </c>
      <c r="J564" s="17" t="s">
        <v>43</v>
      </c>
      <c r="K564" s="21" t="str">
        <f t="shared" si="14"/>
        <v>https://version2.ice-d.org/antarctica/sample/10-BDM-046-HOP/</v>
      </c>
      <c r="L564" s="46" t="s">
        <v>112</v>
      </c>
      <c r="M564" s="97" t="s">
        <v>2407</v>
      </c>
      <c r="O564" s="17" t="s">
        <v>636</v>
      </c>
      <c r="P564" s="22">
        <v>-83.512</v>
      </c>
      <c r="Q564" s="22">
        <v>171.4529</v>
      </c>
      <c r="R564" s="22"/>
      <c r="S564" s="22">
        <v>161</v>
      </c>
      <c r="T564" s="22">
        <v>80</v>
      </c>
      <c r="U564" s="67">
        <f t="shared" si="16"/>
        <v>756</v>
      </c>
      <c r="V564" s="67"/>
      <c r="W564" s="69"/>
      <c r="X564" s="22">
        <v>81</v>
      </c>
      <c r="AB564" s="60">
        <v>8401</v>
      </c>
      <c r="AC564" s="60">
        <v>320</v>
      </c>
      <c r="AD564" s="60">
        <v>567</v>
      </c>
      <c r="AE564" s="22">
        <v>2010</v>
      </c>
      <c r="AF564" s="22">
        <v>1</v>
      </c>
      <c r="AG564" s="22">
        <v>6</v>
      </c>
      <c r="AH564" s="22">
        <v>0</v>
      </c>
      <c r="AK564" s="17">
        <v>0</v>
      </c>
    </row>
    <row r="565" spans="1:37" ht="12.75" customHeight="1">
      <c r="A565" s="46" t="s">
        <v>648</v>
      </c>
      <c r="B565" s="19" t="s">
        <v>649</v>
      </c>
      <c r="C565" s="22">
        <v>57</v>
      </c>
      <c r="D565" s="19" t="s">
        <v>196</v>
      </c>
      <c r="E565" s="19">
        <v>0</v>
      </c>
      <c r="F565" s="19" t="s">
        <v>634</v>
      </c>
      <c r="G565" s="19" t="s">
        <v>635</v>
      </c>
      <c r="H565" s="19" t="s">
        <v>263</v>
      </c>
      <c r="I565" s="59" t="b">
        <v>1</v>
      </c>
      <c r="J565" s="17" t="s">
        <v>43</v>
      </c>
      <c r="K565" s="21" t="str">
        <f t="shared" si="14"/>
        <v>https://version2.ice-d.org/antarctica/sample/07-SCT-188-HOP/</v>
      </c>
      <c r="L565" s="45" t="s">
        <v>39</v>
      </c>
      <c r="M565" s="45"/>
      <c r="O565" s="17" t="s">
        <v>636</v>
      </c>
      <c r="P565" s="22">
        <v>-83.516900000000007</v>
      </c>
      <c r="Q565" s="22">
        <v>171.3931</v>
      </c>
      <c r="R565" s="22"/>
      <c r="S565" s="22">
        <v>438</v>
      </c>
      <c r="T565" s="22">
        <v>80</v>
      </c>
      <c r="U565" s="67">
        <f t="shared" si="16"/>
        <v>756</v>
      </c>
      <c r="V565" s="67"/>
      <c r="W565" s="69"/>
      <c r="X565" s="22">
        <v>358</v>
      </c>
      <c r="AB565" s="60">
        <v>8556</v>
      </c>
      <c r="AC565" s="60">
        <v>149</v>
      </c>
      <c r="AD565" s="35">
        <v>527</v>
      </c>
      <c r="AE565" s="19">
        <v>2007</v>
      </c>
      <c r="AF565" s="22">
        <v>1</v>
      </c>
      <c r="AG565" s="22">
        <v>6</v>
      </c>
      <c r="AH565" s="22">
        <v>0</v>
      </c>
      <c r="AK565" s="17">
        <v>0</v>
      </c>
    </row>
    <row r="566" spans="1:37" ht="12.75" customHeight="1">
      <c r="A566" s="46" t="s">
        <v>650</v>
      </c>
      <c r="B566" s="19" t="s">
        <v>649</v>
      </c>
      <c r="C566" s="22">
        <v>57</v>
      </c>
      <c r="D566" s="19" t="s">
        <v>196</v>
      </c>
      <c r="E566" s="19">
        <v>0</v>
      </c>
      <c r="F566" s="19" t="s">
        <v>634</v>
      </c>
      <c r="G566" s="19" t="s">
        <v>635</v>
      </c>
      <c r="H566" s="19" t="s">
        <v>263</v>
      </c>
      <c r="I566" s="59" t="b">
        <v>1</v>
      </c>
      <c r="J566" s="17" t="s">
        <v>43</v>
      </c>
      <c r="K566" s="21" t="str">
        <f t="shared" si="14"/>
        <v>https://version2.ice-d.org/antarctica/sample/07-SCT-189-HOP/</v>
      </c>
      <c r="L566" s="45" t="s">
        <v>39</v>
      </c>
      <c r="M566" s="45"/>
      <c r="O566" s="17" t="s">
        <v>636</v>
      </c>
      <c r="P566" s="22">
        <v>-83.516999999999996</v>
      </c>
      <c r="Q566" s="22">
        <v>171.3937</v>
      </c>
      <c r="R566" s="22"/>
      <c r="S566" s="22">
        <v>439</v>
      </c>
      <c r="T566" s="22">
        <v>80</v>
      </c>
      <c r="U566" s="67">
        <f t="shared" si="16"/>
        <v>756</v>
      </c>
      <c r="V566" s="67"/>
      <c r="W566" s="69"/>
      <c r="X566" s="22">
        <v>359</v>
      </c>
      <c r="AB566" s="60">
        <v>8598</v>
      </c>
      <c r="AC566" s="60">
        <v>223</v>
      </c>
      <c r="AD566" s="60">
        <v>555</v>
      </c>
      <c r="AE566" s="22">
        <v>2007</v>
      </c>
      <c r="AF566" s="22">
        <v>1</v>
      </c>
      <c r="AG566" s="22">
        <v>6</v>
      </c>
      <c r="AH566" s="22">
        <v>0</v>
      </c>
      <c r="AK566" s="17">
        <v>0</v>
      </c>
    </row>
    <row r="567" spans="1:37" ht="15.75" customHeight="1">
      <c r="A567" s="46" t="s">
        <v>651</v>
      </c>
      <c r="B567" s="19" t="s">
        <v>649</v>
      </c>
      <c r="C567" s="22">
        <v>57</v>
      </c>
      <c r="D567" s="19" t="s">
        <v>196</v>
      </c>
      <c r="E567" s="19">
        <v>0</v>
      </c>
      <c r="F567" s="19" t="s">
        <v>634</v>
      </c>
      <c r="G567" s="19" t="s">
        <v>635</v>
      </c>
      <c r="H567" s="19" t="s">
        <v>263</v>
      </c>
      <c r="I567" s="59" t="b">
        <v>1</v>
      </c>
      <c r="J567" s="17" t="s">
        <v>43</v>
      </c>
      <c r="K567" s="21" t="str">
        <f t="shared" si="14"/>
        <v>https://version2.ice-d.org/antarctica/sample/07-SCT-185-HOP/</v>
      </c>
      <c r="L567" s="45" t="s">
        <v>39</v>
      </c>
      <c r="M567" s="45"/>
      <c r="O567" s="17" t="s">
        <v>636</v>
      </c>
      <c r="P567" s="22">
        <v>-83.519599999999997</v>
      </c>
      <c r="Q567" s="22">
        <v>171.31280000000001</v>
      </c>
      <c r="S567" s="22">
        <v>723</v>
      </c>
      <c r="T567" s="22">
        <v>80</v>
      </c>
      <c r="U567" s="67">
        <f t="shared" si="16"/>
        <v>756</v>
      </c>
      <c r="V567" s="67"/>
      <c r="W567" s="69"/>
      <c r="X567" s="22">
        <v>643</v>
      </c>
      <c r="AB567" s="60">
        <v>11781</v>
      </c>
      <c r="AC567" s="60">
        <v>219</v>
      </c>
      <c r="AD567" s="60">
        <v>731</v>
      </c>
      <c r="AE567" s="22">
        <v>2007</v>
      </c>
      <c r="AF567" s="22">
        <v>1</v>
      </c>
      <c r="AG567" s="22">
        <v>6</v>
      </c>
      <c r="AH567" s="22">
        <v>0</v>
      </c>
      <c r="AK567" s="17">
        <v>0</v>
      </c>
    </row>
    <row r="568" spans="1:37" ht="12.75" customHeight="1">
      <c r="A568" s="46" t="s">
        <v>652</v>
      </c>
      <c r="B568" s="19" t="s">
        <v>649</v>
      </c>
      <c r="C568" s="22">
        <v>57</v>
      </c>
      <c r="D568" s="19" t="s">
        <v>196</v>
      </c>
      <c r="E568" s="19">
        <v>0</v>
      </c>
      <c r="F568" s="19" t="s">
        <v>634</v>
      </c>
      <c r="G568" s="19" t="s">
        <v>635</v>
      </c>
      <c r="H568" s="19" t="s">
        <v>263</v>
      </c>
      <c r="I568" s="59" t="b">
        <v>1</v>
      </c>
      <c r="J568" s="17" t="s">
        <v>43</v>
      </c>
      <c r="K568" s="21" t="str">
        <f t="shared" si="14"/>
        <v>https://version2.ice-d.org/antarctica/sample/10-BDM-050-HOP/</v>
      </c>
      <c r="L568" s="46" t="s">
        <v>112</v>
      </c>
      <c r="M568" s="46"/>
      <c r="O568" s="17" t="s">
        <v>636</v>
      </c>
      <c r="P568" s="22">
        <v>-83.517899999999997</v>
      </c>
      <c r="Q568" s="22">
        <v>171.41890000000001</v>
      </c>
      <c r="R568" s="22"/>
      <c r="S568" s="22">
        <v>292</v>
      </c>
      <c r="T568" s="22">
        <v>80</v>
      </c>
      <c r="U568" s="67">
        <f t="shared" si="16"/>
        <v>756</v>
      </c>
      <c r="V568" s="67"/>
      <c r="W568" s="69"/>
      <c r="X568" s="22">
        <v>212</v>
      </c>
      <c r="AB568" s="60">
        <v>4693</v>
      </c>
      <c r="AC568" s="60">
        <v>113</v>
      </c>
      <c r="AD568" s="60">
        <v>336</v>
      </c>
      <c r="AE568" s="22">
        <v>2010</v>
      </c>
      <c r="AF568" s="22">
        <v>1</v>
      </c>
      <c r="AG568" s="22">
        <v>6</v>
      </c>
      <c r="AH568" s="22">
        <v>1</v>
      </c>
      <c r="AK568" s="17">
        <v>0</v>
      </c>
    </row>
    <row r="569" spans="1:37" ht="12.75" customHeight="1">
      <c r="A569" s="46" t="s">
        <v>652</v>
      </c>
      <c r="B569" s="19" t="s">
        <v>649</v>
      </c>
      <c r="C569" s="22">
        <v>57</v>
      </c>
      <c r="D569" s="19" t="s">
        <v>196</v>
      </c>
      <c r="E569" s="19">
        <v>0</v>
      </c>
      <c r="F569" s="19" t="s">
        <v>634</v>
      </c>
      <c r="G569" s="19" t="s">
        <v>635</v>
      </c>
      <c r="H569" s="19" t="s">
        <v>263</v>
      </c>
      <c r="I569" s="59" t="b">
        <v>1</v>
      </c>
      <c r="J569" s="17" t="s">
        <v>43</v>
      </c>
      <c r="K569" s="21" t="str">
        <f t="shared" si="14"/>
        <v>https://version2.ice-d.org/antarctica/sample/10-BDM-050-HOP/</v>
      </c>
      <c r="L569" s="46" t="s">
        <v>112</v>
      </c>
      <c r="M569" s="46"/>
      <c r="O569" s="17" t="s">
        <v>636</v>
      </c>
      <c r="P569" s="22">
        <v>-83.517899999999997</v>
      </c>
      <c r="Q569" s="22">
        <v>171.41890000000001</v>
      </c>
      <c r="R569" s="22"/>
      <c r="S569" s="22">
        <v>292</v>
      </c>
      <c r="T569" s="22">
        <v>80</v>
      </c>
      <c r="U569" s="67">
        <f t="shared" si="16"/>
        <v>756</v>
      </c>
      <c r="V569" s="67"/>
      <c r="W569" s="69"/>
      <c r="X569" s="22">
        <v>212</v>
      </c>
      <c r="AB569" s="60">
        <v>8402</v>
      </c>
      <c r="AC569" s="60">
        <v>320</v>
      </c>
      <c r="AD569" s="60">
        <v>591</v>
      </c>
      <c r="AE569" s="22">
        <v>2010</v>
      </c>
      <c r="AF569" s="22">
        <v>1</v>
      </c>
      <c r="AG569" s="22">
        <v>6</v>
      </c>
      <c r="AH569" s="22">
        <v>0</v>
      </c>
      <c r="AK569" s="17">
        <v>0</v>
      </c>
    </row>
    <row r="570" spans="1:37" ht="12.75" customHeight="1">
      <c r="A570" s="46" t="s">
        <v>653</v>
      </c>
      <c r="B570" s="19" t="s">
        <v>649</v>
      </c>
      <c r="C570" s="22">
        <v>57</v>
      </c>
      <c r="D570" s="19" t="s">
        <v>196</v>
      </c>
      <c r="E570" s="19">
        <v>0</v>
      </c>
      <c r="F570" s="19" t="s">
        <v>634</v>
      </c>
      <c r="G570" s="19" t="s">
        <v>635</v>
      </c>
      <c r="H570" s="19" t="s">
        <v>263</v>
      </c>
      <c r="I570" s="59" t="b">
        <v>1</v>
      </c>
      <c r="J570" s="17" t="s">
        <v>43</v>
      </c>
      <c r="K570" s="21" t="str">
        <f t="shared" si="14"/>
        <v>https://version2.ice-d.org/antarctica/sample/10-BDM-052-HOP/</v>
      </c>
      <c r="L570" s="46" t="s">
        <v>112</v>
      </c>
      <c r="M570" s="46"/>
      <c r="O570" s="17" t="s">
        <v>636</v>
      </c>
      <c r="P570" s="22">
        <v>-83.517300000000006</v>
      </c>
      <c r="Q570" s="22">
        <v>171.41630000000001</v>
      </c>
      <c r="R570" s="22"/>
      <c r="S570" s="22">
        <v>313</v>
      </c>
      <c r="T570" s="22">
        <v>80</v>
      </c>
      <c r="U570" s="67">
        <f t="shared" si="16"/>
        <v>756</v>
      </c>
      <c r="V570" s="67"/>
      <c r="W570" s="69"/>
      <c r="X570" s="22">
        <v>233</v>
      </c>
      <c r="AB570" s="60">
        <v>9272</v>
      </c>
      <c r="AC570" s="60">
        <v>286</v>
      </c>
      <c r="AD570" s="60">
        <v>618</v>
      </c>
      <c r="AE570" s="22">
        <v>2010</v>
      </c>
      <c r="AF570" s="22">
        <v>1</v>
      </c>
      <c r="AG570" s="22">
        <v>6</v>
      </c>
      <c r="AH570" s="22">
        <v>0</v>
      </c>
      <c r="AK570" s="17">
        <v>0</v>
      </c>
    </row>
    <row r="571" spans="1:37" ht="12.75" customHeight="1">
      <c r="A571" s="46" t="s">
        <v>654</v>
      </c>
      <c r="B571" s="19" t="s">
        <v>649</v>
      </c>
      <c r="C571" s="22">
        <v>57</v>
      </c>
      <c r="D571" s="19" t="s">
        <v>196</v>
      </c>
      <c r="E571" s="19">
        <v>0</v>
      </c>
      <c r="F571" s="19" t="s">
        <v>634</v>
      </c>
      <c r="G571" s="19" t="s">
        <v>635</v>
      </c>
      <c r="H571" s="19" t="s">
        <v>263</v>
      </c>
      <c r="I571" s="59" t="b">
        <v>1</v>
      </c>
      <c r="J571" s="17" t="s">
        <v>43</v>
      </c>
      <c r="K571" s="21" t="str">
        <f t="shared" si="14"/>
        <v>https://version2.ice-d.org/antarctica/sample/10-BDM-054-HOP/</v>
      </c>
      <c r="L571" s="46" t="s">
        <v>112</v>
      </c>
      <c r="M571" s="46"/>
      <c r="O571" s="17" t="s">
        <v>636</v>
      </c>
      <c r="P571" s="22">
        <v>-83.518799999999999</v>
      </c>
      <c r="Q571" s="22">
        <v>171.40639999999999</v>
      </c>
      <c r="R571" s="22"/>
      <c r="S571" s="22">
        <v>368</v>
      </c>
      <c r="T571" s="22">
        <v>80</v>
      </c>
      <c r="U571" s="67">
        <f t="shared" si="16"/>
        <v>756</v>
      </c>
      <c r="V571" s="67"/>
      <c r="W571" s="69"/>
      <c r="X571" s="22">
        <v>288</v>
      </c>
      <c r="AB571" s="60">
        <v>8620</v>
      </c>
      <c r="AC571" s="60">
        <v>301</v>
      </c>
      <c r="AD571" s="60">
        <v>592</v>
      </c>
      <c r="AE571" s="22">
        <v>2010</v>
      </c>
      <c r="AF571" s="22">
        <v>1</v>
      </c>
      <c r="AG571" s="22">
        <v>6</v>
      </c>
      <c r="AH571" s="22">
        <v>0</v>
      </c>
      <c r="AK571" s="17">
        <v>0</v>
      </c>
    </row>
    <row r="572" spans="1:37" ht="12.75" customHeight="1">
      <c r="A572" s="46" t="s">
        <v>655</v>
      </c>
      <c r="B572" s="19" t="s">
        <v>649</v>
      </c>
      <c r="C572" s="22">
        <v>57</v>
      </c>
      <c r="D572" s="19" t="s">
        <v>196</v>
      </c>
      <c r="E572" s="19">
        <v>0</v>
      </c>
      <c r="F572" s="19" t="s">
        <v>634</v>
      </c>
      <c r="G572" s="19" t="s">
        <v>635</v>
      </c>
      <c r="H572" s="19" t="s">
        <v>263</v>
      </c>
      <c r="I572" s="59" t="b">
        <v>1</v>
      </c>
      <c r="J572" s="17" t="s">
        <v>43</v>
      </c>
      <c r="K572" s="21" t="str">
        <f t="shared" si="14"/>
        <v>https://version2.ice-d.org/antarctica/sample/10-BDM-056-HOP/</v>
      </c>
      <c r="L572" s="46" t="s">
        <v>112</v>
      </c>
      <c r="M572" s="46"/>
      <c r="O572" s="17" t="s">
        <v>636</v>
      </c>
      <c r="P572" s="22">
        <v>-83.518699999999995</v>
      </c>
      <c r="Q572" s="22">
        <v>171.40710000000001</v>
      </c>
      <c r="R572" s="22"/>
      <c r="S572" s="22">
        <v>368</v>
      </c>
      <c r="T572" s="22">
        <v>80</v>
      </c>
      <c r="U572" s="67">
        <f t="shared" si="16"/>
        <v>756</v>
      </c>
      <c r="V572" s="67"/>
      <c r="W572" s="69"/>
      <c r="X572" s="22">
        <v>288</v>
      </c>
      <c r="AB572" s="60">
        <v>10101</v>
      </c>
      <c r="AC572" s="60">
        <v>327</v>
      </c>
      <c r="AD572" s="60">
        <v>681</v>
      </c>
      <c r="AE572" s="22">
        <v>2010</v>
      </c>
      <c r="AF572" s="22">
        <v>1</v>
      </c>
      <c r="AG572" s="22">
        <v>6</v>
      </c>
      <c r="AH572" s="22">
        <v>0</v>
      </c>
      <c r="AK572" s="17">
        <v>0</v>
      </c>
    </row>
    <row r="573" spans="1:37" ht="12.75" customHeight="1">
      <c r="A573" s="46" t="s">
        <v>656</v>
      </c>
      <c r="B573" s="19" t="s">
        <v>649</v>
      </c>
      <c r="C573" s="22">
        <v>57</v>
      </c>
      <c r="D573" s="19" t="s">
        <v>196</v>
      </c>
      <c r="E573" s="19">
        <v>0</v>
      </c>
      <c r="F573" s="19" t="s">
        <v>634</v>
      </c>
      <c r="G573" s="19" t="s">
        <v>635</v>
      </c>
      <c r="H573" s="19" t="s">
        <v>263</v>
      </c>
      <c r="I573" s="59" t="b">
        <v>1</v>
      </c>
      <c r="J573" s="17" t="s">
        <v>43</v>
      </c>
      <c r="K573" s="21" t="str">
        <f t="shared" si="14"/>
        <v>https://version2.ice-d.org/antarctica/sample/10-BDM-075-HOP/</v>
      </c>
      <c r="L573" s="46" t="s">
        <v>112</v>
      </c>
      <c r="M573" s="46"/>
      <c r="O573" s="17" t="s">
        <v>636</v>
      </c>
      <c r="P573" s="22">
        <v>-83.517600000000002</v>
      </c>
      <c r="Q573" s="22">
        <v>171.39789999999999</v>
      </c>
      <c r="R573" s="22"/>
      <c r="S573" s="22">
        <v>449</v>
      </c>
      <c r="T573" s="22">
        <v>80</v>
      </c>
      <c r="U573" s="67">
        <f t="shared" si="16"/>
        <v>756</v>
      </c>
      <c r="V573" s="67"/>
      <c r="W573" s="69"/>
      <c r="X573" s="22">
        <v>369</v>
      </c>
      <c r="AB573" s="60">
        <v>16430</v>
      </c>
      <c r="AC573" s="60">
        <v>499</v>
      </c>
      <c r="AD573" s="60">
        <v>1094</v>
      </c>
      <c r="AE573" s="22">
        <v>2010</v>
      </c>
      <c r="AF573" s="22">
        <v>1</v>
      </c>
      <c r="AG573" s="22">
        <v>6</v>
      </c>
      <c r="AH573" s="22">
        <v>0</v>
      </c>
      <c r="AK573" s="17">
        <v>0</v>
      </c>
    </row>
    <row r="574" spans="1:37" ht="12.75" customHeight="1">
      <c r="A574" s="46" t="s">
        <v>657</v>
      </c>
      <c r="B574" s="19" t="s">
        <v>649</v>
      </c>
      <c r="C574" s="22">
        <v>57</v>
      </c>
      <c r="D574" s="19" t="s">
        <v>196</v>
      </c>
      <c r="E574" s="19">
        <v>0</v>
      </c>
      <c r="F574" s="19" t="s">
        <v>634</v>
      </c>
      <c r="G574" s="19" t="s">
        <v>635</v>
      </c>
      <c r="H574" s="19" t="s">
        <v>263</v>
      </c>
      <c r="I574" s="59" t="b">
        <v>1</v>
      </c>
      <c r="J574" s="17" t="s">
        <v>43</v>
      </c>
      <c r="K574" s="21" t="str">
        <f t="shared" si="14"/>
        <v>https://version2.ice-d.org/antarctica/sample/10-BDM-077-HOP/</v>
      </c>
      <c r="L574" s="46" t="s">
        <v>112</v>
      </c>
      <c r="M574" s="46"/>
      <c r="O574" s="17" t="s">
        <v>636</v>
      </c>
      <c r="P574" s="22">
        <v>-83.517200000000003</v>
      </c>
      <c r="Q574" s="22">
        <v>171.39529999999999</v>
      </c>
      <c r="S574" s="22">
        <v>449</v>
      </c>
      <c r="T574" s="22">
        <v>80</v>
      </c>
      <c r="U574" s="67">
        <f t="shared" si="16"/>
        <v>756</v>
      </c>
      <c r="V574" s="67"/>
      <c r="W574" s="69"/>
      <c r="X574" s="22">
        <v>369</v>
      </c>
      <c r="AB574" s="60">
        <v>8493</v>
      </c>
      <c r="AC574" s="60">
        <v>261</v>
      </c>
      <c r="AD574" s="60">
        <v>566</v>
      </c>
      <c r="AE574" s="22">
        <v>2010</v>
      </c>
      <c r="AF574" s="22">
        <v>1</v>
      </c>
      <c r="AG574" s="22">
        <v>6</v>
      </c>
      <c r="AH574" s="22">
        <v>0</v>
      </c>
      <c r="AK574" s="17">
        <v>0</v>
      </c>
    </row>
    <row r="575" spans="1:37" ht="12.75" customHeight="1">
      <c r="A575" s="46" t="s">
        <v>658</v>
      </c>
      <c r="B575" s="19" t="s">
        <v>649</v>
      </c>
      <c r="C575" s="22">
        <v>57</v>
      </c>
      <c r="D575" s="19" t="s">
        <v>196</v>
      </c>
      <c r="E575" s="19">
        <v>0</v>
      </c>
      <c r="F575" s="19" t="s">
        <v>634</v>
      </c>
      <c r="G575" s="19" t="s">
        <v>635</v>
      </c>
      <c r="H575" s="19" t="s">
        <v>263</v>
      </c>
      <c r="I575" s="59" t="b">
        <v>1</v>
      </c>
      <c r="J575" s="17" t="s">
        <v>43</v>
      </c>
      <c r="K575" s="21" t="str">
        <f t="shared" si="14"/>
        <v>https://version2.ice-d.org/antarctica/sample/10-BDM-072-HOP/</v>
      </c>
      <c r="L575" s="46" t="s">
        <v>112</v>
      </c>
      <c r="M575" s="46"/>
      <c r="O575" s="17" t="s">
        <v>636</v>
      </c>
      <c r="P575" s="22">
        <v>-83.519099999999995</v>
      </c>
      <c r="Q575" s="22">
        <v>171.37299999999999</v>
      </c>
      <c r="R575" s="22"/>
      <c r="S575" s="22">
        <v>519</v>
      </c>
      <c r="T575" s="22">
        <v>80</v>
      </c>
      <c r="U575" s="67">
        <f t="shared" si="16"/>
        <v>756</v>
      </c>
      <c r="V575" s="67"/>
      <c r="W575" s="69"/>
      <c r="X575" s="22">
        <v>439</v>
      </c>
      <c r="AB575" s="60">
        <v>10195</v>
      </c>
      <c r="AC575" s="60">
        <v>418</v>
      </c>
      <c r="AD575" s="60">
        <v>734</v>
      </c>
      <c r="AE575" s="22">
        <v>2010</v>
      </c>
      <c r="AF575" s="22">
        <v>1</v>
      </c>
      <c r="AG575" s="22">
        <v>6</v>
      </c>
      <c r="AH575" s="22">
        <v>0</v>
      </c>
      <c r="AK575" s="17">
        <v>0</v>
      </c>
    </row>
    <row r="576" spans="1:37" ht="12.75" customHeight="1">
      <c r="A576" s="46" t="s">
        <v>659</v>
      </c>
      <c r="B576" s="19" t="s">
        <v>649</v>
      </c>
      <c r="C576" s="22">
        <v>57</v>
      </c>
      <c r="D576" s="19" t="s">
        <v>196</v>
      </c>
      <c r="E576" s="19">
        <v>0</v>
      </c>
      <c r="F576" s="19" t="s">
        <v>634</v>
      </c>
      <c r="G576" s="19" t="s">
        <v>635</v>
      </c>
      <c r="H576" s="19" t="s">
        <v>263</v>
      </c>
      <c r="I576" s="59" t="b">
        <v>1</v>
      </c>
      <c r="J576" s="17" t="s">
        <v>43</v>
      </c>
      <c r="K576" s="21" t="str">
        <f t="shared" si="14"/>
        <v>https://version2.ice-d.org/antarctica/sample/10-BDM-074-HOP/</v>
      </c>
      <c r="L576" s="46" t="s">
        <v>112</v>
      </c>
      <c r="M576" s="46"/>
      <c r="O576" s="17" t="s">
        <v>636</v>
      </c>
      <c r="P576" s="22">
        <v>-83.518500000000003</v>
      </c>
      <c r="Q576" s="22">
        <v>171.37289999999999</v>
      </c>
      <c r="R576" s="22"/>
      <c r="S576" s="22">
        <v>504</v>
      </c>
      <c r="T576" s="22">
        <v>80</v>
      </c>
      <c r="U576" s="67">
        <f t="shared" si="16"/>
        <v>756</v>
      </c>
      <c r="V576" s="67"/>
      <c r="W576" s="69"/>
      <c r="X576" s="22">
        <v>424</v>
      </c>
      <c r="AB576" s="60">
        <v>10441</v>
      </c>
      <c r="AC576" s="60">
        <v>316</v>
      </c>
      <c r="AD576" s="60">
        <v>694</v>
      </c>
      <c r="AE576" s="22">
        <v>2010</v>
      </c>
      <c r="AF576" s="22">
        <v>1</v>
      </c>
      <c r="AG576" s="22">
        <v>6</v>
      </c>
      <c r="AH576" s="22">
        <v>0</v>
      </c>
      <c r="AK576" s="17">
        <v>0</v>
      </c>
    </row>
    <row r="577" spans="1:37" ht="12.75" customHeight="1">
      <c r="A577" s="46" t="s">
        <v>660</v>
      </c>
      <c r="B577" s="19" t="s">
        <v>649</v>
      </c>
      <c r="C577" s="22">
        <v>57</v>
      </c>
      <c r="D577" s="19" t="s">
        <v>196</v>
      </c>
      <c r="E577" s="19">
        <v>0</v>
      </c>
      <c r="F577" s="19" t="s">
        <v>634</v>
      </c>
      <c r="G577" s="19" t="s">
        <v>635</v>
      </c>
      <c r="H577" s="19" t="s">
        <v>263</v>
      </c>
      <c r="I577" s="59" t="b">
        <v>1</v>
      </c>
      <c r="J577" s="17" t="s">
        <v>43</v>
      </c>
      <c r="K577" s="21" t="str">
        <f t="shared" si="14"/>
        <v>https://version2.ice-d.org/antarctica/sample/10-BDM-068-HOP/</v>
      </c>
      <c r="L577" s="46" t="s">
        <v>112</v>
      </c>
      <c r="M577" s="46"/>
      <c r="O577" s="17" t="s">
        <v>636</v>
      </c>
      <c r="P577" s="22">
        <v>-83.52</v>
      </c>
      <c r="Q577" s="22">
        <v>171.33629999999999</v>
      </c>
      <c r="R577" s="22"/>
      <c r="S577" s="22">
        <v>603</v>
      </c>
      <c r="T577" s="22">
        <v>80</v>
      </c>
      <c r="U577" s="67">
        <f t="shared" si="16"/>
        <v>756</v>
      </c>
      <c r="V577" s="67"/>
      <c r="W577" s="69"/>
      <c r="X577" s="22">
        <v>523</v>
      </c>
      <c r="AB577" s="60">
        <v>10873</v>
      </c>
      <c r="AC577" s="60">
        <v>329</v>
      </c>
      <c r="AD577" s="60">
        <v>723</v>
      </c>
      <c r="AE577" s="22">
        <v>2010</v>
      </c>
      <c r="AF577" s="22">
        <v>1</v>
      </c>
      <c r="AG577" s="22">
        <v>6</v>
      </c>
      <c r="AH577" s="22">
        <v>0</v>
      </c>
      <c r="AK577" s="17">
        <v>0</v>
      </c>
    </row>
    <row r="578" spans="1:37" ht="12.75" customHeight="1">
      <c r="A578" s="46" t="s">
        <v>661</v>
      </c>
      <c r="B578" s="19" t="s">
        <v>649</v>
      </c>
      <c r="C578" s="22">
        <v>57</v>
      </c>
      <c r="D578" s="19" t="s">
        <v>196</v>
      </c>
      <c r="E578" s="19">
        <v>0</v>
      </c>
      <c r="F578" s="19" t="s">
        <v>634</v>
      </c>
      <c r="G578" s="19" t="s">
        <v>635</v>
      </c>
      <c r="H578" s="19" t="s">
        <v>263</v>
      </c>
      <c r="I578" s="59" t="b">
        <v>1</v>
      </c>
      <c r="J578" s="17" t="s">
        <v>247</v>
      </c>
      <c r="K578" s="21" t="str">
        <f t="shared" si="14"/>
        <v>https://version2.ice-d.org/antarctica/sample/10-BDM-067-HOP/</v>
      </c>
      <c r="L578" s="46" t="s">
        <v>112</v>
      </c>
      <c r="M578" s="46"/>
      <c r="O578" s="17" t="s">
        <v>636</v>
      </c>
      <c r="P578" s="22">
        <v>-83.519499999999994</v>
      </c>
      <c r="Q578" s="22">
        <v>171.33109999999999</v>
      </c>
      <c r="R578" s="22"/>
      <c r="S578" s="22">
        <v>619</v>
      </c>
      <c r="T578" s="22">
        <v>80</v>
      </c>
      <c r="U578" s="67">
        <f t="shared" si="16"/>
        <v>756</v>
      </c>
      <c r="V578" s="67"/>
      <c r="W578" s="69"/>
      <c r="X578" s="22">
        <v>539</v>
      </c>
      <c r="AB578" s="60">
        <v>10489</v>
      </c>
      <c r="AC578" s="60">
        <v>305</v>
      </c>
      <c r="AD578" s="60">
        <v>1100</v>
      </c>
      <c r="AE578" s="22">
        <v>2010</v>
      </c>
      <c r="AF578" s="22">
        <v>1</v>
      </c>
      <c r="AG578" s="22">
        <v>6</v>
      </c>
      <c r="AH578" s="22">
        <v>0</v>
      </c>
      <c r="AK578" s="17">
        <v>0</v>
      </c>
    </row>
    <row r="579" spans="1:37" ht="12.75" customHeight="1">
      <c r="A579" s="46" t="s">
        <v>661</v>
      </c>
      <c r="B579" s="19" t="s">
        <v>649</v>
      </c>
      <c r="C579" s="22">
        <v>57</v>
      </c>
      <c r="D579" s="19" t="s">
        <v>196</v>
      </c>
      <c r="E579" s="19">
        <v>0</v>
      </c>
      <c r="F579" s="19" t="s">
        <v>634</v>
      </c>
      <c r="G579" s="19" t="s">
        <v>635</v>
      </c>
      <c r="H579" s="19" t="s">
        <v>263</v>
      </c>
      <c r="I579" s="59" t="b">
        <v>1</v>
      </c>
      <c r="J579" s="17" t="s">
        <v>43</v>
      </c>
      <c r="K579" s="21" t="str">
        <f t="shared" si="14"/>
        <v>https://version2.ice-d.org/antarctica/sample/10-BDM-067-HOP/</v>
      </c>
      <c r="L579" s="46" t="s">
        <v>112</v>
      </c>
      <c r="M579" s="46"/>
      <c r="O579" s="17" t="s">
        <v>636</v>
      </c>
      <c r="P579" s="22">
        <v>-83.519499999999994</v>
      </c>
      <c r="Q579" s="22">
        <v>171.33109999999999</v>
      </c>
      <c r="R579" s="22"/>
      <c r="S579" s="22">
        <v>619</v>
      </c>
      <c r="T579" s="22">
        <v>80</v>
      </c>
      <c r="U579" s="67">
        <f t="shared" si="16"/>
        <v>756</v>
      </c>
      <c r="V579" s="67"/>
      <c r="W579" s="69"/>
      <c r="X579" s="22">
        <v>539</v>
      </c>
      <c r="AB579" s="60">
        <v>10483</v>
      </c>
      <c r="AC579" s="60">
        <v>325</v>
      </c>
      <c r="AD579" s="60">
        <v>700</v>
      </c>
      <c r="AE579" s="22">
        <v>2010</v>
      </c>
      <c r="AF579" s="22">
        <v>1</v>
      </c>
      <c r="AG579" s="22">
        <v>6</v>
      </c>
      <c r="AH579" s="22">
        <v>0</v>
      </c>
      <c r="AK579" s="17">
        <v>0</v>
      </c>
    </row>
    <row r="580" spans="1:37" ht="15.75" customHeight="1">
      <c r="A580" s="46" t="s">
        <v>662</v>
      </c>
      <c r="B580" s="19" t="s">
        <v>649</v>
      </c>
      <c r="C580" s="22">
        <v>57</v>
      </c>
      <c r="D580" s="19" t="s">
        <v>196</v>
      </c>
      <c r="E580" s="19">
        <v>0</v>
      </c>
      <c r="F580" s="19" t="s">
        <v>634</v>
      </c>
      <c r="G580" s="19" t="s">
        <v>635</v>
      </c>
      <c r="H580" s="19" t="s">
        <v>263</v>
      </c>
      <c r="I580" s="59" t="b">
        <v>1</v>
      </c>
      <c r="J580" s="17" t="s">
        <v>43</v>
      </c>
      <c r="K580" s="21" t="str">
        <f t="shared" si="14"/>
        <v>https://version2.ice-d.org/antarctica/sample/10-BDM-064-HOP/</v>
      </c>
      <c r="L580" s="46" t="s">
        <v>112</v>
      </c>
      <c r="M580" s="46"/>
      <c r="O580" s="17" t="s">
        <v>636</v>
      </c>
      <c r="P580" s="22">
        <v>-83.519599999999997</v>
      </c>
      <c r="Q580" s="22">
        <v>171.31280000000001</v>
      </c>
      <c r="R580" s="22"/>
      <c r="S580" s="22">
        <v>723</v>
      </c>
      <c r="T580" s="22">
        <v>80</v>
      </c>
      <c r="U580" s="67">
        <f t="shared" si="16"/>
        <v>756</v>
      </c>
      <c r="V580" s="67"/>
      <c r="W580" s="69"/>
      <c r="X580" s="22">
        <v>643</v>
      </c>
      <c r="AB580" s="60">
        <v>15011</v>
      </c>
      <c r="AC580" s="60">
        <v>428</v>
      </c>
      <c r="AD580" s="60">
        <v>987</v>
      </c>
      <c r="AE580" s="22">
        <v>2010</v>
      </c>
      <c r="AF580" s="22">
        <v>1</v>
      </c>
      <c r="AG580" s="22">
        <v>6</v>
      </c>
      <c r="AH580" s="22">
        <v>0</v>
      </c>
      <c r="AK580" s="17">
        <v>0</v>
      </c>
    </row>
    <row r="581" spans="1:37" ht="15.75" customHeight="1">
      <c r="A581" s="46" t="s">
        <v>663</v>
      </c>
      <c r="B581" s="19" t="s">
        <v>649</v>
      </c>
      <c r="C581" s="22">
        <v>57</v>
      </c>
      <c r="D581" s="19" t="s">
        <v>196</v>
      </c>
      <c r="E581" s="19">
        <v>0</v>
      </c>
      <c r="F581" s="19" t="s">
        <v>634</v>
      </c>
      <c r="G581" s="19" t="s">
        <v>635</v>
      </c>
      <c r="H581" s="19" t="s">
        <v>263</v>
      </c>
      <c r="I581" s="59" t="b">
        <v>1</v>
      </c>
      <c r="J581" s="17" t="s">
        <v>43</v>
      </c>
      <c r="K581" s="21" t="str">
        <f t="shared" si="14"/>
        <v>https://version2.ice-d.org/antarctica/sample/10-BDM-062-HOP/</v>
      </c>
      <c r="L581" s="46" t="s">
        <v>112</v>
      </c>
      <c r="M581" s="46"/>
      <c r="O581" s="17" t="s">
        <v>636</v>
      </c>
      <c r="P581" s="22">
        <v>-83.519099999999995</v>
      </c>
      <c r="Q581" s="22">
        <v>171.30549999999999</v>
      </c>
      <c r="R581" s="22"/>
      <c r="S581" s="22">
        <v>764</v>
      </c>
      <c r="T581" s="22">
        <v>80</v>
      </c>
      <c r="U581" s="67">
        <f t="shared" si="16"/>
        <v>756</v>
      </c>
      <c r="V581" s="67"/>
      <c r="W581" s="69"/>
      <c r="X581" s="22">
        <v>684</v>
      </c>
      <c r="AB581" s="60">
        <v>12467</v>
      </c>
      <c r="AC581" s="60">
        <v>389</v>
      </c>
      <c r="AD581" s="60">
        <v>834</v>
      </c>
      <c r="AE581" s="22">
        <v>2010</v>
      </c>
      <c r="AF581" s="22">
        <v>1</v>
      </c>
      <c r="AG581" s="22">
        <v>6</v>
      </c>
      <c r="AH581" s="22">
        <v>0</v>
      </c>
      <c r="AK581" s="17">
        <v>0</v>
      </c>
    </row>
    <row r="582" spans="1:37" ht="12.75" customHeight="1">
      <c r="A582" s="46" t="s">
        <v>664</v>
      </c>
      <c r="B582" s="19" t="s">
        <v>649</v>
      </c>
      <c r="C582" s="22">
        <v>57</v>
      </c>
      <c r="D582" s="19" t="s">
        <v>196</v>
      </c>
      <c r="E582" s="19">
        <v>0</v>
      </c>
      <c r="F582" s="19" t="s">
        <v>634</v>
      </c>
      <c r="G582" s="19" t="s">
        <v>635</v>
      </c>
      <c r="H582" s="19" t="s">
        <v>263</v>
      </c>
      <c r="I582" s="59" t="b">
        <v>1</v>
      </c>
      <c r="J582" s="17" t="s">
        <v>43</v>
      </c>
      <c r="K582" s="21" t="str">
        <f t="shared" si="14"/>
        <v>https://version2.ice-d.org/antarctica/sample/10-BDM-060-HOP/</v>
      </c>
      <c r="L582" s="46" t="s">
        <v>112</v>
      </c>
      <c r="M582" s="46"/>
      <c r="O582" s="17" t="s">
        <v>636</v>
      </c>
      <c r="P582" s="22">
        <v>-83.513900000000007</v>
      </c>
      <c r="Q582" s="22">
        <v>171.28550000000001</v>
      </c>
      <c r="R582" s="22"/>
      <c r="S582" s="22">
        <v>824</v>
      </c>
      <c r="T582" s="22">
        <v>80</v>
      </c>
      <c r="U582" s="67">
        <f t="shared" si="16"/>
        <v>756</v>
      </c>
      <c r="V582" s="67"/>
      <c r="W582" s="69"/>
      <c r="X582" s="22">
        <v>744</v>
      </c>
      <c r="AB582" s="60">
        <v>13240</v>
      </c>
      <c r="AC582" s="60">
        <v>446</v>
      </c>
      <c r="AD582" s="60">
        <v>902</v>
      </c>
      <c r="AE582" s="22">
        <v>2010</v>
      </c>
      <c r="AF582" s="22">
        <v>1</v>
      </c>
      <c r="AG582" s="22">
        <v>6</v>
      </c>
      <c r="AH582" s="22">
        <v>0</v>
      </c>
      <c r="AK582" s="17">
        <v>0</v>
      </c>
    </row>
    <row r="583" spans="1:37" ht="12.75" customHeight="1">
      <c r="A583" s="47" t="s">
        <v>665</v>
      </c>
      <c r="B583" s="19" t="s">
        <v>666</v>
      </c>
      <c r="C583" s="22">
        <v>58</v>
      </c>
      <c r="D583" s="19" t="s">
        <v>196</v>
      </c>
      <c r="E583" s="19">
        <v>0</v>
      </c>
      <c r="F583" s="19" t="s">
        <v>634</v>
      </c>
      <c r="G583" s="19" t="s">
        <v>635</v>
      </c>
      <c r="H583" s="19" t="s">
        <v>263</v>
      </c>
      <c r="I583" s="59" t="b">
        <v>1</v>
      </c>
      <c r="J583" s="17" t="s">
        <v>43</v>
      </c>
      <c r="K583" s="21" t="str">
        <f t="shared" si="14"/>
        <v>https://version2.ice-d.org/antarctica/sample/10-BDM-030-KYF/</v>
      </c>
      <c r="L583" s="47" t="s">
        <v>148</v>
      </c>
      <c r="M583" s="98" t="s">
        <v>2408</v>
      </c>
      <c r="O583" s="17" t="s">
        <v>636</v>
      </c>
      <c r="P583" s="22">
        <v>-83.784499999999994</v>
      </c>
      <c r="Q583" s="22">
        <v>171.78030000000001</v>
      </c>
      <c r="R583" s="22"/>
      <c r="S583" s="22">
        <v>1051</v>
      </c>
      <c r="T583" s="22">
        <v>550</v>
      </c>
      <c r="U583" s="67">
        <v>501</v>
      </c>
      <c r="V583" s="67"/>
      <c r="W583" s="69"/>
      <c r="X583" s="22">
        <v>501</v>
      </c>
      <c r="AB583" s="60">
        <v>15478</v>
      </c>
      <c r="AC583" s="60">
        <v>475</v>
      </c>
      <c r="AD583" s="60">
        <v>1033</v>
      </c>
      <c r="AE583" s="22">
        <v>2010</v>
      </c>
      <c r="AF583" s="22">
        <v>1</v>
      </c>
      <c r="AG583" s="22">
        <v>7</v>
      </c>
      <c r="AH583" s="22">
        <v>0</v>
      </c>
      <c r="AK583" s="17">
        <v>0</v>
      </c>
    </row>
    <row r="584" spans="1:37" ht="12.75" customHeight="1">
      <c r="A584" s="47" t="s">
        <v>667</v>
      </c>
      <c r="B584" s="19" t="s">
        <v>666</v>
      </c>
      <c r="C584" s="22">
        <v>58</v>
      </c>
      <c r="D584" s="19" t="s">
        <v>196</v>
      </c>
      <c r="E584" s="19">
        <v>0</v>
      </c>
      <c r="F584" s="19" t="s">
        <v>634</v>
      </c>
      <c r="G584" s="19" t="s">
        <v>635</v>
      </c>
      <c r="H584" s="19" t="s">
        <v>263</v>
      </c>
      <c r="I584" s="59" t="b">
        <v>1</v>
      </c>
      <c r="J584" s="17" t="s">
        <v>43</v>
      </c>
      <c r="K584" s="21" t="str">
        <f t="shared" si="14"/>
        <v>https://version2.ice-d.org/antarctica/sample/10-BDM-033-KYF/</v>
      </c>
      <c r="L584" s="47" t="s">
        <v>148</v>
      </c>
      <c r="M584" s="47"/>
      <c r="O584" s="17" t="s">
        <v>636</v>
      </c>
      <c r="P584" s="22">
        <v>-83.784099999999995</v>
      </c>
      <c r="Q584" s="22">
        <v>171.7782</v>
      </c>
      <c r="R584" s="22"/>
      <c r="S584" s="22">
        <v>1045</v>
      </c>
      <c r="T584" s="22">
        <v>550</v>
      </c>
      <c r="U584" s="67">
        <v>501</v>
      </c>
      <c r="V584" s="67"/>
      <c r="W584" s="69"/>
      <c r="X584" s="22">
        <v>495</v>
      </c>
      <c r="AB584" s="60">
        <v>17768</v>
      </c>
      <c r="AC584" s="60">
        <v>513</v>
      </c>
      <c r="AD584" s="60">
        <v>1171</v>
      </c>
      <c r="AE584" s="22">
        <v>2010</v>
      </c>
      <c r="AF584" s="22">
        <v>1</v>
      </c>
      <c r="AG584" s="22">
        <v>7</v>
      </c>
      <c r="AH584" s="22">
        <v>0</v>
      </c>
      <c r="AK584" s="17">
        <v>0</v>
      </c>
    </row>
    <row r="585" spans="1:37" ht="12.75" customHeight="1">
      <c r="A585" s="47" t="s">
        <v>668</v>
      </c>
      <c r="B585" s="19" t="s">
        <v>666</v>
      </c>
      <c r="C585" s="22">
        <v>58</v>
      </c>
      <c r="D585" s="19" t="s">
        <v>196</v>
      </c>
      <c r="E585" s="19">
        <v>0</v>
      </c>
      <c r="F585" s="19" t="s">
        <v>634</v>
      </c>
      <c r="G585" s="19" t="s">
        <v>635</v>
      </c>
      <c r="H585" s="19" t="s">
        <v>263</v>
      </c>
      <c r="I585" s="59" t="b">
        <v>1</v>
      </c>
      <c r="J585" s="17" t="s">
        <v>43</v>
      </c>
      <c r="K585" s="21" t="str">
        <f t="shared" si="14"/>
        <v>https://version2.ice-d.org/antarctica/sample/10-BDM-042-KYF/</v>
      </c>
      <c r="L585" s="47" t="s">
        <v>148</v>
      </c>
      <c r="M585" s="47"/>
      <c r="O585" s="17" t="s">
        <v>636</v>
      </c>
      <c r="P585" s="22">
        <v>-83.784499999999994</v>
      </c>
      <c r="Q585" s="22">
        <v>171.8064</v>
      </c>
      <c r="R585" s="22"/>
      <c r="S585" s="22">
        <v>1022</v>
      </c>
      <c r="T585" s="22">
        <v>550</v>
      </c>
      <c r="U585" s="67">
        <v>501</v>
      </c>
      <c r="V585" s="67"/>
      <c r="W585" s="69"/>
      <c r="X585" s="22">
        <v>472</v>
      </c>
      <c r="AB585" s="60">
        <v>15333</v>
      </c>
      <c r="AC585" s="60">
        <v>414</v>
      </c>
      <c r="AD585" s="60">
        <v>998</v>
      </c>
      <c r="AE585" s="22">
        <v>2010</v>
      </c>
      <c r="AF585" s="22">
        <v>1</v>
      </c>
      <c r="AG585" s="22">
        <v>7</v>
      </c>
      <c r="AH585" s="22">
        <v>0</v>
      </c>
      <c r="AK585" s="17">
        <v>0</v>
      </c>
    </row>
    <row r="586" spans="1:37" ht="12.75" customHeight="1">
      <c r="A586" s="48" t="s">
        <v>669</v>
      </c>
      <c r="B586" s="19" t="s">
        <v>670</v>
      </c>
      <c r="C586" s="22">
        <v>59</v>
      </c>
      <c r="D586" s="20" t="s">
        <v>196</v>
      </c>
      <c r="E586" s="19">
        <v>0</v>
      </c>
      <c r="F586" s="19" t="s">
        <v>634</v>
      </c>
      <c r="G586" s="19" t="s">
        <v>671</v>
      </c>
      <c r="H586" s="19" t="s">
        <v>263</v>
      </c>
      <c r="I586" s="59" t="b">
        <v>1</v>
      </c>
      <c r="J586" s="17" t="s">
        <v>43</v>
      </c>
      <c r="K586" s="21" t="str">
        <f t="shared" si="14"/>
        <v>https://version2.ice-d.org/antarctica/sample/10-BDM-087-GEM/</v>
      </c>
      <c r="L586" s="48" t="s">
        <v>39</v>
      </c>
      <c r="M586" s="48" t="s">
        <v>44</v>
      </c>
      <c r="O586" s="17" t="s">
        <v>636</v>
      </c>
      <c r="P586" s="22">
        <v>-84.709299999999999</v>
      </c>
      <c r="Q586" s="22">
        <v>-176.60040000000001</v>
      </c>
      <c r="R586" s="22"/>
      <c r="S586" s="22">
        <v>494</v>
      </c>
      <c r="T586" s="22">
        <v>447</v>
      </c>
      <c r="U586" s="23">
        <v>310</v>
      </c>
      <c r="V586" s="151" t="s">
        <v>1942</v>
      </c>
      <c r="W586" s="44" t="s">
        <v>2445</v>
      </c>
      <c r="X586" s="22">
        <v>47</v>
      </c>
      <c r="AB586" s="60">
        <v>1528</v>
      </c>
      <c r="AC586" s="60">
        <v>79</v>
      </c>
      <c r="AD586" s="60">
        <v>120</v>
      </c>
      <c r="AE586" s="22">
        <v>2010</v>
      </c>
      <c r="AF586" s="22">
        <v>1</v>
      </c>
      <c r="AG586" s="22">
        <v>8</v>
      </c>
      <c r="AH586" s="22">
        <v>0</v>
      </c>
      <c r="AK586" s="17">
        <v>0</v>
      </c>
    </row>
    <row r="587" spans="1:37" ht="12.75" customHeight="1">
      <c r="A587" s="48" t="s">
        <v>672</v>
      </c>
      <c r="B587" s="19" t="s">
        <v>670</v>
      </c>
      <c r="C587" s="22">
        <v>59</v>
      </c>
      <c r="D587" s="20" t="s">
        <v>196</v>
      </c>
      <c r="E587" s="19">
        <v>0</v>
      </c>
      <c r="F587" s="19" t="s">
        <v>634</v>
      </c>
      <c r="G587" s="19" t="s">
        <v>671</v>
      </c>
      <c r="H587" s="19" t="s">
        <v>263</v>
      </c>
      <c r="I587" s="59" t="b">
        <v>1</v>
      </c>
      <c r="J587" s="17" t="s">
        <v>43</v>
      </c>
      <c r="K587" s="21" t="str">
        <f t="shared" si="14"/>
        <v>https://version2.ice-d.org/antarctica/sample/10-BDM-089-GEM/</v>
      </c>
      <c r="L587" s="48" t="s">
        <v>39</v>
      </c>
      <c r="M587" s="48"/>
      <c r="O587" s="17" t="s">
        <v>636</v>
      </c>
      <c r="P587" s="22">
        <v>-84.708100000000002</v>
      </c>
      <c r="Q587" s="22">
        <v>-176.60740000000001</v>
      </c>
      <c r="R587" s="22"/>
      <c r="S587" s="22">
        <v>512</v>
      </c>
      <c r="T587" s="22">
        <v>447</v>
      </c>
      <c r="U587" s="23">
        <v>310</v>
      </c>
      <c r="V587" s="151" t="s">
        <v>1942</v>
      </c>
      <c r="W587" s="44" t="s">
        <v>2445</v>
      </c>
      <c r="X587" s="22">
        <v>65</v>
      </c>
      <c r="AB587" s="60">
        <v>5423</v>
      </c>
      <c r="AC587" s="60">
        <v>181</v>
      </c>
      <c r="AD587" s="60">
        <v>368</v>
      </c>
      <c r="AE587" s="22">
        <v>2010</v>
      </c>
      <c r="AF587" s="22">
        <v>1</v>
      </c>
      <c r="AG587" s="22">
        <v>8</v>
      </c>
      <c r="AH587" s="22">
        <v>0</v>
      </c>
      <c r="AK587" s="17">
        <v>0</v>
      </c>
    </row>
    <row r="588" spans="1:37" ht="12.75" customHeight="1">
      <c r="A588" s="48" t="s">
        <v>673</v>
      </c>
      <c r="B588" s="19" t="s">
        <v>670</v>
      </c>
      <c r="C588" s="22">
        <v>59</v>
      </c>
      <c r="D588" s="20" t="s">
        <v>196</v>
      </c>
      <c r="E588" s="19">
        <v>0</v>
      </c>
      <c r="F588" s="19" t="s">
        <v>634</v>
      </c>
      <c r="G588" s="19" t="s">
        <v>671</v>
      </c>
      <c r="H588" s="19" t="s">
        <v>263</v>
      </c>
      <c r="I588" s="59" t="b">
        <v>1</v>
      </c>
      <c r="J588" s="17" t="s">
        <v>43</v>
      </c>
      <c r="K588" s="21" t="str">
        <f t="shared" si="14"/>
        <v>https://version2.ice-d.org/antarctica/sample/10-BDM-090-GEM/</v>
      </c>
      <c r="L588" s="48" t="s">
        <v>39</v>
      </c>
      <c r="M588" s="48"/>
      <c r="O588" s="17" t="s">
        <v>636</v>
      </c>
      <c r="P588" s="22">
        <v>-84.706699999999998</v>
      </c>
      <c r="Q588" s="22">
        <v>-176.6078</v>
      </c>
      <c r="R588" s="22"/>
      <c r="S588" s="22">
        <v>537</v>
      </c>
      <c r="T588" s="22">
        <v>447</v>
      </c>
      <c r="U588" s="23">
        <v>310</v>
      </c>
      <c r="V588" s="151" t="s">
        <v>1942</v>
      </c>
      <c r="W588" s="44" t="s">
        <v>2445</v>
      </c>
      <c r="X588" s="22">
        <v>90</v>
      </c>
      <c r="AB588" s="60">
        <v>5883</v>
      </c>
      <c r="AC588" s="60">
        <v>179</v>
      </c>
      <c r="AD588" s="60">
        <v>391</v>
      </c>
      <c r="AE588" s="22">
        <v>2010</v>
      </c>
      <c r="AF588" s="22">
        <v>1</v>
      </c>
      <c r="AG588" s="22">
        <v>8</v>
      </c>
      <c r="AH588" s="22">
        <v>0</v>
      </c>
      <c r="AK588" s="17">
        <v>0</v>
      </c>
    </row>
    <row r="589" spans="1:37" ht="12.75" customHeight="1">
      <c r="A589" s="48" t="s">
        <v>674</v>
      </c>
      <c r="B589" s="19" t="s">
        <v>670</v>
      </c>
      <c r="C589" s="22">
        <v>59</v>
      </c>
      <c r="D589" s="20" t="s">
        <v>196</v>
      </c>
      <c r="E589" s="19">
        <v>0</v>
      </c>
      <c r="F589" s="19" t="s">
        <v>634</v>
      </c>
      <c r="G589" s="19" t="s">
        <v>671</v>
      </c>
      <c r="H589" s="19" t="s">
        <v>263</v>
      </c>
      <c r="I589" s="59" t="b">
        <v>1</v>
      </c>
      <c r="J589" s="17" t="s">
        <v>43</v>
      </c>
      <c r="K589" s="21" t="str">
        <f t="shared" si="14"/>
        <v>https://version2.ice-d.org/antarctica/sample/10-BDM-091-GEM/</v>
      </c>
      <c r="L589" s="48" t="s">
        <v>39</v>
      </c>
      <c r="M589" s="48"/>
      <c r="O589" s="17" t="s">
        <v>636</v>
      </c>
      <c r="P589" s="22">
        <v>-84.706400000000002</v>
      </c>
      <c r="Q589" s="22">
        <v>-176.6104</v>
      </c>
      <c r="R589" s="22"/>
      <c r="S589" s="22">
        <v>549</v>
      </c>
      <c r="T589" s="22">
        <v>447</v>
      </c>
      <c r="U589" s="23">
        <v>310</v>
      </c>
      <c r="V589" s="151" t="s">
        <v>1942</v>
      </c>
      <c r="W589" s="44" t="s">
        <v>2445</v>
      </c>
      <c r="X589" s="22">
        <v>102</v>
      </c>
      <c r="AB589" s="60">
        <v>7119</v>
      </c>
      <c r="AC589" s="60">
        <v>212</v>
      </c>
      <c r="AD589" s="60">
        <v>471</v>
      </c>
      <c r="AE589" s="22">
        <v>2010</v>
      </c>
      <c r="AF589" s="22">
        <v>1</v>
      </c>
      <c r="AG589" s="22">
        <v>8</v>
      </c>
      <c r="AH589" s="22">
        <v>0</v>
      </c>
      <c r="AK589" s="17">
        <v>0</v>
      </c>
    </row>
    <row r="590" spans="1:37" ht="12.75" customHeight="1">
      <c r="A590" s="31" t="s">
        <v>675</v>
      </c>
      <c r="B590" s="19" t="s">
        <v>676</v>
      </c>
      <c r="C590" s="22">
        <v>60</v>
      </c>
      <c r="D590" s="20" t="s">
        <v>196</v>
      </c>
      <c r="E590" s="19">
        <v>0</v>
      </c>
      <c r="F590" s="19" t="s">
        <v>634</v>
      </c>
      <c r="G590" s="19" t="s">
        <v>677</v>
      </c>
      <c r="H590" s="19" t="s">
        <v>263</v>
      </c>
      <c r="I590" s="59" t="b">
        <v>1</v>
      </c>
      <c r="J590" s="17" t="s">
        <v>43</v>
      </c>
      <c r="K590" s="99" t="s">
        <v>678</v>
      </c>
      <c r="L590" s="31" t="s">
        <v>39</v>
      </c>
      <c r="M590" s="31"/>
      <c r="O590" s="17" t="s">
        <v>636</v>
      </c>
      <c r="P590" s="22">
        <v>-85.496799999999993</v>
      </c>
      <c r="Q590" s="22">
        <v>-154.52764999999999</v>
      </c>
      <c r="R590" s="22"/>
      <c r="S590" s="22">
        <v>292</v>
      </c>
      <c r="T590" s="22">
        <v>100</v>
      </c>
      <c r="U590" s="23">
        <v>1200</v>
      </c>
      <c r="V590" s="8" t="s">
        <v>2107</v>
      </c>
      <c r="W590" s="44" t="s">
        <v>2430</v>
      </c>
      <c r="X590" s="22">
        <v>192</v>
      </c>
      <c r="AB590" s="60">
        <v>5053</v>
      </c>
      <c r="AC590" s="60">
        <v>129</v>
      </c>
      <c r="AD590" s="60">
        <v>325</v>
      </c>
      <c r="AE590" s="22">
        <v>2004</v>
      </c>
      <c r="AF590" s="22">
        <v>1</v>
      </c>
      <c r="AG590" s="22">
        <v>3</v>
      </c>
      <c r="AH590" s="22">
        <v>0</v>
      </c>
      <c r="AK590" s="17">
        <v>0</v>
      </c>
    </row>
    <row r="591" spans="1:37" ht="12.75" customHeight="1">
      <c r="A591" s="31" t="s">
        <v>679</v>
      </c>
      <c r="B591" s="19" t="s">
        <v>676</v>
      </c>
      <c r="C591" s="22">
        <v>60</v>
      </c>
      <c r="D591" s="20" t="s">
        <v>196</v>
      </c>
      <c r="E591" s="19">
        <v>0</v>
      </c>
      <c r="F591" s="19" t="s">
        <v>634</v>
      </c>
      <c r="G591" s="19" t="s">
        <v>677</v>
      </c>
      <c r="H591" s="19" t="s">
        <v>263</v>
      </c>
      <c r="I591" s="59" t="b">
        <v>1</v>
      </c>
      <c r="J591" s="17" t="s">
        <v>43</v>
      </c>
      <c r="K591" s="99" t="s">
        <v>680</v>
      </c>
      <c r="L591" s="31" t="s">
        <v>39</v>
      </c>
      <c r="M591" s="31"/>
      <c r="O591" s="17" t="s">
        <v>636</v>
      </c>
      <c r="P591" s="22">
        <v>-85.496799999999993</v>
      </c>
      <c r="Q591" s="22">
        <v>-154.52781999999999</v>
      </c>
      <c r="R591" s="22"/>
      <c r="S591" s="22">
        <v>292</v>
      </c>
      <c r="T591" s="22">
        <v>100</v>
      </c>
      <c r="U591" s="23">
        <v>1200</v>
      </c>
      <c r="V591" s="8" t="s">
        <v>2107</v>
      </c>
      <c r="W591" s="44" t="s">
        <v>2430</v>
      </c>
      <c r="X591" s="22">
        <v>192</v>
      </c>
      <c r="AB591" s="60">
        <v>4614</v>
      </c>
      <c r="AC591" s="60">
        <v>149</v>
      </c>
      <c r="AD591" s="60">
        <v>311</v>
      </c>
      <c r="AE591" s="22">
        <v>2004</v>
      </c>
      <c r="AF591" s="22">
        <v>1</v>
      </c>
      <c r="AG591" s="22">
        <v>3</v>
      </c>
      <c r="AH591" s="22">
        <v>0</v>
      </c>
      <c r="AK591" s="17">
        <v>0</v>
      </c>
    </row>
    <row r="592" spans="1:37" ht="12.75" customHeight="1">
      <c r="A592" s="31" t="s">
        <v>681</v>
      </c>
      <c r="B592" s="19" t="s">
        <v>676</v>
      </c>
      <c r="C592" s="22">
        <v>60</v>
      </c>
      <c r="D592" s="20" t="s">
        <v>196</v>
      </c>
      <c r="E592" s="19">
        <v>0</v>
      </c>
      <c r="F592" s="19" t="s">
        <v>634</v>
      </c>
      <c r="G592" s="19" t="s">
        <v>677</v>
      </c>
      <c r="H592" s="19" t="s">
        <v>263</v>
      </c>
      <c r="I592" s="59" t="b">
        <v>1</v>
      </c>
      <c r="J592" s="17" t="s">
        <v>43</v>
      </c>
      <c r="K592" s="99" t="s">
        <v>682</v>
      </c>
      <c r="L592" s="31" t="s">
        <v>39</v>
      </c>
      <c r="M592" s="31"/>
      <c r="O592" s="17" t="s">
        <v>636</v>
      </c>
      <c r="P592" s="22">
        <v>-85.499129999999994</v>
      </c>
      <c r="Q592" s="22">
        <v>-154.60328000000001</v>
      </c>
      <c r="R592" s="22"/>
      <c r="S592" s="22">
        <v>247</v>
      </c>
      <c r="T592" s="22">
        <v>100</v>
      </c>
      <c r="U592" s="23">
        <v>1200</v>
      </c>
      <c r="V592" s="8" t="s">
        <v>2107</v>
      </c>
      <c r="W592" s="44" t="s">
        <v>2430</v>
      </c>
      <c r="X592" s="22">
        <v>147</v>
      </c>
      <c r="AB592" s="60">
        <v>3888</v>
      </c>
      <c r="AC592" s="60">
        <v>137</v>
      </c>
      <c r="AD592" s="60">
        <v>267</v>
      </c>
      <c r="AE592" s="22">
        <v>2004</v>
      </c>
      <c r="AF592" s="22">
        <v>1</v>
      </c>
      <c r="AG592" s="22">
        <v>3</v>
      </c>
      <c r="AH592" s="22">
        <v>0</v>
      </c>
      <c r="AK592" s="17">
        <v>0</v>
      </c>
    </row>
    <row r="593" spans="1:38" ht="12.75" customHeight="1">
      <c r="A593" s="31" t="s">
        <v>681</v>
      </c>
      <c r="B593" s="19" t="s">
        <v>676</v>
      </c>
      <c r="C593" s="22">
        <v>60</v>
      </c>
      <c r="D593" s="20" t="s">
        <v>196</v>
      </c>
      <c r="E593" s="19">
        <v>0</v>
      </c>
      <c r="F593" s="19" t="s">
        <v>634</v>
      </c>
      <c r="G593" s="19" t="s">
        <v>677</v>
      </c>
      <c r="H593" s="19" t="s">
        <v>263</v>
      </c>
      <c r="I593" s="59" t="b">
        <v>1</v>
      </c>
      <c r="J593" s="17" t="s">
        <v>43</v>
      </c>
      <c r="K593" s="99" t="s">
        <v>682</v>
      </c>
      <c r="L593" s="31" t="s">
        <v>39</v>
      </c>
      <c r="M593" s="31"/>
      <c r="O593" s="17" t="s">
        <v>636</v>
      </c>
      <c r="P593" s="22">
        <v>-85.499129999999994</v>
      </c>
      <c r="Q593" s="22">
        <v>-154.60328000000001</v>
      </c>
      <c r="R593" s="22"/>
      <c r="S593" s="22">
        <v>247</v>
      </c>
      <c r="T593" s="22">
        <v>100</v>
      </c>
      <c r="U593" s="23">
        <v>1200</v>
      </c>
      <c r="V593" s="8" t="s">
        <v>2107</v>
      </c>
      <c r="W593" s="44" t="s">
        <v>2430</v>
      </c>
      <c r="X593" s="22">
        <v>147</v>
      </c>
      <c r="AB593" s="60">
        <v>4031</v>
      </c>
      <c r="AC593" s="60">
        <v>131</v>
      </c>
      <c r="AD593" s="60">
        <v>272</v>
      </c>
      <c r="AE593" s="22">
        <v>2004</v>
      </c>
      <c r="AF593" s="22">
        <v>1</v>
      </c>
      <c r="AG593" s="22">
        <v>3</v>
      </c>
      <c r="AH593" s="22">
        <v>0</v>
      </c>
      <c r="AK593" s="17">
        <v>0</v>
      </c>
    </row>
    <row r="594" spans="1:38" ht="12.75" customHeight="1">
      <c r="A594" s="31" t="s">
        <v>683</v>
      </c>
      <c r="B594" s="19" t="s">
        <v>676</v>
      </c>
      <c r="C594" s="22">
        <v>60</v>
      </c>
      <c r="D594" s="20" t="s">
        <v>196</v>
      </c>
      <c r="E594" s="19">
        <v>0</v>
      </c>
      <c r="F594" s="19" t="s">
        <v>634</v>
      </c>
      <c r="G594" s="19" t="s">
        <v>677</v>
      </c>
      <c r="H594" s="19" t="s">
        <v>263</v>
      </c>
      <c r="I594" s="59" t="b">
        <v>1</v>
      </c>
      <c r="J594" s="17" t="s">
        <v>43</v>
      </c>
      <c r="K594" s="99" t="s">
        <v>684</v>
      </c>
      <c r="L594" s="31" t="s">
        <v>39</v>
      </c>
      <c r="M594" s="31"/>
      <c r="O594" s="17" t="s">
        <v>636</v>
      </c>
      <c r="P594" s="22">
        <v>-85.498699999999999</v>
      </c>
      <c r="Q594" s="22">
        <v>-154.60308000000001</v>
      </c>
      <c r="R594" s="22"/>
      <c r="S594" s="22">
        <v>248</v>
      </c>
      <c r="T594" s="22">
        <v>100</v>
      </c>
      <c r="U594" s="23">
        <v>1200</v>
      </c>
      <c r="V594" s="8" t="s">
        <v>2107</v>
      </c>
      <c r="W594" s="44" t="s">
        <v>2430</v>
      </c>
      <c r="X594" s="22">
        <v>148</v>
      </c>
      <c r="AB594" s="60">
        <v>4265</v>
      </c>
      <c r="AC594" s="60">
        <v>177</v>
      </c>
      <c r="AD594" s="60">
        <v>308</v>
      </c>
      <c r="AE594" s="22">
        <v>2004</v>
      </c>
      <c r="AF594" s="22">
        <v>1</v>
      </c>
      <c r="AG594" s="22">
        <v>3</v>
      </c>
      <c r="AH594" s="22">
        <v>0</v>
      </c>
      <c r="AK594" s="17">
        <v>0</v>
      </c>
    </row>
    <row r="595" spans="1:38" ht="12.75" customHeight="1">
      <c r="A595" s="31" t="s">
        <v>685</v>
      </c>
      <c r="B595" s="19" t="s">
        <v>676</v>
      </c>
      <c r="C595" s="22">
        <v>60</v>
      </c>
      <c r="D595" s="20" t="s">
        <v>196</v>
      </c>
      <c r="E595" s="19">
        <v>0</v>
      </c>
      <c r="F595" s="19" t="s">
        <v>634</v>
      </c>
      <c r="G595" s="19" t="s">
        <v>677</v>
      </c>
      <c r="H595" s="19" t="s">
        <v>263</v>
      </c>
      <c r="I595" s="59" t="b">
        <v>1</v>
      </c>
      <c r="J595" s="17" t="s">
        <v>43</v>
      </c>
      <c r="K595" s="99" t="s">
        <v>686</v>
      </c>
      <c r="L595" s="31" t="s">
        <v>39</v>
      </c>
      <c r="M595" s="31"/>
      <c r="O595" s="17" t="s">
        <v>636</v>
      </c>
      <c r="P595" s="22">
        <v>-85.499549999999999</v>
      </c>
      <c r="Q595" s="22">
        <v>-154.6575</v>
      </c>
      <c r="R595" s="22"/>
      <c r="S595" s="22">
        <v>203</v>
      </c>
      <c r="T595" s="22">
        <v>100</v>
      </c>
      <c r="U595" s="23">
        <v>1200</v>
      </c>
      <c r="V595" s="8" t="s">
        <v>2107</v>
      </c>
      <c r="W595" s="44" t="s">
        <v>2430</v>
      </c>
      <c r="X595" s="22">
        <v>103</v>
      </c>
      <c r="AB595" s="60">
        <v>3463</v>
      </c>
      <c r="AC595" s="60">
        <v>150</v>
      </c>
      <c r="AD595" s="60">
        <v>253</v>
      </c>
      <c r="AE595" s="22">
        <v>2004</v>
      </c>
      <c r="AF595" s="22">
        <v>1</v>
      </c>
      <c r="AG595" s="22">
        <v>3</v>
      </c>
      <c r="AH595" s="22">
        <v>0</v>
      </c>
      <c r="AK595" s="17">
        <v>0</v>
      </c>
    </row>
    <row r="596" spans="1:38" ht="12.75" customHeight="1">
      <c r="A596" s="31" t="s">
        <v>687</v>
      </c>
      <c r="B596" s="19" t="s">
        <v>676</v>
      </c>
      <c r="C596" s="22">
        <v>60</v>
      </c>
      <c r="D596" s="20" t="s">
        <v>196</v>
      </c>
      <c r="E596" s="19">
        <v>0</v>
      </c>
      <c r="F596" s="19" t="s">
        <v>634</v>
      </c>
      <c r="G596" s="19" t="s">
        <v>677</v>
      </c>
      <c r="H596" s="19" t="s">
        <v>263</v>
      </c>
      <c r="I596" s="59" t="b">
        <v>1</v>
      </c>
      <c r="J596" s="17" t="s">
        <v>43</v>
      </c>
      <c r="K596" s="99" t="s">
        <v>688</v>
      </c>
      <c r="L596" s="31" t="s">
        <v>39</v>
      </c>
      <c r="M596" s="31"/>
      <c r="O596" s="17" t="s">
        <v>636</v>
      </c>
      <c r="P596" s="22">
        <v>-85.499549999999999</v>
      </c>
      <c r="Q596" s="22">
        <v>-154.6575</v>
      </c>
      <c r="R596" s="22"/>
      <c r="S596" s="22">
        <v>203</v>
      </c>
      <c r="T596" s="22">
        <v>100</v>
      </c>
      <c r="U596" s="23">
        <v>1200</v>
      </c>
      <c r="V596" s="8" t="s">
        <v>2107</v>
      </c>
      <c r="W596" s="44" t="s">
        <v>2430</v>
      </c>
      <c r="X596" s="22">
        <v>103</v>
      </c>
      <c r="AB596" s="60">
        <v>3348</v>
      </c>
      <c r="AC596" s="60">
        <v>125</v>
      </c>
      <c r="AD596" s="60">
        <v>234</v>
      </c>
      <c r="AE596" s="22">
        <v>2004</v>
      </c>
      <c r="AF596" s="22">
        <v>1</v>
      </c>
      <c r="AG596" s="22">
        <v>3</v>
      </c>
      <c r="AH596" s="22">
        <v>0</v>
      </c>
      <c r="AK596" s="17">
        <v>0</v>
      </c>
    </row>
    <row r="597" spans="1:38" ht="12.75" customHeight="1">
      <c r="A597" s="31" t="s">
        <v>689</v>
      </c>
      <c r="B597" s="19" t="s">
        <v>676</v>
      </c>
      <c r="C597" s="22">
        <v>60</v>
      </c>
      <c r="D597" s="20" t="s">
        <v>196</v>
      </c>
      <c r="E597" s="19">
        <v>0</v>
      </c>
      <c r="F597" s="19" t="s">
        <v>634</v>
      </c>
      <c r="G597" s="19" t="s">
        <v>677</v>
      </c>
      <c r="H597" s="19" t="s">
        <v>263</v>
      </c>
      <c r="I597" s="59" t="b">
        <v>1</v>
      </c>
      <c r="J597" s="17" t="s">
        <v>43</v>
      </c>
      <c r="K597" s="99" t="s">
        <v>690</v>
      </c>
      <c r="L597" s="31" t="s">
        <v>39</v>
      </c>
      <c r="M597" s="31"/>
      <c r="O597" s="17" t="s">
        <v>636</v>
      </c>
      <c r="P597" s="22">
        <v>-85.49973</v>
      </c>
      <c r="Q597" s="22">
        <v>-154.67318</v>
      </c>
      <c r="R597" s="22"/>
      <c r="S597" s="22">
        <v>182</v>
      </c>
      <c r="T597" s="22">
        <v>100</v>
      </c>
      <c r="U597" s="23">
        <v>1200</v>
      </c>
      <c r="V597" s="8" t="s">
        <v>2107</v>
      </c>
      <c r="W597" s="44" t="s">
        <v>2430</v>
      </c>
      <c r="X597" s="22">
        <v>82</v>
      </c>
      <c r="AB597" s="60">
        <v>3122</v>
      </c>
      <c r="AC597" s="60">
        <v>165</v>
      </c>
      <c r="AD597" s="60">
        <v>247</v>
      </c>
      <c r="AE597" s="22">
        <v>2004</v>
      </c>
      <c r="AF597" s="22">
        <v>1</v>
      </c>
      <c r="AG597" s="22">
        <v>3</v>
      </c>
      <c r="AH597" s="22">
        <v>0</v>
      </c>
      <c r="AK597" s="17">
        <v>0</v>
      </c>
    </row>
    <row r="598" spans="1:38" ht="12.75" customHeight="1">
      <c r="A598" s="43" t="s">
        <v>691</v>
      </c>
      <c r="B598" s="19" t="s">
        <v>676</v>
      </c>
      <c r="C598" s="22">
        <v>60</v>
      </c>
      <c r="D598" s="20" t="s">
        <v>196</v>
      </c>
      <c r="E598" s="19">
        <v>0</v>
      </c>
      <c r="F598" s="19" t="s">
        <v>634</v>
      </c>
      <c r="G598" s="19" t="s">
        <v>692</v>
      </c>
      <c r="H598" s="19" t="s">
        <v>263</v>
      </c>
      <c r="I598" s="59" t="b">
        <v>1</v>
      </c>
      <c r="J598" s="17" t="s">
        <v>43</v>
      </c>
      <c r="K598" s="21" t="str">
        <f t="shared" ref="K598:K601" si="17">CONCATENATE("https://version2.ice-d.org/antarctica/sample/", A598, "/")</f>
        <v>https://version2.ice-d.org/antarctica/sample/07-SCT-103-KHL/</v>
      </c>
      <c r="L598" s="43" t="s">
        <v>148</v>
      </c>
      <c r="M598" s="100" t="s">
        <v>2409</v>
      </c>
      <c r="N598" s="17" t="s">
        <v>39</v>
      </c>
      <c r="O598" s="17" t="s">
        <v>636</v>
      </c>
      <c r="P598" s="22">
        <v>-85.484920000000002</v>
      </c>
      <c r="Q598" s="22">
        <v>-154.44542999999999</v>
      </c>
      <c r="R598" s="22"/>
      <c r="S598" s="22">
        <v>70</v>
      </c>
      <c r="T598" s="22">
        <v>100</v>
      </c>
      <c r="U598" s="23">
        <v>1200</v>
      </c>
      <c r="V598" s="8" t="s">
        <v>2107</v>
      </c>
      <c r="W598" s="44" t="s">
        <v>2430</v>
      </c>
      <c r="X598" s="22">
        <v>-30</v>
      </c>
      <c r="AB598" s="60">
        <v>99</v>
      </c>
      <c r="AC598" s="60">
        <v>48</v>
      </c>
      <c r="AD598" s="60">
        <v>48</v>
      </c>
      <c r="AE598" s="22">
        <v>2007</v>
      </c>
      <c r="AF598" s="22">
        <v>1</v>
      </c>
      <c r="AG598" s="22">
        <v>5</v>
      </c>
      <c r="AH598" s="22">
        <v>0</v>
      </c>
      <c r="AK598" s="17">
        <v>0</v>
      </c>
    </row>
    <row r="599" spans="1:38" ht="12.75" customHeight="1">
      <c r="A599" s="43" t="s">
        <v>693</v>
      </c>
      <c r="B599" s="19" t="s">
        <v>676</v>
      </c>
      <c r="C599" s="22">
        <v>60</v>
      </c>
      <c r="D599" s="20" t="s">
        <v>196</v>
      </c>
      <c r="E599" s="19">
        <v>0</v>
      </c>
      <c r="F599" s="19" t="s">
        <v>634</v>
      </c>
      <c r="G599" s="19" t="s">
        <v>692</v>
      </c>
      <c r="H599" s="19" t="s">
        <v>263</v>
      </c>
      <c r="I599" s="59" t="b">
        <v>1</v>
      </c>
      <c r="J599" s="17" t="s">
        <v>43</v>
      </c>
      <c r="K599" s="21" t="str">
        <f t="shared" si="17"/>
        <v>https://version2.ice-d.org/antarctica/sample/07-SCT-105-KHL/</v>
      </c>
      <c r="L599" s="43" t="s">
        <v>148</v>
      </c>
      <c r="M599" s="43"/>
      <c r="N599" s="17" t="s">
        <v>39</v>
      </c>
      <c r="O599" s="17" t="s">
        <v>636</v>
      </c>
      <c r="P599" s="22">
        <v>-85.486279999999994</v>
      </c>
      <c r="Q599" s="22">
        <v>-154.45275000000001</v>
      </c>
      <c r="R599" s="22"/>
      <c r="S599" s="22">
        <v>110.5</v>
      </c>
      <c r="T599" s="22">
        <v>100</v>
      </c>
      <c r="U599" s="23">
        <v>1200</v>
      </c>
      <c r="V599" s="8" t="s">
        <v>2107</v>
      </c>
      <c r="W599" s="44" t="s">
        <v>2430</v>
      </c>
      <c r="X599" s="22">
        <v>10.5</v>
      </c>
      <c r="AB599" s="60">
        <v>1356</v>
      </c>
      <c r="AC599" s="60">
        <v>76</v>
      </c>
      <c r="AD599" s="60">
        <v>110</v>
      </c>
      <c r="AE599" s="22">
        <v>2007</v>
      </c>
      <c r="AF599" s="22">
        <v>1</v>
      </c>
      <c r="AG599" s="22">
        <v>5</v>
      </c>
      <c r="AH599" s="22">
        <v>0</v>
      </c>
      <c r="AK599" s="17">
        <v>0</v>
      </c>
    </row>
    <row r="600" spans="1:38" ht="12.75" customHeight="1">
      <c r="A600" s="43" t="s">
        <v>694</v>
      </c>
      <c r="B600" s="19" t="s">
        <v>676</v>
      </c>
      <c r="C600" s="22">
        <v>60</v>
      </c>
      <c r="D600" s="20" t="s">
        <v>196</v>
      </c>
      <c r="E600" s="19">
        <v>0</v>
      </c>
      <c r="F600" s="19" t="s">
        <v>634</v>
      </c>
      <c r="G600" s="19" t="s">
        <v>692</v>
      </c>
      <c r="H600" s="19" t="s">
        <v>263</v>
      </c>
      <c r="I600" s="59" t="b">
        <v>1</v>
      </c>
      <c r="J600" s="17" t="s">
        <v>43</v>
      </c>
      <c r="K600" s="21" t="str">
        <f t="shared" si="17"/>
        <v>https://version2.ice-d.org/antarctica/sample/07-SCT-106-KHL/</v>
      </c>
      <c r="L600" s="43" t="s">
        <v>148</v>
      </c>
      <c r="M600" s="43"/>
      <c r="N600" s="17" t="s">
        <v>39</v>
      </c>
      <c r="O600" s="17" t="s">
        <v>636</v>
      </c>
      <c r="P600" s="22">
        <v>-85.486130000000003</v>
      </c>
      <c r="Q600" s="22">
        <v>-154.48428000000001</v>
      </c>
      <c r="R600" s="22"/>
      <c r="S600" s="22">
        <v>153.80000000000001</v>
      </c>
      <c r="T600" s="22">
        <v>100</v>
      </c>
      <c r="U600" s="23">
        <v>1200</v>
      </c>
      <c r="V600" s="8" t="s">
        <v>2107</v>
      </c>
      <c r="W600" s="44" t="s">
        <v>2430</v>
      </c>
      <c r="X600" s="22">
        <v>53.8</v>
      </c>
      <c r="AB600" s="60">
        <v>3154</v>
      </c>
      <c r="AC600" s="60">
        <v>103</v>
      </c>
      <c r="AD600" s="60">
        <v>213</v>
      </c>
      <c r="AE600" s="22">
        <v>2007</v>
      </c>
      <c r="AF600" s="22">
        <v>1</v>
      </c>
      <c r="AG600" s="22">
        <v>5</v>
      </c>
      <c r="AH600" s="22">
        <v>0</v>
      </c>
      <c r="AK600" s="17">
        <v>0</v>
      </c>
    </row>
    <row r="601" spans="1:38" ht="12.75" customHeight="1">
      <c r="A601" s="43" t="s">
        <v>695</v>
      </c>
      <c r="B601" s="19" t="s">
        <v>676</v>
      </c>
      <c r="C601" s="22">
        <v>60</v>
      </c>
      <c r="D601" s="20" t="s">
        <v>196</v>
      </c>
      <c r="E601" s="19">
        <v>0</v>
      </c>
      <c r="F601" s="19" t="s">
        <v>634</v>
      </c>
      <c r="G601" s="19" t="s">
        <v>692</v>
      </c>
      <c r="H601" s="19" t="s">
        <v>263</v>
      </c>
      <c r="I601" s="59" t="b">
        <v>1</v>
      </c>
      <c r="J601" s="17" t="s">
        <v>43</v>
      </c>
      <c r="K601" s="21" t="str">
        <f t="shared" si="17"/>
        <v>https://version2.ice-d.org/antarctica/sample/07-SCT-109-KHL/</v>
      </c>
      <c r="L601" s="43" t="s">
        <v>148</v>
      </c>
      <c r="M601" s="43"/>
      <c r="N601" s="17" t="s">
        <v>39</v>
      </c>
      <c r="O601" s="17" t="s">
        <v>636</v>
      </c>
      <c r="P601" s="22">
        <v>-85.489599999999996</v>
      </c>
      <c r="Q601" s="22">
        <v>-154.49709999999999</v>
      </c>
      <c r="R601" s="22"/>
      <c r="S601" s="22">
        <v>204.2</v>
      </c>
      <c r="T601" s="22">
        <v>100</v>
      </c>
      <c r="U601" s="23">
        <v>1200</v>
      </c>
      <c r="V601" s="8" t="s">
        <v>2107</v>
      </c>
      <c r="W601" s="44" t="s">
        <v>2430</v>
      </c>
      <c r="X601" s="22">
        <v>104.2</v>
      </c>
      <c r="AB601" s="60">
        <v>3323</v>
      </c>
      <c r="AC601" s="60">
        <v>91</v>
      </c>
      <c r="AD601" s="60">
        <v>216</v>
      </c>
      <c r="AE601" s="22">
        <v>2007</v>
      </c>
      <c r="AF601" s="22">
        <v>1</v>
      </c>
      <c r="AG601" s="22">
        <v>5</v>
      </c>
      <c r="AH601" s="22">
        <v>0</v>
      </c>
      <c r="AK601" s="17">
        <v>0</v>
      </c>
    </row>
    <row r="602" spans="1:38" ht="12.75" customHeight="1">
      <c r="A602" s="82" t="s">
        <v>696</v>
      </c>
      <c r="B602" s="19" t="s">
        <v>697</v>
      </c>
      <c r="C602" s="22">
        <v>61</v>
      </c>
      <c r="D602" s="19" t="s">
        <v>196</v>
      </c>
      <c r="E602" s="19">
        <v>0</v>
      </c>
      <c r="F602" s="19" t="s">
        <v>634</v>
      </c>
      <c r="G602" s="19" t="s">
        <v>692</v>
      </c>
      <c r="H602" s="19" t="s">
        <v>263</v>
      </c>
      <c r="I602" s="59" t="b">
        <v>1</v>
      </c>
      <c r="J602" s="17" t="s">
        <v>43</v>
      </c>
      <c r="K602" s="99" t="s">
        <v>698</v>
      </c>
      <c r="L602" s="82" t="s">
        <v>39</v>
      </c>
      <c r="M602" s="82" t="s">
        <v>44</v>
      </c>
      <c r="O602" s="17" t="s">
        <v>636</v>
      </c>
      <c r="P602" s="22">
        <v>-85.527730000000005</v>
      </c>
      <c r="Q602" s="22">
        <v>-154.49187000000001</v>
      </c>
      <c r="R602" s="22"/>
      <c r="S602" s="22">
        <v>587</v>
      </c>
      <c r="T602" s="22">
        <v>100</v>
      </c>
      <c r="U602" s="23">
        <v>893</v>
      </c>
      <c r="V602" s="150" t="s">
        <v>2431</v>
      </c>
      <c r="W602" s="44" t="s">
        <v>2432</v>
      </c>
      <c r="X602" s="22">
        <v>487</v>
      </c>
      <c r="AB602" s="60">
        <v>6836</v>
      </c>
      <c r="AC602" s="60">
        <v>155</v>
      </c>
      <c r="AD602" s="60">
        <v>433</v>
      </c>
      <c r="AE602" s="22">
        <v>2007</v>
      </c>
      <c r="AF602" s="22">
        <v>1</v>
      </c>
      <c r="AG602" s="22">
        <v>4</v>
      </c>
      <c r="AH602" s="22">
        <v>0</v>
      </c>
      <c r="AK602" s="17">
        <v>0</v>
      </c>
      <c r="AL602" s="17" t="s">
        <v>699</v>
      </c>
    </row>
    <row r="603" spans="1:38" ht="12.75" customHeight="1">
      <c r="A603" s="82" t="s">
        <v>700</v>
      </c>
      <c r="B603" s="19" t="s">
        <v>697</v>
      </c>
      <c r="C603" s="22">
        <v>61</v>
      </c>
      <c r="D603" s="19" t="s">
        <v>196</v>
      </c>
      <c r="E603" s="19">
        <v>0</v>
      </c>
      <c r="F603" s="19" t="s">
        <v>634</v>
      </c>
      <c r="G603" s="19" t="s">
        <v>692</v>
      </c>
      <c r="H603" s="19" t="s">
        <v>263</v>
      </c>
      <c r="I603" s="59" t="b">
        <v>1</v>
      </c>
      <c r="J603" s="17" t="s">
        <v>43</v>
      </c>
      <c r="K603" s="99" t="s">
        <v>701</v>
      </c>
      <c r="L603" s="82" t="s">
        <v>39</v>
      </c>
      <c r="M603" s="82"/>
      <c r="O603" s="17" t="s">
        <v>636</v>
      </c>
      <c r="P603" s="22">
        <v>-85.527900000000002</v>
      </c>
      <c r="Q603" s="22">
        <v>-154.49226999999999</v>
      </c>
      <c r="R603" s="22"/>
      <c r="S603" s="22">
        <v>588.5</v>
      </c>
      <c r="T603" s="22">
        <v>100</v>
      </c>
      <c r="U603" s="23">
        <v>893</v>
      </c>
      <c r="V603" s="150" t="s">
        <v>2431</v>
      </c>
      <c r="W603" s="44" t="s">
        <v>2432</v>
      </c>
      <c r="X603" s="22">
        <v>488.5</v>
      </c>
      <c r="AB603" s="60">
        <v>7133</v>
      </c>
      <c r="AC603" s="60">
        <v>184</v>
      </c>
      <c r="AD603" s="60">
        <v>460</v>
      </c>
      <c r="AE603" s="22">
        <v>2007</v>
      </c>
      <c r="AF603" s="22">
        <v>1</v>
      </c>
      <c r="AG603" s="22">
        <v>4</v>
      </c>
      <c r="AH603" s="22">
        <v>0</v>
      </c>
      <c r="AK603" s="17">
        <v>0</v>
      </c>
    </row>
    <row r="604" spans="1:38" ht="12.75" customHeight="1">
      <c r="A604" s="82" t="s">
        <v>702</v>
      </c>
      <c r="B604" s="19" t="s">
        <v>697</v>
      </c>
      <c r="C604" s="22">
        <v>61</v>
      </c>
      <c r="D604" s="19" t="s">
        <v>196</v>
      </c>
      <c r="E604" s="19">
        <v>0</v>
      </c>
      <c r="F604" s="19" t="s">
        <v>634</v>
      </c>
      <c r="G604" s="19" t="s">
        <v>692</v>
      </c>
      <c r="H604" s="19" t="s">
        <v>263</v>
      </c>
      <c r="I604" s="59" t="b">
        <v>1</v>
      </c>
      <c r="J604" s="17" t="s">
        <v>43</v>
      </c>
      <c r="K604" s="99" t="s">
        <v>703</v>
      </c>
      <c r="L604" s="82" t="s">
        <v>39</v>
      </c>
      <c r="M604" s="82"/>
      <c r="O604" s="17" t="s">
        <v>636</v>
      </c>
      <c r="P604" s="22">
        <v>-85.522229999999993</v>
      </c>
      <c r="Q604" s="22">
        <v>-154.50416999999999</v>
      </c>
      <c r="R604" s="22"/>
      <c r="S604" s="22">
        <v>514.70000000000005</v>
      </c>
      <c r="T604" s="22">
        <v>100</v>
      </c>
      <c r="U604" s="23">
        <v>893</v>
      </c>
      <c r="V604" s="150" t="s">
        <v>2431</v>
      </c>
      <c r="W604" s="44" t="s">
        <v>2432</v>
      </c>
      <c r="X604" s="22">
        <v>414.7</v>
      </c>
      <c r="AB604" s="60">
        <v>5913</v>
      </c>
      <c r="AC604" s="60">
        <v>133</v>
      </c>
      <c r="AD604" s="60">
        <v>374</v>
      </c>
      <c r="AE604" s="22">
        <v>2007</v>
      </c>
      <c r="AF604" s="22">
        <v>1</v>
      </c>
      <c r="AG604" s="22">
        <v>4</v>
      </c>
      <c r="AH604" s="22">
        <v>0</v>
      </c>
      <c r="AK604" s="17">
        <v>0</v>
      </c>
    </row>
    <row r="605" spans="1:38" ht="12.75" customHeight="1">
      <c r="A605" s="82" t="s">
        <v>704</v>
      </c>
      <c r="B605" s="19" t="s">
        <v>697</v>
      </c>
      <c r="C605" s="22">
        <v>61</v>
      </c>
      <c r="D605" s="19" t="s">
        <v>196</v>
      </c>
      <c r="E605" s="19">
        <v>0</v>
      </c>
      <c r="F605" s="19" t="s">
        <v>634</v>
      </c>
      <c r="G605" s="19" t="s">
        <v>692</v>
      </c>
      <c r="H605" s="19" t="s">
        <v>263</v>
      </c>
      <c r="I605" s="59" t="b">
        <v>1</v>
      </c>
      <c r="J605" s="17" t="s">
        <v>43</v>
      </c>
      <c r="K605" s="99" t="s">
        <v>705</v>
      </c>
      <c r="L605" s="82" t="s">
        <v>39</v>
      </c>
      <c r="M605" s="82"/>
      <c r="O605" s="17" t="s">
        <v>636</v>
      </c>
      <c r="P605" s="22">
        <v>-85.520250000000004</v>
      </c>
      <c r="Q605" s="22">
        <v>-154.51407</v>
      </c>
      <c r="R605" s="22"/>
      <c r="S605" s="22">
        <v>480.8</v>
      </c>
      <c r="T605" s="22">
        <v>100</v>
      </c>
      <c r="U605" s="23">
        <v>893</v>
      </c>
      <c r="V605" s="150" t="s">
        <v>2431</v>
      </c>
      <c r="W605" s="44" t="s">
        <v>2432</v>
      </c>
      <c r="X605" s="22">
        <v>380.8</v>
      </c>
      <c r="AB605" s="60">
        <v>5901</v>
      </c>
      <c r="AC605" s="60">
        <v>116</v>
      </c>
      <c r="AD605" s="60">
        <v>367</v>
      </c>
      <c r="AE605" s="22">
        <v>2007</v>
      </c>
      <c r="AF605" s="22">
        <v>1</v>
      </c>
      <c r="AG605" s="22">
        <v>4</v>
      </c>
      <c r="AH605" s="22">
        <v>0</v>
      </c>
      <c r="AK605" s="17">
        <v>0</v>
      </c>
    </row>
    <row r="606" spans="1:38" ht="12.75" customHeight="1">
      <c r="A606" s="82" t="s">
        <v>706</v>
      </c>
      <c r="B606" s="19" t="s">
        <v>697</v>
      </c>
      <c r="C606" s="22">
        <v>61</v>
      </c>
      <c r="D606" s="19" t="s">
        <v>196</v>
      </c>
      <c r="E606" s="19">
        <v>0</v>
      </c>
      <c r="F606" s="19" t="s">
        <v>634</v>
      </c>
      <c r="G606" s="19" t="s">
        <v>692</v>
      </c>
      <c r="H606" s="19" t="s">
        <v>263</v>
      </c>
      <c r="I606" s="59" t="b">
        <v>1</v>
      </c>
      <c r="J606" s="17" t="s">
        <v>43</v>
      </c>
      <c r="K606" s="99" t="s">
        <v>707</v>
      </c>
      <c r="L606" s="82" t="s">
        <v>39</v>
      </c>
      <c r="M606" s="82"/>
      <c r="O606" s="17" t="s">
        <v>636</v>
      </c>
      <c r="P606" s="22">
        <v>-85.518730000000005</v>
      </c>
      <c r="Q606" s="22">
        <v>-154.51867999999999</v>
      </c>
      <c r="R606" s="22"/>
      <c r="S606" s="22">
        <v>413.6</v>
      </c>
      <c r="T606" s="22">
        <v>100</v>
      </c>
      <c r="U606" s="23">
        <v>893</v>
      </c>
      <c r="V606" s="150" t="s">
        <v>2431</v>
      </c>
      <c r="W606" s="44" t="s">
        <v>2432</v>
      </c>
      <c r="X606" s="22">
        <v>313.60000000000002</v>
      </c>
      <c r="AB606" s="60">
        <v>5878</v>
      </c>
      <c r="AC606" s="60">
        <v>130</v>
      </c>
      <c r="AD606" s="60">
        <v>371</v>
      </c>
      <c r="AE606" s="22">
        <v>2007</v>
      </c>
      <c r="AF606" s="22">
        <v>1</v>
      </c>
      <c r="AG606" s="22">
        <v>4</v>
      </c>
      <c r="AH606" s="22">
        <v>0</v>
      </c>
      <c r="AK606" s="17">
        <v>0</v>
      </c>
    </row>
    <row r="607" spans="1:38" ht="12.75" customHeight="1">
      <c r="A607" s="82" t="s">
        <v>708</v>
      </c>
      <c r="B607" s="19" t="s">
        <v>697</v>
      </c>
      <c r="C607" s="22">
        <v>61</v>
      </c>
      <c r="D607" s="19" t="s">
        <v>196</v>
      </c>
      <c r="E607" s="19">
        <v>0</v>
      </c>
      <c r="F607" s="19" t="s">
        <v>634</v>
      </c>
      <c r="G607" s="19" t="s">
        <v>692</v>
      </c>
      <c r="H607" s="19" t="s">
        <v>263</v>
      </c>
      <c r="I607" s="59" t="b">
        <v>1</v>
      </c>
      <c r="J607" s="17" t="s">
        <v>43</v>
      </c>
      <c r="K607" s="99" t="s">
        <v>709</v>
      </c>
      <c r="L607" s="82" t="s">
        <v>39</v>
      </c>
      <c r="M607" s="82"/>
      <c r="O607" s="17" t="s">
        <v>636</v>
      </c>
      <c r="P607" s="22">
        <v>-85.517579999999995</v>
      </c>
      <c r="Q607" s="22">
        <v>-154.54775000000001</v>
      </c>
      <c r="R607" s="22"/>
      <c r="S607" s="22">
        <v>325.10000000000002</v>
      </c>
      <c r="T607" s="22">
        <v>100</v>
      </c>
      <c r="U607" s="23">
        <v>893</v>
      </c>
      <c r="V607" s="150" t="s">
        <v>2431</v>
      </c>
      <c r="W607" s="44" t="s">
        <v>2432</v>
      </c>
      <c r="X607" s="22">
        <v>225.1</v>
      </c>
      <c r="AB607" s="60">
        <v>4172</v>
      </c>
      <c r="AC607" s="60">
        <v>124</v>
      </c>
      <c r="AD607" s="60">
        <v>276</v>
      </c>
      <c r="AE607" s="22">
        <v>2007</v>
      </c>
      <c r="AF607" s="22">
        <v>1</v>
      </c>
      <c r="AG607" s="22">
        <v>4</v>
      </c>
      <c r="AH607" s="22">
        <v>0</v>
      </c>
      <c r="AK607" s="17">
        <v>0</v>
      </c>
    </row>
    <row r="608" spans="1:38" ht="12.75" customHeight="1">
      <c r="A608" s="82" t="s">
        <v>710</v>
      </c>
      <c r="B608" s="19" t="s">
        <v>697</v>
      </c>
      <c r="C608" s="22">
        <v>61</v>
      </c>
      <c r="D608" s="19" t="s">
        <v>196</v>
      </c>
      <c r="E608" s="19">
        <v>0</v>
      </c>
      <c r="F608" s="19" t="s">
        <v>634</v>
      </c>
      <c r="G608" s="19" t="s">
        <v>692</v>
      </c>
      <c r="H608" s="19" t="s">
        <v>263</v>
      </c>
      <c r="I608" s="59" t="b">
        <v>1</v>
      </c>
      <c r="J608" s="17" t="s">
        <v>43</v>
      </c>
      <c r="K608" s="59"/>
      <c r="L608" s="82" t="s">
        <v>39</v>
      </c>
      <c r="M608" s="82"/>
      <c r="O608" s="17" t="s">
        <v>636</v>
      </c>
      <c r="P608" s="22">
        <v>-85.514570000000006</v>
      </c>
      <c r="Q608" s="22">
        <v>-154.58687</v>
      </c>
      <c r="R608" s="22"/>
      <c r="S608" s="22">
        <v>225.2</v>
      </c>
      <c r="T608" s="22">
        <v>100</v>
      </c>
      <c r="U608" s="23">
        <v>893</v>
      </c>
      <c r="V608" s="150" t="s">
        <v>2431</v>
      </c>
      <c r="W608" s="44" t="s">
        <v>2432</v>
      </c>
      <c r="X608" s="22">
        <v>125.2</v>
      </c>
      <c r="AB608" s="60">
        <v>3320</v>
      </c>
      <c r="AC608" s="60">
        <v>110</v>
      </c>
      <c r="AD608" s="60">
        <v>225</v>
      </c>
      <c r="AE608" s="22">
        <v>2007</v>
      </c>
      <c r="AF608" s="22">
        <v>1</v>
      </c>
      <c r="AG608" s="22">
        <v>4</v>
      </c>
      <c r="AH608" s="22">
        <v>0</v>
      </c>
      <c r="AK608" s="17">
        <v>0</v>
      </c>
    </row>
    <row r="609" spans="1:37" ht="12.75" customHeight="1">
      <c r="A609" s="82" t="s">
        <v>711</v>
      </c>
      <c r="B609" s="19" t="s">
        <v>697</v>
      </c>
      <c r="C609" s="22">
        <v>61</v>
      </c>
      <c r="D609" s="19" t="s">
        <v>196</v>
      </c>
      <c r="E609" s="19">
        <v>0</v>
      </c>
      <c r="F609" s="19" t="s">
        <v>634</v>
      </c>
      <c r="G609" s="19" t="s">
        <v>692</v>
      </c>
      <c r="H609" s="19" t="s">
        <v>263</v>
      </c>
      <c r="I609" s="59" t="b">
        <v>1</v>
      </c>
      <c r="J609" s="17" t="s">
        <v>43</v>
      </c>
      <c r="K609" s="21" t="str">
        <f t="shared" ref="K609:K832" si="18">CONCATENATE("https://version2.ice-d.org/antarctica/sample/", A609, "/")</f>
        <v>https://version2.ice-d.org/antarctica/sample/07-SCT-022-RGB/</v>
      </c>
      <c r="L609" s="82" t="s">
        <v>39</v>
      </c>
      <c r="M609" s="82"/>
      <c r="O609" s="17" t="s">
        <v>636</v>
      </c>
      <c r="P609" s="22">
        <v>-85.543199999999999</v>
      </c>
      <c r="Q609" s="22">
        <v>-154.54297</v>
      </c>
      <c r="R609" s="22"/>
      <c r="S609" s="22">
        <v>844.6</v>
      </c>
      <c r="T609" s="22">
        <v>100</v>
      </c>
      <c r="U609" s="23">
        <v>893</v>
      </c>
      <c r="V609" s="150" t="s">
        <v>2431</v>
      </c>
      <c r="W609" s="44" t="s">
        <v>2432</v>
      </c>
      <c r="X609" s="22">
        <v>744.6</v>
      </c>
      <c r="AB609" s="60">
        <v>8286</v>
      </c>
      <c r="AC609" s="60">
        <v>192</v>
      </c>
      <c r="AD609" s="60">
        <v>526</v>
      </c>
      <c r="AE609" s="22">
        <v>2007</v>
      </c>
      <c r="AF609" s="22">
        <v>1</v>
      </c>
      <c r="AG609" s="22">
        <v>4</v>
      </c>
      <c r="AH609" s="22">
        <v>0</v>
      </c>
      <c r="AK609" s="17">
        <v>0</v>
      </c>
    </row>
    <row r="610" spans="1:37" ht="12.75" customHeight="1">
      <c r="A610" s="82" t="s">
        <v>712</v>
      </c>
      <c r="B610" s="19" t="s">
        <v>697</v>
      </c>
      <c r="C610" s="22">
        <v>61</v>
      </c>
      <c r="D610" s="19" t="s">
        <v>196</v>
      </c>
      <c r="E610" s="19">
        <v>0</v>
      </c>
      <c r="F610" s="19" t="s">
        <v>634</v>
      </c>
      <c r="G610" s="19" t="s">
        <v>692</v>
      </c>
      <c r="H610" s="19" t="s">
        <v>263</v>
      </c>
      <c r="I610" s="59" t="b">
        <v>1</v>
      </c>
      <c r="J610" s="17" t="s">
        <v>43</v>
      </c>
      <c r="K610" s="21" t="str">
        <f t="shared" si="18"/>
        <v>https://version2.ice-d.org/antarctica/sample/07-SCT-023-RGB/</v>
      </c>
      <c r="L610" s="82" t="s">
        <v>39</v>
      </c>
      <c r="M610" s="82"/>
      <c r="O610" s="17" t="s">
        <v>636</v>
      </c>
      <c r="P610" s="22">
        <v>-85.543520000000001</v>
      </c>
      <c r="Q610" s="22">
        <v>-154.53953000000001</v>
      </c>
      <c r="R610" s="22"/>
      <c r="S610" s="22">
        <v>837.5</v>
      </c>
      <c r="T610" s="22">
        <v>100</v>
      </c>
      <c r="U610" s="23">
        <v>893</v>
      </c>
      <c r="V610" s="150" t="s">
        <v>2431</v>
      </c>
      <c r="W610" s="44" t="s">
        <v>2432</v>
      </c>
      <c r="X610" s="22">
        <v>737.5</v>
      </c>
      <c r="AB610" s="60">
        <v>8368</v>
      </c>
      <c r="AC610" s="60">
        <v>161</v>
      </c>
      <c r="AD610" s="60">
        <v>520</v>
      </c>
      <c r="AE610" s="22">
        <v>2007</v>
      </c>
      <c r="AF610" s="22">
        <v>1</v>
      </c>
      <c r="AG610" s="22">
        <v>4</v>
      </c>
      <c r="AH610" s="22">
        <v>0</v>
      </c>
      <c r="AK610" s="17">
        <v>0</v>
      </c>
    </row>
    <row r="611" spans="1:37" ht="12.75" customHeight="1">
      <c r="A611" s="82" t="s">
        <v>713</v>
      </c>
      <c r="B611" s="19" t="s">
        <v>697</v>
      </c>
      <c r="C611" s="22">
        <v>61</v>
      </c>
      <c r="D611" s="19" t="s">
        <v>196</v>
      </c>
      <c r="E611" s="19">
        <v>0</v>
      </c>
      <c r="F611" s="19" t="s">
        <v>634</v>
      </c>
      <c r="G611" s="19" t="s">
        <v>692</v>
      </c>
      <c r="H611" s="19" t="s">
        <v>263</v>
      </c>
      <c r="I611" s="59" t="b">
        <v>1</v>
      </c>
      <c r="J611" s="17" t="s">
        <v>43</v>
      </c>
      <c r="K611" s="21" t="str">
        <f t="shared" si="18"/>
        <v>https://version2.ice-d.org/antarctica/sample/07-SCT-025-RGB/</v>
      </c>
      <c r="L611" s="82" t="s">
        <v>39</v>
      </c>
      <c r="M611" s="82"/>
      <c r="O611" s="17" t="s">
        <v>636</v>
      </c>
      <c r="P611" s="22">
        <v>-85.540779999999998</v>
      </c>
      <c r="Q611" s="22">
        <v>-154.63233</v>
      </c>
      <c r="R611" s="22"/>
      <c r="S611" s="22">
        <v>890.6</v>
      </c>
      <c r="T611" s="22">
        <v>100</v>
      </c>
      <c r="U611" s="23">
        <v>893</v>
      </c>
      <c r="V611" s="150" t="s">
        <v>2431</v>
      </c>
      <c r="W611" s="44" t="s">
        <v>2432</v>
      </c>
      <c r="X611" s="22">
        <v>790.6</v>
      </c>
      <c r="AB611" s="60">
        <v>11541</v>
      </c>
      <c r="AC611" s="60">
        <v>225</v>
      </c>
      <c r="AD611" s="60">
        <v>719</v>
      </c>
      <c r="AE611" s="22">
        <v>2007</v>
      </c>
      <c r="AF611" s="22">
        <v>1</v>
      </c>
      <c r="AG611" s="22">
        <v>4</v>
      </c>
      <c r="AH611" s="22">
        <v>0</v>
      </c>
      <c r="AK611" s="17">
        <v>0</v>
      </c>
    </row>
    <row r="612" spans="1:37" ht="12.75" customHeight="1">
      <c r="A612" s="82" t="s">
        <v>714</v>
      </c>
      <c r="B612" s="19" t="s">
        <v>697</v>
      </c>
      <c r="C612" s="22">
        <v>61</v>
      </c>
      <c r="D612" s="19" t="s">
        <v>196</v>
      </c>
      <c r="E612" s="19">
        <v>0</v>
      </c>
      <c r="F612" s="19" t="s">
        <v>634</v>
      </c>
      <c r="G612" s="19" t="s">
        <v>692</v>
      </c>
      <c r="H612" s="19" t="s">
        <v>263</v>
      </c>
      <c r="I612" s="59" t="b">
        <v>1</v>
      </c>
      <c r="J612" s="17" t="s">
        <v>43</v>
      </c>
      <c r="K612" s="21" t="str">
        <f t="shared" si="18"/>
        <v>https://version2.ice-d.org/antarctica/sample/07-SCT-026-RGB/</v>
      </c>
      <c r="L612" s="82" t="s">
        <v>39</v>
      </c>
      <c r="M612" s="82"/>
      <c r="O612" s="17" t="s">
        <v>636</v>
      </c>
      <c r="P612" s="22">
        <v>-85.540679999999995</v>
      </c>
      <c r="Q612" s="22">
        <v>-154.62891999999999</v>
      </c>
      <c r="R612" s="22"/>
      <c r="S612" s="22">
        <v>884.6</v>
      </c>
      <c r="T612" s="22">
        <v>100</v>
      </c>
      <c r="U612" s="23">
        <v>893</v>
      </c>
      <c r="V612" s="150" t="s">
        <v>2431</v>
      </c>
      <c r="W612" s="44" t="s">
        <v>2432</v>
      </c>
      <c r="X612" s="22">
        <v>784.6</v>
      </c>
      <c r="AB612" s="60">
        <v>10261</v>
      </c>
      <c r="AC612" s="60">
        <v>169</v>
      </c>
      <c r="AD612" s="60">
        <v>630</v>
      </c>
      <c r="AE612" s="22">
        <v>2007</v>
      </c>
      <c r="AF612" s="22">
        <v>1</v>
      </c>
      <c r="AG612" s="22">
        <v>4</v>
      </c>
      <c r="AH612" s="22">
        <v>0</v>
      </c>
      <c r="AK612" s="17">
        <v>0</v>
      </c>
    </row>
    <row r="613" spans="1:37" ht="12.75" customHeight="1">
      <c r="A613" s="82" t="s">
        <v>715</v>
      </c>
      <c r="B613" s="19" t="s">
        <v>697</v>
      </c>
      <c r="C613" s="22">
        <v>61</v>
      </c>
      <c r="D613" s="19" t="s">
        <v>196</v>
      </c>
      <c r="E613" s="19">
        <v>0</v>
      </c>
      <c r="F613" s="19" t="s">
        <v>634</v>
      </c>
      <c r="G613" s="19" t="s">
        <v>692</v>
      </c>
      <c r="H613" s="19" t="s">
        <v>263</v>
      </c>
      <c r="I613" s="59" t="b">
        <v>1</v>
      </c>
      <c r="J613" s="17" t="s">
        <v>43</v>
      </c>
      <c r="K613" s="21" t="str">
        <f t="shared" si="18"/>
        <v>https://version2.ice-d.org/antarctica/sample/07-SCT-029-RGB/</v>
      </c>
      <c r="L613" s="82" t="s">
        <v>39</v>
      </c>
      <c r="M613" s="82"/>
      <c r="O613" s="17" t="s">
        <v>636</v>
      </c>
      <c r="P613" s="22">
        <v>-85.551130000000001</v>
      </c>
      <c r="Q613" s="22">
        <v>-154.56567000000001</v>
      </c>
      <c r="R613" s="22"/>
      <c r="S613" s="22">
        <v>738.5</v>
      </c>
      <c r="T613" s="22">
        <v>100</v>
      </c>
      <c r="U613" s="23">
        <v>893</v>
      </c>
      <c r="V613" s="150" t="s">
        <v>2431</v>
      </c>
      <c r="W613" s="44" t="s">
        <v>2432</v>
      </c>
      <c r="X613" s="22">
        <v>638.5</v>
      </c>
      <c r="AB613" s="60">
        <v>7890</v>
      </c>
      <c r="AC613" s="35">
        <v>161</v>
      </c>
      <c r="AD613" s="60">
        <v>493</v>
      </c>
      <c r="AE613" s="22">
        <v>2007</v>
      </c>
      <c r="AF613" s="22">
        <v>1</v>
      </c>
      <c r="AG613" s="22">
        <v>4</v>
      </c>
      <c r="AH613" s="22">
        <v>0</v>
      </c>
      <c r="AK613" s="17">
        <v>0</v>
      </c>
    </row>
    <row r="614" spans="1:37" ht="12.75" customHeight="1">
      <c r="A614" s="82" t="s">
        <v>716</v>
      </c>
      <c r="B614" s="19" t="s">
        <v>697</v>
      </c>
      <c r="C614" s="22">
        <v>61</v>
      </c>
      <c r="D614" s="19" t="s">
        <v>196</v>
      </c>
      <c r="E614" s="19">
        <v>0</v>
      </c>
      <c r="F614" s="19" t="s">
        <v>634</v>
      </c>
      <c r="G614" s="19" t="s">
        <v>692</v>
      </c>
      <c r="H614" s="19" t="s">
        <v>263</v>
      </c>
      <c r="I614" s="59" t="b">
        <v>1</v>
      </c>
      <c r="J614" s="17" t="s">
        <v>43</v>
      </c>
      <c r="K614" s="21" t="str">
        <f t="shared" si="18"/>
        <v>https://version2.ice-d.org/antarctica/sample/07-SCT-041-RGB/</v>
      </c>
      <c r="L614" s="82" t="s">
        <v>39</v>
      </c>
      <c r="M614" s="82"/>
      <c r="O614" s="17" t="s">
        <v>636</v>
      </c>
      <c r="P614" s="22">
        <v>-85.532669999999996</v>
      </c>
      <c r="Q614" s="22">
        <v>-154.48501999999999</v>
      </c>
      <c r="S614" s="22">
        <v>735</v>
      </c>
      <c r="T614" s="22">
        <v>100</v>
      </c>
      <c r="U614" s="23">
        <v>893</v>
      </c>
      <c r="V614" s="150" t="s">
        <v>2431</v>
      </c>
      <c r="W614" s="44" t="s">
        <v>2432</v>
      </c>
      <c r="X614" s="22">
        <v>635</v>
      </c>
      <c r="AB614" s="60">
        <v>7677</v>
      </c>
      <c r="AC614" s="60">
        <v>147</v>
      </c>
      <c r="AD614" s="60">
        <v>477</v>
      </c>
      <c r="AE614" s="22">
        <v>2007</v>
      </c>
      <c r="AF614" s="22">
        <v>1</v>
      </c>
      <c r="AG614" s="22">
        <v>4</v>
      </c>
      <c r="AH614" s="22">
        <v>0</v>
      </c>
      <c r="AK614" s="17">
        <v>0</v>
      </c>
    </row>
    <row r="615" spans="1:37" ht="12.75" customHeight="1">
      <c r="A615" s="82" t="s">
        <v>717</v>
      </c>
      <c r="B615" s="19" t="s">
        <v>697</v>
      </c>
      <c r="C615" s="22">
        <v>61</v>
      </c>
      <c r="D615" s="19" t="s">
        <v>196</v>
      </c>
      <c r="E615" s="19">
        <v>0</v>
      </c>
      <c r="F615" s="19" t="s">
        <v>634</v>
      </c>
      <c r="G615" s="19" t="s">
        <v>692</v>
      </c>
      <c r="H615" s="19" t="s">
        <v>263</v>
      </c>
      <c r="I615" s="59" t="b">
        <v>1</v>
      </c>
      <c r="J615" s="17" t="s">
        <v>43</v>
      </c>
      <c r="K615" s="21" t="str">
        <f t="shared" si="18"/>
        <v>https://version2.ice-d.org/antarctica/sample/07-SCT-043-RGB/</v>
      </c>
      <c r="L615" s="82" t="s">
        <v>39</v>
      </c>
      <c r="M615" s="82"/>
      <c r="O615" s="17" t="s">
        <v>636</v>
      </c>
      <c r="P615" s="22">
        <v>-85.530370000000005</v>
      </c>
      <c r="Q615" s="22">
        <v>-154.48298</v>
      </c>
      <c r="R615" s="22"/>
      <c r="S615" s="22">
        <v>662.1</v>
      </c>
      <c r="T615" s="22">
        <v>100</v>
      </c>
      <c r="U615" s="23">
        <v>893</v>
      </c>
      <c r="V615" s="150" t="s">
        <v>2431</v>
      </c>
      <c r="W615" s="44" t="s">
        <v>2432</v>
      </c>
      <c r="X615" s="22">
        <v>562.1</v>
      </c>
      <c r="AB615" s="60">
        <v>7717</v>
      </c>
      <c r="AC615" s="60">
        <v>138</v>
      </c>
      <c r="AD615" s="60">
        <v>477</v>
      </c>
      <c r="AE615" s="22">
        <v>2007</v>
      </c>
      <c r="AF615" s="22">
        <v>1</v>
      </c>
      <c r="AG615" s="22">
        <v>4</v>
      </c>
      <c r="AH615" s="22">
        <v>0</v>
      </c>
      <c r="AK615" s="17">
        <v>0</v>
      </c>
    </row>
    <row r="616" spans="1:37" ht="12.75" customHeight="1">
      <c r="A616" s="82" t="s">
        <v>718</v>
      </c>
      <c r="B616" s="19" t="s">
        <v>697</v>
      </c>
      <c r="C616" s="22">
        <v>61</v>
      </c>
      <c r="D616" s="19" t="s">
        <v>196</v>
      </c>
      <c r="E616" s="19">
        <v>0</v>
      </c>
      <c r="F616" s="19" t="s">
        <v>634</v>
      </c>
      <c r="G616" s="19" t="s">
        <v>692</v>
      </c>
      <c r="H616" s="19" t="s">
        <v>263</v>
      </c>
      <c r="I616" s="59" t="b">
        <v>1</v>
      </c>
      <c r="J616" s="17" t="s">
        <v>43</v>
      </c>
      <c r="K616" s="21" t="str">
        <f t="shared" si="18"/>
        <v>https://version2.ice-d.org/antarctica/sample/07-SCT-046-RGB/</v>
      </c>
      <c r="L616" s="82" t="s">
        <v>39</v>
      </c>
      <c r="M616" s="82"/>
      <c r="O616" s="17" t="s">
        <v>636</v>
      </c>
      <c r="P616" s="22">
        <v>-85.531480000000002</v>
      </c>
      <c r="Q616" s="22">
        <v>-154.48623000000001</v>
      </c>
      <c r="R616" s="22"/>
      <c r="S616" s="22">
        <v>694.1</v>
      </c>
      <c r="T616" s="22">
        <v>100</v>
      </c>
      <c r="U616" s="23">
        <v>893</v>
      </c>
      <c r="V616" s="150" t="s">
        <v>2431</v>
      </c>
      <c r="W616" s="44" t="s">
        <v>2432</v>
      </c>
      <c r="X616" s="22">
        <v>594.1</v>
      </c>
      <c r="AB616" s="60">
        <v>7650</v>
      </c>
      <c r="AC616" s="60">
        <v>150</v>
      </c>
      <c r="AD616" s="60">
        <v>477</v>
      </c>
      <c r="AE616" s="22">
        <v>2007</v>
      </c>
      <c r="AF616" s="22">
        <v>1</v>
      </c>
      <c r="AG616" s="22">
        <v>4</v>
      </c>
      <c r="AH616" s="22">
        <v>0</v>
      </c>
      <c r="AK616" s="17">
        <v>0</v>
      </c>
    </row>
    <row r="617" spans="1:37" ht="15.75" customHeight="1">
      <c r="A617" s="101" t="s">
        <v>719</v>
      </c>
      <c r="B617" s="19" t="s">
        <v>720</v>
      </c>
      <c r="C617" s="17">
        <v>62</v>
      </c>
      <c r="D617" s="19" t="s">
        <v>196</v>
      </c>
      <c r="E617" s="19">
        <v>0</v>
      </c>
      <c r="F617" s="19" t="s">
        <v>721</v>
      </c>
      <c r="G617" s="19" t="s">
        <v>677</v>
      </c>
      <c r="H617" s="19" t="s">
        <v>263</v>
      </c>
      <c r="I617" s="17" t="b">
        <v>1</v>
      </c>
      <c r="J617" s="17" t="s">
        <v>43</v>
      </c>
      <c r="K617" s="21" t="str">
        <f t="shared" si="18"/>
        <v>https://version2.ice-d.org/antarctica/sample/03-RDY-007-QZH/</v>
      </c>
      <c r="L617" s="102" t="s">
        <v>39</v>
      </c>
      <c r="M617" s="156" t="s">
        <v>44</v>
      </c>
      <c r="O617" s="17" t="s">
        <v>722</v>
      </c>
      <c r="P617" s="103">
        <v>-85.901229999999998</v>
      </c>
      <c r="Q617" s="103">
        <v>-132.75317000000001</v>
      </c>
      <c r="R617" s="22"/>
      <c r="S617" s="103">
        <v>1401</v>
      </c>
      <c r="T617" s="17">
        <v>1180</v>
      </c>
      <c r="U617" s="23">
        <v>1200</v>
      </c>
      <c r="V617" s="8" t="s">
        <v>2107</v>
      </c>
      <c r="W617" s="44" t="s">
        <v>2430</v>
      </c>
      <c r="X617" s="22">
        <f t="shared" ref="X617:X723" si="19">S617-T617</f>
        <v>221</v>
      </c>
      <c r="Y617" s="22">
        <v>7</v>
      </c>
      <c r="Z617" s="22">
        <v>2.65</v>
      </c>
      <c r="AA617" s="17" t="s">
        <v>73</v>
      </c>
      <c r="AB617" s="104">
        <v>14642</v>
      </c>
      <c r="AC617" s="104">
        <v>343</v>
      </c>
      <c r="AD617" s="60">
        <v>932</v>
      </c>
      <c r="AE617" s="27">
        <v>278163</v>
      </c>
      <c r="AF617" s="27">
        <v>6493</v>
      </c>
      <c r="AG617" s="28"/>
      <c r="AH617" s="28"/>
      <c r="AI617" s="17">
        <v>2003</v>
      </c>
      <c r="AJ617" s="17">
        <v>1</v>
      </c>
      <c r="AK617" s="17">
        <v>0</v>
      </c>
    </row>
    <row r="618" spans="1:37" ht="15.75" customHeight="1">
      <c r="A618" s="105" t="s">
        <v>723</v>
      </c>
      <c r="B618" s="19" t="s">
        <v>720</v>
      </c>
      <c r="C618" s="17">
        <v>62</v>
      </c>
      <c r="D618" s="19" t="s">
        <v>196</v>
      </c>
      <c r="E618" s="19">
        <v>0</v>
      </c>
      <c r="F618" s="19" t="s">
        <v>721</v>
      </c>
      <c r="G618" s="19" t="s">
        <v>677</v>
      </c>
      <c r="H618" s="19" t="s">
        <v>263</v>
      </c>
      <c r="I618" s="17" t="b">
        <v>1</v>
      </c>
      <c r="J618" s="17" t="s">
        <v>43</v>
      </c>
      <c r="K618" s="21" t="str">
        <f t="shared" si="18"/>
        <v>https://version2.ice-d.org/antarctica/sample/03-RDY-009-QZH/</v>
      </c>
      <c r="L618" s="102" t="s">
        <v>39</v>
      </c>
      <c r="M618" s="155"/>
      <c r="O618" s="17" t="s">
        <v>722</v>
      </c>
      <c r="P618" s="103">
        <v>-85.903220000000005</v>
      </c>
      <c r="Q618" s="103">
        <v>-132.69649999999999</v>
      </c>
      <c r="R618" s="22"/>
      <c r="S618" s="103">
        <v>1363</v>
      </c>
      <c r="T618" s="17">
        <v>1180</v>
      </c>
      <c r="U618" s="23">
        <v>1200</v>
      </c>
      <c r="V618" s="23" t="s">
        <v>2107</v>
      </c>
      <c r="W618" s="44" t="s">
        <v>2430</v>
      </c>
      <c r="X618" s="22">
        <f t="shared" si="19"/>
        <v>183</v>
      </c>
      <c r="Y618" s="22">
        <v>8.5</v>
      </c>
      <c r="Z618" s="22">
        <v>2.65</v>
      </c>
      <c r="AA618" s="17" t="s">
        <v>73</v>
      </c>
      <c r="AB618" s="104">
        <v>16231</v>
      </c>
      <c r="AC618" s="104">
        <v>381</v>
      </c>
      <c r="AD618" s="60">
        <v>1034</v>
      </c>
      <c r="AE618" s="27">
        <v>292233</v>
      </c>
      <c r="AF618" s="27">
        <v>6826</v>
      </c>
      <c r="AG618" s="28"/>
      <c r="AH618" s="28"/>
      <c r="AI618" s="17">
        <v>2003</v>
      </c>
      <c r="AJ618" s="17">
        <v>1</v>
      </c>
      <c r="AK618" s="17">
        <v>0</v>
      </c>
    </row>
    <row r="619" spans="1:37" ht="16.5" customHeight="1">
      <c r="A619" s="105" t="s">
        <v>724</v>
      </c>
      <c r="B619" s="19" t="s">
        <v>720</v>
      </c>
      <c r="C619" s="17">
        <v>62</v>
      </c>
      <c r="D619" s="19" t="s">
        <v>196</v>
      </c>
      <c r="E619" s="19">
        <v>0</v>
      </c>
      <c r="F619" s="19" t="s">
        <v>721</v>
      </c>
      <c r="G619" s="19" t="s">
        <v>677</v>
      </c>
      <c r="H619" s="19" t="s">
        <v>263</v>
      </c>
      <c r="I619" s="17" t="b">
        <v>1</v>
      </c>
      <c r="J619" s="17" t="s">
        <v>43</v>
      </c>
      <c r="K619" s="21" t="str">
        <f t="shared" si="18"/>
        <v>https://version2.ice-d.org/antarctica/sample/03-RDY-019-QZH/</v>
      </c>
      <c r="L619" s="102" t="s">
        <v>39</v>
      </c>
      <c r="M619" s="155"/>
      <c r="O619" s="17" t="s">
        <v>722</v>
      </c>
      <c r="P619" s="103">
        <v>-85.903599999999997</v>
      </c>
      <c r="Q619" s="103">
        <v>-132.68272999999999</v>
      </c>
      <c r="R619" s="22"/>
      <c r="S619" s="103">
        <v>1358.6</v>
      </c>
      <c r="T619" s="17">
        <v>1180</v>
      </c>
      <c r="U619" s="23">
        <v>1200</v>
      </c>
      <c r="V619" s="23" t="s">
        <v>2107</v>
      </c>
      <c r="W619" s="44" t="s">
        <v>2430</v>
      </c>
      <c r="X619" s="22">
        <f t="shared" si="19"/>
        <v>178.59999999999991</v>
      </c>
      <c r="Y619" s="22">
        <v>8.5</v>
      </c>
      <c r="Z619" s="22">
        <v>2.65</v>
      </c>
      <c r="AA619" s="17" t="s">
        <v>73</v>
      </c>
      <c r="AB619" s="104">
        <v>17110</v>
      </c>
      <c r="AC619" s="104">
        <v>515</v>
      </c>
      <c r="AD619" s="60">
        <v>1137</v>
      </c>
      <c r="AE619" s="27">
        <v>308897</v>
      </c>
      <c r="AF619" s="27">
        <v>9262</v>
      </c>
      <c r="AG619" s="28"/>
      <c r="AH619" s="28"/>
      <c r="AI619" s="17">
        <v>2003</v>
      </c>
      <c r="AJ619" s="17">
        <v>1</v>
      </c>
      <c r="AK619" s="17">
        <v>0</v>
      </c>
    </row>
    <row r="620" spans="1:37" ht="16.5" customHeight="1">
      <c r="A620" s="105" t="s">
        <v>725</v>
      </c>
      <c r="B620" s="19" t="s">
        <v>720</v>
      </c>
      <c r="C620" s="17">
        <v>62</v>
      </c>
      <c r="D620" s="19" t="s">
        <v>196</v>
      </c>
      <c r="E620" s="19">
        <v>0</v>
      </c>
      <c r="F620" s="19" t="s">
        <v>721</v>
      </c>
      <c r="G620" s="19" t="s">
        <v>677</v>
      </c>
      <c r="H620" s="19" t="s">
        <v>263</v>
      </c>
      <c r="I620" s="17" t="b">
        <v>1</v>
      </c>
      <c r="J620" s="17" t="s">
        <v>43</v>
      </c>
      <c r="K620" s="21" t="str">
        <f t="shared" si="18"/>
        <v>https://version2.ice-d.org/antarctica/sample/03-RDY-024-QZH/</v>
      </c>
      <c r="L620" s="102" t="s">
        <v>39</v>
      </c>
      <c r="M620" s="155"/>
      <c r="O620" s="17" t="s">
        <v>722</v>
      </c>
      <c r="P620" s="103">
        <v>-85.904480000000007</v>
      </c>
      <c r="Q620" s="103">
        <v>-132.54638</v>
      </c>
      <c r="R620" s="22"/>
      <c r="S620" s="103">
        <v>1390.9</v>
      </c>
      <c r="T620" s="17">
        <v>1180</v>
      </c>
      <c r="U620" s="23">
        <v>1200</v>
      </c>
      <c r="V620" s="23" t="s">
        <v>2107</v>
      </c>
      <c r="W620" s="44" t="s">
        <v>2430</v>
      </c>
      <c r="X620" s="22">
        <f t="shared" si="19"/>
        <v>210.90000000000009</v>
      </c>
      <c r="Y620" s="22">
        <v>8</v>
      </c>
      <c r="Z620" s="22">
        <v>2.65</v>
      </c>
      <c r="AA620" s="17" t="s">
        <v>73</v>
      </c>
      <c r="AB620" s="104">
        <v>17686</v>
      </c>
      <c r="AC620" s="104">
        <v>424</v>
      </c>
      <c r="AD620" s="60">
        <v>1131</v>
      </c>
      <c r="AE620" s="27">
        <v>332307</v>
      </c>
      <c r="AF620" s="27">
        <v>7930</v>
      </c>
      <c r="AG620" s="28"/>
      <c r="AH620" s="28"/>
      <c r="AI620" s="17">
        <v>2003</v>
      </c>
      <c r="AJ620" s="17">
        <v>1</v>
      </c>
      <c r="AK620" s="17">
        <v>0</v>
      </c>
    </row>
    <row r="621" spans="1:37" ht="16.5" customHeight="1">
      <c r="A621" s="105" t="s">
        <v>726</v>
      </c>
      <c r="B621" s="19" t="s">
        <v>720</v>
      </c>
      <c r="C621" s="17">
        <v>62</v>
      </c>
      <c r="D621" s="19" t="s">
        <v>196</v>
      </c>
      <c r="E621" s="19">
        <v>0</v>
      </c>
      <c r="F621" s="19" t="s">
        <v>721</v>
      </c>
      <c r="G621" s="19" t="s">
        <v>677</v>
      </c>
      <c r="H621" s="19" t="s">
        <v>263</v>
      </c>
      <c r="I621" s="17" t="b">
        <v>1</v>
      </c>
      <c r="J621" s="17" t="s">
        <v>43</v>
      </c>
      <c r="K621" s="21" t="str">
        <f t="shared" si="18"/>
        <v>https://version2.ice-d.org/antarctica/sample/03-RDY-027-QZH/</v>
      </c>
      <c r="L621" s="102" t="s">
        <v>39</v>
      </c>
      <c r="M621" s="155"/>
      <c r="O621" s="17" t="s">
        <v>722</v>
      </c>
      <c r="P621" s="103">
        <v>-85.904529999999994</v>
      </c>
      <c r="Q621" s="103">
        <v>-132.49522999999999</v>
      </c>
      <c r="R621" s="22"/>
      <c r="S621" s="103">
        <v>1398.6</v>
      </c>
      <c r="T621" s="17">
        <v>1180</v>
      </c>
      <c r="U621" s="23">
        <v>1200</v>
      </c>
      <c r="V621" s="23" t="s">
        <v>2107</v>
      </c>
      <c r="W621" s="44" t="s">
        <v>2430</v>
      </c>
      <c r="X621" s="22">
        <f t="shared" si="19"/>
        <v>218.59999999999991</v>
      </c>
      <c r="Y621" s="22">
        <v>7.5</v>
      </c>
      <c r="Z621" s="22">
        <v>2.65</v>
      </c>
      <c r="AA621" s="17" t="s">
        <v>73</v>
      </c>
      <c r="AB621" s="104">
        <v>15947</v>
      </c>
      <c r="AC621" s="104">
        <v>370</v>
      </c>
      <c r="AD621" s="60">
        <v>1015</v>
      </c>
      <c r="AE621" s="27">
        <v>300229</v>
      </c>
      <c r="AF621" s="27">
        <v>6947</v>
      </c>
      <c r="AG621" s="28"/>
      <c r="AH621" s="28"/>
      <c r="AI621" s="17">
        <v>2003</v>
      </c>
      <c r="AJ621" s="17">
        <v>1</v>
      </c>
      <c r="AK621" s="17">
        <v>0</v>
      </c>
    </row>
    <row r="622" spans="1:37" ht="16.5" customHeight="1">
      <c r="A622" s="105" t="s">
        <v>727</v>
      </c>
      <c r="B622" s="19" t="s">
        <v>720</v>
      </c>
      <c r="C622" s="17">
        <v>62</v>
      </c>
      <c r="D622" s="19" t="s">
        <v>196</v>
      </c>
      <c r="E622" s="19">
        <v>0</v>
      </c>
      <c r="F622" s="19" t="s">
        <v>721</v>
      </c>
      <c r="G622" s="19" t="s">
        <v>677</v>
      </c>
      <c r="H622" s="19" t="s">
        <v>263</v>
      </c>
      <c r="I622" s="17" t="b">
        <v>1</v>
      </c>
      <c r="J622" s="17" t="s">
        <v>43</v>
      </c>
      <c r="K622" s="21" t="str">
        <f t="shared" si="18"/>
        <v>https://version2.ice-d.org/antarctica/sample/03-RDY-029-QZH/</v>
      </c>
      <c r="L622" s="102" t="s">
        <v>39</v>
      </c>
      <c r="M622" s="155"/>
      <c r="O622" s="17" t="s">
        <v>722</v>
      </c>
      <c r="P622" s="103">
        <v>-85.898030000000006</v>
      </c>
      <c r="Q622" s="103">
        <v>-132.61127999999999</v>
      </c>
      <c r="R622" s="22"/>
      <c r="S622" s="103">
        <v>1276.2</v>
      </c>
      <c r="T622" s="17">
        <v>1180</v>
      </c>
      <c r="U622" s="23">
        <v>1200</v>
      </c>
      <c r="V622" s="23" t="s">
        <v>2107</v>
      </c>
      <c r="W622" s="44" t="s">
        <v>2430</v>
      </c>
      <c r="X622" s="22">
        <f t="shared" si="19"/>
        <v>96.200000000000045</v>
      </c>
      <c r="Y622" s="22">
        <v>4.5</v>
      </c>
      <c r="Z622" s="22">
        <v>2.65</v>
      </c>
      <c r="AA622" s="17" t="s">
        <v>73</v>
      </c>
      <c r="AB622" s="104">
        <v>8180</v>
      </c>
      <c r="AC622" s="104">
        <v>471</v>
      </c>
      <c r="AD622" s="60">
        <v>675</v>
      </c>
      <c r="AE622" s="27">
        <v>144683</v>
      </c>
      <c r="AF622" s="27">
        <v>8308</v>
      </c>
      <c r="AG622" s="28"/>
      <c r="AH622" s="28"/>
      <c r="AI622" s="17">
        <v>2003</v>
      </c>
      <c r="AJ622" s="17">
        <v>1</v>
      </c>
      <c r="AK622" s="17">
        <v>0</v>
      </c>
    </row>
    <row r="623" spans="1:37" ht="15.75" customHeight="1">
      <c r="A623" s="105" t="s">
        <v>728</v>
      </c>
      <c r="B623" s="19" t="s">
        <v>720</v>
      </c>
      <c r="C623" s="17">
        <v>62</v>
      </c>
      <c r="D623" s="19" t="s">
        <v>196</v>
      </c>
      <c r="E623" s="19">
        <v>0</v>
      </c>
      <c r="F623" s="19" t="s">
        <v>721</v>
      </c>
      <c r="G623" s="19" t="s">
        <v>677</v>
      </c>
      <c r="H623" s="19" t="s">
        <v>263</v>
      </c>
      <c r="I623" s="17" t="b">
        <v>1</v>
      </c>
      <c r="J623" s="17" t="s">
        <v>43</v>
      </c>
      <c r="K623" s="21" t="str">
        <f t="shared" si="18"/>
        <v>https://version2.ice-d.org/antarctica/sample/03-RDY-030-QZH/</v>
      </c>
      <c r="L623" s="102" t="s">
        <v>39</v>
      </c>
      <c r="M623" s="155"/>
      <c r="O623" s="17" t="s">
        <v>722</v>
      </c>
      <c r="P623" s="103">
        <v>-85.897880000000001</v>
      </c>
      <c r="Q623" s="103">
        <v>-132.61376999999999</v>
      </c>
      <c r="R623" s="22"/>
      <c r="S623" s="103">
        <v>1279.5999999999999</v>
      </c>
      <c r="T623" s="17">
        <v>1180</v>
      </c>
      <c r="U623" s="23">
        <v>1200</v>
      </c>
      <c r="V623" s="23" t="s">
        <v>2107</v>
      </c>
      <c r="W623" s="44" t="s">
        <v>2430</v>
      </c>
      <c r="X623" s="22">
        <f t="shared" si="19"/>
        <v>99.599999999999909</v>
      </c>
      <c r="Y623" s="22">
        <v>8</v>
      </c>
      <c r="Z623" s="22">
        <v>2.65</v>
      </c>
      <c r="AA623" s="17" t="s">
        <v>73</v>
      </c>
      <c r="AB623" s="104">
        <v>12595</v>
      </c>
      <c r="AC623" s="104">
        <v>296</v>
      </c>
      <c r="AD623" s="60">
        <v>802</v>
      </c>
      <c r="AE623" s="27">
        <v>215708</v>
      </c>
      <c r="AF623" s="27">
        <v>5045</v>
      </c>
      <c r="AG623" s="28"/>
      <c r="AH623" s="28"/>
      <c r="AI623" s="17">
        <v>2003</v>
      </c>
      <c r="AJ623" s="17">
        <v>1</v>
      </c>
      <c r="AK623" s="17">
        <v>0</v>
      </c>
    </row>
    <row r="624" spans="1:37" ht="15.75" customHeight="1">
      <c r="A624" s="105" t="s">
        <v>729</v>
      </c>
      <c r="B624" s="19" t="s">
        <v>720</v>
      </c>
      <c r="C624" s="17">
        <v>62</v>
      </c>
      <c r="D624" s="19" t="s">
        <v>196</v>
      </c>
      <c r="E624" s="19">
        <v>0</v>
      </c>
      <c r="F624" s="19" t="s">
        <v>721</v>
      </c>
      <c r="G624" s="19" t="s">
        <v>677</v>
      </c>
      <c r="H624" s="19" t="s">
        <v>263</v>
      </c>
      <c r="I624" s="17" t="b">
        <v>1</v>
      </c>
      <c r="J624" s="17" t="s">
        <v>43</v>
      </c>
      <c r="K624" s="21" t="str">
        <f t="shared" si="18"/>
        <v>https://version2.ice-d.org/antarctica/sample/03-RDY-032-QZH/</v>
      </c>
      <c r="L624" s="102" t="s">
        <v>39</v>
      </c>
      <c r="M624" s="155"/>
      <c r="O624" s="17" t="s">
        <v>722</v>
      </c>
      <c r="P624" s="103">
        <v>-85.897580000000005</v>
      </c>
      <c r="Q624" s="103">
        <v>-132.61042</v>
      </c>
      <c r="R624" s="22"/>
      <c r="S624" s="103">
        <v>1280</v>
      </c>
      <c r="T624" s="17">
        <v>1180</v>
      </c>
      <c r="U624" s="23">
        <v>1200</v>
      </c>
      <c r="V624" s="23" t="s">
        <v>2107</v>
      </c>
      <c r="W624" s="44" t="s">
        <v>2430</v>
      </c>
      <c r="X624" s="22">
        <f t="shared" si="19"/>
        <v>100</v>
      </c>
      <c r="Y624" s="22">
        <v>8</v>
      </c>
      <c r="Z624" s="22">
        <v>2.65</v>
      </c>
      <c r="AA624" s="17" t="s">
        <v>73</v>
      </c>
      <c r="AB624" s="104">
        <v>15518</v>
      </c>
      <c r="AC624" s="104">
        <v>364</v>
      </c>
      <c r="AD624" s="60">
        <v>989</v>
      </c>
      <c r="AE624" s="27">
        <v>265374</v>
      </c>
      <c r="AF624" s="27">
        <v>6206</v>
      </c>
      <c r="AG624" s="28"/>
      <c r="AH624" s="28"/>
      <c r="AI624" s="17">
        <v>2003</v>
      </c>
      <c r="AJ624" s="17">
        <v>1</v>
      </c>
      <c r="AK624" s="17">
        <v>0</v>
      </c>
    </row>
    <row r="625" spans="1:38" ht="15.75" customHeight="1">
      <c r="A625" s="105" t="s">
        <v>730</v>
      </c>
      <c r="B625" s="19" t="s">
        <v>720</v>
      </c>
      <c r="C625" s="17">
        <v>62</v>
      </c>
      <c r="D625" s="19" t="s">
        <v>196</v>
      </c>
      <c r="E625" s="19">
        <v>0</v>
      </c>
      <c r="F625" s="19" t="s">
        <v>721</v>
      </c>
      <c r="G625" s="19" t="s">
        <v>677</v>
      </c>
      <c r="H625" s="19" t="s">
        <v>263</v>
      </c>
      <c r="I625" s="17" t="b">
        <v>1</v>
      </c>
      <c r="J625" s="17" t="s">
        <v>43</v>
      </c>
      <c r="K625" s="21" t="str">
        <f t="shared" si="18"/>
        <v>https://version2.ice-d.org/antarctica/sample/03-RDY-033-QZH/</v>
      </c>
      <c r="L625" s="102" t="s">
        <v>39</v>
      </c>
      <c r="M625" s="155"/>
      <c r="O625" s="17" t="s">
        <v>722</v>
      </c>
      <c r="P625" s="103">
        <v>-85.897329999999997</v>
      </c>
      <c r="Q625" s="103">
        <v>-132.6053</v>
      </c>
      <c r="R625" s="22"/>
      <c r="S625" s="103">
        <v>1290.4000000000001</v>
      </c>
      <c r="T625" s="17">
        <v>1180</v>
      </c>
      <c r="U625" s="23">
        <v>1200</v>
      </c>
      <c r="V625" s="23" t="s">
        <v>2107</v>
      </c>
      <c r="W625" s="44" t="s">
        <v>2430</v>
      </c>
      <c r="X625" s="22">
        <f t="shared" si="19"/>
        <v>110.40000000000009</v>
      </c>
      <c r="Y625" s="22">
        <v>3</v>
      </c>
      <c r="Z625" s="22">
        <v>2.65</v>
      </c>
      <c r="AA625" s="17" t="s">
        <v>73</v>
      </c>
      <c r="AB625" s="104">
        <v>9883</v>
      </c>
      <c r="AC625" s="104">
        <v>232</v>
      </c>
      <c r="AD625" s="60">
        <v>629</v>
      </c>
      <c r="AE625" s="27">
        <v>178644</v>
      </c>
      <c r="AF625" s="27">
        <v>4183</v>
      </c>
      <c r="AG625" s="28"/>
      <c r="AH625" s="28"/>
      <c r="AI625" s="17">
        <v>2003</v>
      </c>
      <c r="AJ625" s="17">
        <v>1</v>
      </c>
      <c r="AK625" s="17">
        <v>0</v>
      </c>
    </row>
    <row r="626" spans="1:38" ht="16.5" customHeight="1">
      <c r="A626" s="105" t="s">
        <v>731</v>
      </c>
      <c r="B626" s="19" t="s">
        <v>720</v>
      </c>
      <c r="C626" s="17">
        <v>62</v>
      </c>
      <c r="D626" s="19" t="s">
        <v>196</v>
      </c>
      <c r="E626" s="19">
        <v>0</v>
      </c>
      <c r="F626" s="19" t="s">
        <v>721</v>
      </c>
      <c r="G626" s="19" t="s">
        <v>677</v>
      </c>
      <c r="H626" s="19" t="s">
        <v>263</v>
      </c>
      <c r="I626" s="17" t="b">
        <v>1</v>
      </c>
      <c r="J626" s="17" t="s">
        <v>43</v>
      </c>
      <c r="K626" s="21" t="str">
        <f t="shared" si="18"/>
        <v>https://version2.ice-d.org/antarctica/sample/03-RDY-037-QZH/</v>
      </c>
      <c r="L626" s="102" t="s">
        <v>39</v>
      </c>
      <c r="M626" s="155"/>
      <c r="O626" s="17" t="s">
        <v>722</v>
      </c>
      <c r="P626" s="103">
        <v>-85.897530000000003</v>
      </c>
      <c r="Q626" s="103">
        <v>-132.60825</v>
      </c>
      <c r="R626" s="22"/>
      <c r="S626" s="103">
        <v>1282</v>
      </c>
      <c r="T626" s="17">
        <v>1180</v>
      </c>
      <c r="U626" s="23">
        <v>1200</v>
      </c>
      <c r="V626" s="23" t="s">
        <v>2107</v>
      </c>
      <c r="W626" s="44" t="s">
        <v>2430</v>
      </c>
      <c r="X626" s="22">
        <f t="shared" si="19"/>
        <v>102</v>
      </c>
      <c r="Y626" s="22">
        <v>5</v>
      </c>
      <c r="Z626" s="22">
        <v>2.65</v>
      </c>
      <c r="AA626" s="17" t="s">
        <v>73</v>
      </c>
      <c r="AB626" s="104">
        <v>7808</v>
      </c>
      <c r="AC626" s="104">
        <v>191</v>
      </c>
      <c r="AD626" s="60">
        <v>500</v>
      </c>
      <c r="AE626" s="27">
        <v>138300</v>
      </c>
      <c r="AF626" s="27">
        <v>3378</v>
      </c>
      <c r="AG626" s="28"/>
      <c r="AH626" s="28"/>
      <c r="AI626" s="17">
        <v>2003</v>
      </c>
      <c r="AJ626" s="17">
        <v>1</v>
      </c>
      <c r="AK626" s="17">
        <v>0</v>
      </c>
    </row>
    <row r="627" spans="1:38" ht="16.5" customHeight="1">
      <c r="A627" s="105" t="s">
        <v>732</v>
      </c>
      <c r="B627" s="19" t="s">
        <v>720</v>
      </c>
      <c r="C627" s="17">
        <v>62</v>
      </c>
      <c r="D627" s="19" t="s">
        <v>196</v>
      </c>
      <c r="E627" s="19">
        <v>0</v>
      </c>
      <c r="F627" s="19" t="s">
        <v>721</v>
      </c>
      <c r="G627" s="19" t="s">
        <v>677</v>
      </c>
      <c r="H627" s="19" t="s">
        <v>263</v>
      </c>
      <c r="I627" s="17" t="b">
        <v>1</v>
      </c>
      <c r="J627" s="17" t="s">
        <v>43</v>
      </c>
      <c r="K627" s="21" t="str">
        <f t="shared" si="18"/>
        <v>https://version2.ice-d.org/antarctica/sample/03-RDY-038-QZH/</v>
      </c>
      <c r="L627" s="102" t="s">
        <v>39</v>
      </c>
      <c r="M627" s="155"/>
      <c r="O627" s="17" t="s">
        <v>722</v>
      </c>
      <c r="P627" s="103">
        <v>-85.896900000000002</v>
      </c>
      <c r="Q627" s="103">
        <v>-132.62010000000001</v>
      </c>
      <c r="R627" s="22"/>
      <c r="S627" s="103">
        <v>1272.2</v>
      </c>
      <c r="T627" s="17">
        <v>1180</v>
      </c>
      <c r="U627" s="23">
        <v>1200</v>
      </c>
      <c r="V627" s="23" t="s">
        <v>2107</v>
      </c>
      <c r="W627" s="44" t="s">
        <v>2430</v>
      </c>
      <c r="X627" s="22">
        <f t="shared" si="19"/>
        <v>92.200000000000045</v>
      </c>
      <c r="Y627" s="22">
        <v>6.5</v>
      </c>
      <c r="Z627" s="22">
        <v>2.65</v>
      </c>
      <c r="AA627" s="17" t="s">
        <v>73</v>
      </c>
      <c r="AB627" s="104">
        <v>7206</v>
      </c>
      <c r="AC627" s="104">
        <v>421</v>
      </c>
      <c r="AD627" s="60">
        <v>599</v>
      </c>
      <c r="AE627" s="27">
        <v>124383</v>
      </c>
      <c r="AF627" s="27">
        <v>7248</v>
      </c>
      <c r="AG627" s="28"/>
      <c r="AH627" s="28"/>
      <c r="AI627" s="17">
        <v>2003</v>
      </c>
      <c r="AJ627" s="17">
        <v>1</v>
      </c>
      <c r="AK627" s="17">
        <v>0</v>
      </c>
    </row>
    <row r="628" spans="1:38" ht="16.5" customHeight="1">
      <c r="A628" s="105" t="s">
        <v>733</v>
      </c>
      <c r="B628" s="19" t="s">
        <v>720</v>
      </c>
      <c r="C628" s="17">
        <v>62</v>
      </c>
      <c r="D628" s="19" t="s">
        <v>196</v>
      </c>
      <c r="E628" s="19">
        <v>0</v>
      </c>
      <c r="F628" s="19" t="s">
        <v>721</v>
      </c>
      <c r="G628" s="19" t="s">
        <v>677</v>
      </c>
      <c r="H628" s="19" t="s">
        <v>263</v>
      </c>
      <c r="I628" s="17" t="b">
        <v>1</v>
      </c>
      <c r="J628" s="17" t="s">
        <v>43</v>
      </c>
      <c r="K628" s="21" t="str">
        <f t="shared" si="18"/>
        <v>https://version2.ice-d.org/antarctica/sample/03-RDY-042-QZH/</v>
      </c>
      <c r="L628" s="102" t="s">
        <v>39</v>
      </c>
      <c r="M628" s="155"/>
      <c r="O628" s="17" t="s">
        <v>722</v>
      </c>
      <c r="P628" s="103">
        <v>-85.896270000000001</v>
      </c>
      <c r="Q628" s="103">
        <v>-132.63006999999999</v>
      </c>
      <c r="R628" s="22"/>
      <c r="S628" s="103">
        <v>1246.0999999999999</v>
      </c>
      <c r="T628" s="17">
        <v>1180</v>
      </c>
      <c r="U628" s="23">
        <v>1200</v>
      </c>
      <c r="V628" s="23" t="s">
        <v>2107</v>
      </c>
      <c r="W628" s="44" t="s">
        <v>2430</v>
      </c>
      <c r="X628" s="22">
        <f t="shared" si="19"/>
        <v>66.099999999999909</v>
      </c>
      <c r="Y628" s="22">
        <v>5.5</v>
      </c>
      <c r="Z628" s="22">
        <v>2.65</v>
      </c>
      <c r="AA628" s="17" t="s">
        <v>73</v>
      </c>
      <c r="AB628" s="104">
        <v>9205</v>
      </c>
      <c r="AC628" s="104">
        <v>684</v>
      </c>
      <c r="AD628" s="60">
        <v>874</v>
      </c>
      <c r="AE628" s="27">
        <v>157135</v>
      </c>
      <c r="AF628" s="27">
        <v>11642</v>
      </c>
      <c r="AG628" s="28"/>
      <c r="AH628" s="28"/>
      <c r="AI628" s="17">
        <v>2003</v>
      </c>
      <c r="AJ628" s="17">
        <v>1</v>
      </c>
      <c r="AK628" s="17">
        <v>0</v>
      </c>
    </row>
    <row r="629" spans="1:38" ht="16.5" customHeight="1">
      <c r="A629" s="105" t="s">
        <v>734</v>
      </c>
      <c r="B629" s="19" t="s">
        <v>720</v>
      </c>
      <c r="C629" s="17">
        <v>62</v>
      </c>
      <c r="D629" s="19" t="s">
        <v>196</v>
      </c>
      <c r="E629" s="19">
        <v>0</v>
      </c>
      <c r="F629" s="19" t="s">
        <v>721</v>
      </c>
      <c r="G629" s="19" t="s">
        <v>677</v>
      </c>
      <c r="H629" s="19" t="s">
        <v>263</v>
      </c>
      <c r="I629" s="17" t="b">
        <v>1</v>
      </c>
      <c r="J629" s="17" t="s">
        <v>43</v>
      </c>
      <c r="K629" s="21" t="str">
        <f t="shared" si="18"/>
        <v>https://version2.ice-d.org/antarctica/sample/03-RDY-043-QZH/</v>
      </c>
      <c r="L629" s="102" t="s">
        <v>39</v>
      </c>
      <c r="M629" s="155"/>
      <c r="O629" s="17" t="s">
        <v>722</v>
      </c>
      <c r="P629" s="103">
        <v>-85.896270000000001</v>
      </c>
      <c r="Q629" s="103">
        <v>-132.63006999999999</v>
      </c>
      <c r="R629" s="22"/>
      <c r="S629" s="103">
        <v>1246.0999999999999</v>
      </c>
      <c r="T629" s="17">
        <v>1180</v>
      </c>
      <c r="U629" s="23">
        <v>1200</v>
      </c>
      <c r="V629" s="23" t="s">
        <v>2107</v>
      </c>
      <c r="W629" s="44" t="s">
        <v>2430</v>
      </c>
      <c r="X629" s="22">
        <f t="shared" si="19"/>
        <v>66.099999999999909</v>
      </c>
      <c r="Y629" s="22">
        <v>6</v>
      </c>
      <c r="Z629" s="22">
        <v>2.65</v>
      </c>
      <c r="AA629" s="17" t="s">
        <v>73</v>
      </c>
      <c r="AB629" s="104">
        <v>10591</v>
      </c>
      <c r="AC629" s="104">
        <v>563</v>
      </c>
      <c r="AD629" s="60">
        <v>842</v>
      </c>
      <c r="AE629" s="27">
        <v>179796</v>
      </c>
      <c r="AF629" s="27">
        <v>9530</v>
      </c>
      <c r="AG629" s="28"/>
      <c r="AH629" s="28"/>
      <c r="AI629" s="17">
        <v>2003</v>
      </c>
      <c r="AJ629" s="17">
        <v>1</v>
      </c>
      <c r="AK629" s="17">
        <v>0</v>
      </c>
    </row>
    <row r="630" spans="1:38" ht="16.5" customHeight="1">
      <c r="A630" s="105" t="s">
        <v>735</v>
      </c>
      <c r="B630" s="19" t="s">
        <v>720</v>
      </c>
      <c r="C630" s="17">
        <v>62</v>
      </c>
      <c r="D630" s="19" t="s">
        <v>196</v>
      </c>
      <c r="E630" s="19">
        <v>0</v>
      </c>
      <c r="F630" s="19" t="s">
        <v>721</v>
      </c>
      <c r="G630" s="19" t="s">
        <v>677</v>
      </c>
      <c r="H630" s="19" t="s">
        <v>263</v>
      </c>
      <c r="I630" s="17" t="b">
        <v>1</v>
      </c>
      <c r="J630" s="17" t="s">
        <v>43</v>
      </c>
      <c r="K630" s="21" t="str">
        <f t="shared" si="18"/>
        <v>https://version2.ice-d.org/antarctica/sample/03-RDY-045-QZH/</v>
      </c>
      <c r="L630" s="102" t="s">
        <v>39</v>
      </c>
      <c r="M630" s="155"/>
      <c r="O630" s="17" t="s">
        <v>722</v>
      </c>
      <c r="P630" s="103">
        <v>-85.898380000000003</v>
      </c>
      <c r="Q630" s="103">
        <v>-132.59863000000001</v>
      </c>
      <c r="R630" s="22"/>
      <c r="S630" s="103">
        <v>1296</v>
      </c>
      <c r="T630" s="17">
        <v>1180</v>
      </c>
      <c r="U630" s="23">
        <v>1200</v>
      </c>
      <c r="V630" s="23" t="s">
        <v>2107</v>
      </c>
      <c r="W630" s="44" t="s">
        <v>2430</v>
      </c>
      <c r="X630" s="22">
        <f t="shared" si="19"/>
        <v>116</v>
      </c>
      <c r="Y630" s="22">
        <v>5</v>
      </c>
      <c r="Z630" s="22">
        <v>2.65</v>
      </c>
      <c r="AA630" s="17" t="s">
        <v>73</v>
      </c>
      <c r="AB630" s="104">
        <v>10351</v>
      </c>
      <c r="AC630" s="104">
        <v>243</v>
      </c>
      <c r="AD630" s="60">
        <v>659</v>
      </c>
      <c r="AE630" s="27">
        <v>184941</v>
      </c>
      <c r="AF630" s="27">
        <v>4330</v>
      </c>
      <c r="AG630" s="28"/>
      <c r="AH630" s="28"/>
      <c r="AI630" s="17">
        <v>2003</v>
      </c>
      <c r="AJ630" s="17">
        <v>1</v>
      </c>
      <c r="AK630" s="17">
        <v>0</v>
      </c>
    </row>
    <row r="631" spans="1:38" ht="16.5" customHeight="1">
      <c r="A631" s="105" t="s">
        <v>736</v>
      </c>
      <c r="B631" s="19" t="s">
        <v>720</v>
      </c>
      <c r="C631" s="17">
        <v>62</v>
      </c>
      <c r="D631" s="19" t="s">
        <v>196</v>
      </c>
      <c r="E631" s="19">
        <v>0</v>
      </c>
      <c r="F631" s="19" t="s">
        <v>721</v>
      </c>
      <c r="G631" s="19" t="s">
        <v>677</v>
      </c>
      <c r="H631" s="19" t="s">
        <v>263</v>
      </c>
      <c r="I631" s="17" t="b">
        <v>1</v>
      </c>
      <c r="J631" s="17" t="s">
        <v>43</v>
      </c>
      <c r="K631" s="21" t="str">
        <f t="shared" si="18"/>
        <v>https://version2.ice-d.org/antarctica/sample/03-RDY-046-QZH/</v>
      </c>
      <c r="L631" s="102" t="s">
        <v>39</v>
      </c>
      <c r="M631" s="155"/>
      <c r="O631" s="17" t="s">
        <v>722</v>
      </c>
      <c r="P631" s="103">
        <v>-85.898380000000003</v>
      </c>
      <c r="Q631" s="103">
        <v>-132.59863000000001</v>
      </c>
      <c r="R631" s="22"/>
      <c r="S631" s="103">
        <v>1296</v>
      </c>
      <c r="T631" s="17">
        <v>1180</v>
      </c>
      <c r="U631" s="23">
        <v>1200</v>
      </c>
      <c r="V631" s="23" t="s">
        <v>2107</v>
      </c>
      <c r="W631" s="44" t="s">
        <v>2430</v>
      </c>
      <c r="X631" s="22">
        <f t="shared" si="19"/>
        <v>116</v>
      </c>
      <c r="Y631" s="22">
        <v>6</v>
      </c>
      <c r="Z631" s="22">
        <v>2.65</v>
      </c>
      <c r="AA631" s="17" t="s">
        <v>73</v>
      </c>
      <c r="AB631" s="104">
        <v>14949</v>
      </c>
      <c r="AC631" s="104">
        <v>287</v>
      </c>
      <c r="AD631" s="60">
        <v>931</v>
      </c>
      <c r="AE631" s="27">
        <v>263652</v>
      </c>
      <c r="AF631" s="27">
        <v>5040</v>
      </c>
      <c r="AG631" s="28"/>
      <c r="AH631" s="28"/>
      <c r="AI631" s="17">
        <v>2003</v>
      </c>
      <c r="AJ631" s="17">
        <v>1</v>
      </c>
      <c r="AK631" s="17">
        <v>0</v>
      </c>
    </row>
    <row r="632" spans="1:38" ht="16.5" customHeight="1">
      <c r="A632" s="105" t="s">
        <v>737</v>
      </c>
      <c r="B632" s="19" t="s">
        <v>720</v>
      </c>
      <c r="C632" s="17">
        <v>62</v>
      </c>
      <c r="D632" s="19" t="s">
        <v>196</v>
      </c>
      <c r="E632" s="19">
        <v>0</v>
      </c>
      <c r="F632" s="19" t="s">
        <v>721</v>
      </c>
      <c r="G632" s="19" t="s">
        <v>677</v>
      </c>
      <c r="H632" s="19" t="s">
        <v>263</v>
      </c>
      <c r="I632" s="17" t="b">
        <v>1</v>
      </c>
      <c r="J632" s="17" t="s">
        <v>43</v>
      </c>
      <c r="K632" s="21" t="str">
        <f t="shared" si="18"/>
        <v>https://version2.ice-d.org/antarctica/sample/03-RDY-048-QZH/</v>
      </c>
      <c r="L632" s="102" t="s">
        <v>39</v>
      </c>
      <c r="M632" s="155"/>
      <c r="O632" s="17" t="s">
        <v>722</v>
      </c>
      <c r="P632" s="103">
        <v>-85.898319999999998</v>
      </c>
      <c r="Q632" s="103">
        <v>-132.59721999999999</v>
      </c>
      <c r="R632" s="22"/>
      <c r="S632" s="103">
        <v>1302.4000000000001</v>
      </c>
      <c r="T632" s="17">
        <v>1180</v>
      </c>
      <c r="U632" s="23">
        <v>1200</v>
      </c>
      <c r="V632" s="23" t="s">
        <v>2107</v>
      </c>
      <c r="W632" s="44" t="s">
        <v>2430</v>
      </c>
      <c r="X632" s="22">
        <f t="shared" si="19"/>
        <v>122.40000000000009</v>
      </c>
      <c r="Y632" s="22">
        <v>3</v>
      </c>
      <c r="Z632" s="22">
        <v>2.65</v>
      </c>
      <c r="AA632" s="17" t="s">
        <v>73</v>
      </c>
      <c r="AB632" s="104">
        <v>8366</v>
      </c>
      <c r="AC632" s="104">
        <v>196</v>
      </c>
      <c r="AD632" s="60">
        <v>532</v>
      </c>
      <c r="AE632" s="27">
        <v>153516</v>
      </c>
      <c r="AF632" s="27">
        <v>3597</v>
      </c>
      <c r="AG632" s="28"/>
      <c r="AH632" s="28"/>
      <c r="AI632" s="17">
        <v>2003</v>
      </c>
      <c r="AJ632" s="17">
        <v>1</v>
      </c>
      <c r="AK632" s="17">
        <v>0</v>
      </c>
    </row>
    <row r="633" spans="1:38" ht="16.5" customHeight="1">
      <c r="A633" s="105" t="s">
        <v>738</v>
      </c>
      <c r="B633" s="19" t="s">
        <v>720</v>
      </c>
      <c r="C633" s="17">
        <v>62</v>
      </c>
      <c r="D633" s="19" t="s">
        <v>196</v>
      </c>
      <c r="E633" s="19">
        <v>0</v>
      </c>
      <c r="F633" s="19" t="s">
        <v>721</v>
      </c>
      <c r="G633" s="19" t="s">
        <v>677</v>
      </c>
      <c r="H633" s="19" t="s">
        <v>263</v>
      </c>
      <c r="I633" s="17" t="b">
        <v>1</v>
      </c>
      <c r="J633" s="17" t="s">
        <v>43</v>
      </c>
      <c r="K633" s="21" t="str">
        <f t="shared" si="18"/>
        <v>https://version2.ice-d.org/antarctica/sample/03-RDY-052-QZH/</v>
      </c>
      <c r="L633" s="102" t="s">
        <v>39</v>
      </c>
      <c r="M633" s="155"/>
      <c r="O633" s="17" t="s">
        <v>722</v>
      </c>
      <c r="P633" s="103">
        <v>-85.898669999999996</v>
      </c>
      <c r="Q633" s="103">
        <v>-132.5891</v>
      </c>
      <c r="R633" s="22"/>
      <c r="S633" s="103">
        <v>1293</v>
      </c>
      <c r="T633" s="17">
        <v>1180</v>
      </c>
      <c r="U633" s="23">
        <v>1200</v>
      </c>
      <c r="V633" s="23" t="s">
        <v>2107</v>
      </c>
      <c r="W633" s="44" t="s">
        <v>2430</v>
      </c>
      <c r="X633" s="22">
        <f t="shared" si="19"/>
        <v>113</v>
      </c>
      <c r="Y633" s="22">
        <v>7</v>
      </c>
      <c r="Z633" s="22">
        <v>2.65</v>
      </c>
      <c r="AA633" s="17" t="s">
        <v>73</v>
      </c>
      <c r="AB633" s="104">
        <v>10420</v>
      </c>
      <c r="AC633" s="104">
        <v>368</v>
      </c>
      <c r="AD633" s="60">
        <v>718</v>
      </c>
      <c r="AE633" s="27">
        <v>191054</v>
      </c>
      <c r="AF633" s="27">
        <v>5408</v>
      </c>
      <c r="AG633" s="28"/>
      <c r="AH633" s="28"/>
      <c r="AI633" s="17">
        <v>2003</v>
      </c>
      <c r="AJ633" s="17">
        <v>1</v>
      </c>
      <c r="AK633" s="17">
        <v>0</v>
      </c>
    </row>
    <row r="634" spans="1:38" ht="16.5" customHeight="1">
      <c r="A634" s="105" t="s">
        <v>738</v>
      </c>
      <c r="B634" s="19" t="s">
        <v>720</v>
      </c>
      <c r="C634" s="17">
        <v>62</v>
      </c>
      <c r="D634" s="19" t="s">
        <v>196</v>
      </c>
      <c r="E634" s="19">
        <v>0</v>
      </c>
      <c r="F634" s="19" t="s">
        <v>721</v>
      </c>
      <c r="G634" s="19" t="s">
        <v>677</v>
      </c>
      <c r="H634" s="19" t="s">
        <v>263</v>
      </c>
      <c r="I634" s="17" t="b">
        <v>1</v>
      </c>
      <c r="J634" s="17" t="s">
        <v>43</v>
      </c>
      <c r="K634" s="21" t="str">
        <f t="shared" si="18"/>
        <v>https://version2.ice-d.org/antarctica/sample/03-RDY-052-QZH/</v>
      </c>
      <c r="L634" s="102" t="s">
        <v>39</v>
      </c>
      <c r="M634" s="155"/>
      <c r="O634" s="17" t="s">
        <v>722</v>
      </c>
      <c r="P634" s="103">
        <v>-85.898669999999996</v>
      </c>
      <c r="Q634" s="103">
        <v>-132.5891</v>
      </c>
      <c r="R634" s="22"/>
      <c r="S634" s="103">
        <v>1293</v>
      </c>
      <c r="T634" s="17">
        <v>1180</v>
      </c>
      <c r="U634" s="23">
        <v>1200</v>
      </c>
      <c r="V634" s="23" t="s">
        <v>2107</v>
      </c>
      <c r="W634" s="44" t="s">
        <v>2430</v>
      </c>
      <c r="X634" s="22">
        <f t="shared" si="19"/>
        <v>113</v>
      </c>
      <c r="Y634" s="22">
        <v>7</v>
      </c>
      <c r="Z634" s="22">
        <v>2.65</v>
      </c>
      <c r="AA634" s="17" t="s">
        <v>73</v>
      </c>
      <c r="AB634" s="104">
        <v>10921</v>
      </c>
      <c r="AC634" s="104">
        <v>310</v>
      </c>
      <c r="AD634" s="60">
        <v>717</v>
      </c>
      <c r="AE634" s="27">
        <v>191054</v>
      </c>
      <c r="AF634" s="27">
        <v>5408</v>
      </c>
      <c r="AG634" s="28"/>
      <c r="AH634" s="28"/>
      <c r="AI634" s="17">
        <v>2003</v>
      </c>
      <c r="AJ634" s="17">
        <v>1</v>
      </c>
      <c r="AK634" s="17">
        <v>0</v>
      </c>
    </row>
    <row r="635" spans="1:38" ht="16.5" customHeight="1">
      <c r="A635" s="105" t="s">
        <v>739</v>
      </c>
      <c r="B635" s="19" t="s">
        <v>720</v>
      </c>
      <c r="C635" s="17">
        <v>62</v>
      </c>
      <c r="D635" s="19" t="s">
        <v>196</v>
      </c>
      <c r="E635" s="19">
        <v>0</v>
      </c>
      <c r="F635" s="19" t="s">
        <v>721</v>
      </c>
      <c r="G635" s="19" t="s">
        <v>677</v>
      </c>
      <c r="H635" s="19" t="s">
        <v>263</v>
      </c>
      <c r="I635" s="17" t="b">
        <v>1</v>
      </c>
      <c r="J635" s="17" t="s">
        <v>43</v>
      </c>
      <c r="K635" s="21" t="str">
        <f t="shared" si="18"/>
        <v>https://version2.ice-d.org/antarctica/sample/03-RDY-055-QZH/</v>
      </c>
      <c r="L635" s="102" t="s">
        <v>39</v>
      </c>
      <c r="M635" s="155"/>
      <c r="O635" s="17" t="s">
        <v>722</v>
      </c>
      <c r="P635" s="103">
        <v>-85.899349999999998</v>
      </c>
      <c r="Q635" s="103">
        <v>-132.58709999999999</v>
      </c>
      <c r="R635" s="22"/>
      <c r="S635" s="103">
        <v>1309.0999999999999</v>
      </c>
      <c r="T635" s="17">
        <v>1180</v>
      </c>
      <c r="U635" s="23">
        <v>1200</v>
      </c>
      <c r="V635" s="23" t="s">
        <v>2107</v>
      </c>
      <c r="W635" s="44" t="s">
        <v>2430</v>
      </c>
      <c r="X635" s="22">
        <f t="shared" si="19"/>
        <v>129.09999999999991</v>
      </c>
      <c r="Y635" s="22">
        <v>9.5</v>
      </c>
      <c r="Z635" s="22">
        <v>2.65</v>
      </c>
      <c r="AA635" s="17" t="s">
        <v>73</v>
      </c>
      <c r="AB635" s="104">
        <v>14100</v>
      </c>
      <c r="AC635" s="104">
        <v>326</v>
      </c>
      <c r="AD635" s="60">
        <v>896</v>
      </c>
      <c r="AE635" s="27">
        <v>244760</v>
      </c>
      <c r="AF635" s="27">
        <v>5646</v>
      </c>
      <c r="AG635" s="28"/>
      <c r="AH635" s="28"/>
      <c r="AI635" s="17">
        <v>2003</v>
      </c>
      <c r="AJ635" s="17">
        <v>1</v>
      </c>
      <c r="AK635" s="17">
        <v>0</v>
      </c>
    </row>
    <row r="636" spans="1:38" ht="16.5" customHeight="1">
      <c r="A636" s="105" t="s">
        <v>740</v>
      </c>
      <c r="B636" s="19" t="s">
        <v>720</v>
      </c>
      <c r="C636" s="17">
        <v>62</v>
      </c>
      <c r="D636" s="19" t="s">
        <v>196</v>
      </c>
      <c r="E636" s="19">
        <v>0</v>
      </c>
      <c r="F636" s="19" t="s">
        <v>721</v>
      </c>
      <c r="G636" s="19" t="s">
        <v>677</v>
      </c>
      <c r="H636" s="19" t="s">
        <v>263</v>
      </c>
      <c r="I636" s="17" t="b">
        <v>1</v>
      </c>
      <c r="J636" s="17" t="s">
        <v>43</v>
      </c>
      <c r="K636" s="21" t="str">
        <f t="shared" si="18"/>
        <v>https://version2.ice-d.org/antarctica/sample/03-RDY-056-QZH/</v>
      </c>
      <c r="L636" s="102" t="s">
        <v>39</v>
      </c>
      <c r="M636" s="155"/>
      <c r="O636" s="17" t="s">
        <v>722</v>
      </c>
      <c r="P636" s="103">
        <v>-85.899550000000005</v>
      </c>
      <c r="Q636" s="103">
        <v>-132.57831999999999</v>
      </c>
      <c r="R636" s="22"/>
      <c r="S636" s="103">
        <v>1309.5999999999999</v>
      </c>
      <c r="T636" s="17">
        <v>1180</v>
      </c>
      <c r="U636" s="23">
        <v>1200</v>
      </c>
      <c r="V636" s="23" t="s">
        <v>2107</v>
      </c>
      <c r="W636" s="44" t="s">
        <v>2430</v>
      </c>
      <c r="X636" s="22">
        <f t="shared" si="19"/>
        <v>129.59999999999991</v>
      </c>
      <c r="Y636" s="22">
        <v>6.5</v>
      </c>
      <c r="Z636" s="22">
        <v>2.65</v>
      </c>
      <c r="AA636" s="17" t="s">
        <v>73</v>
      </c>
      <c r="AB636" s="104">
        <v>13687</v>
      </c>
      <c r="AC636" s="104">
        <v>438</v>
      </c>
      <c r="AD636" s="60">
        <v>921</v>
      </c>
      <c r="AE636" s="27">
        <v>243553</v>
      </c>
      <c r="AF636" s="27">
        <v>7762</v>
      </c>
      <c r="AG636" s="28"/>
      <c r="AH636" s="28"/>
      <c r="AI636" s="17">
        <v>2003</v>
      </c>
      <c r="AJ636" s="17">
        <v>1</v>
      </c>
      <c r="AK636" s="17">
        <v>0</v>
      </c>
    </row>
    <row r="637" spans="1:38" ht="16.5" customHeight="1">
      <c r="A637" s="105" t="s">
        <v>741</v>
      </c>
      <c r="B637" s="19" t="s">
        <v>720</v>
      </c>
      <c r="C637" s="17">
        <v>62</v>
      </c>
      <c r="D637" s="19" t="s">
        <v>196</v>
      </c>
      <c r="E637" s="19">
        <v>0</v>
      </c>
      <c r="F637" s="19" t="s">
        <v>721</v>
      </c>
      <c r="G637" s="19" t="s">
        <v>677</v>
      </c>
      <c r="H637" s="19" t="s">
        <v>263</v>
      </c>
      <c r="I637" s="17" t="b">
        <v>1</v>
      </c>
      <c r="J637" s="17" t="s">
        <v>43</v>
      </c>
      <c r="K637" s="21" t="str">
        <f t="shared" si="18"/>
        <v>https://version2.ice-d.org/antarctica/sample/03-RDY-057-QZH/</v>
      </c>
      <c r="L637" s="102" t="s">
        <v>39</v>
      </c>
      <c r="M637" s="155"/>
      <c r="O637" s="17" t="s">
        <v>722</v>
      </c>
      <c r="P637" s="103">
        <v>-85.899550000000005</v>
      </c>
      <c r="Q637" s="103">
        <v>-132.57831999999999</v>
      </c>
      <c r="R637" s="22"/>
      <c r="S637" s="103">
        <v>1309.5999999999999</v>
      </c>
      <c r="T637" s="17">
        <v>1180</v>
      </c>
      <c r="U637" s="23">
        <v>1200</v>
      </c>
      <c r="V637" s="23" t="s">
        <v>2107</v>
      </c>
      <c r="W637" s="44" t="s">
        <v>2430</v>
      </c>
      <c r="X637" s="22">
        <f t="shared" si="19"/>
        <v>129.59999999999991</v>
      </c>
      <c r="Y637" s="22">
        <v>7</v>
      </c>
      <c r="Z637" s="22">
        <v>2.65</v>
      </c>
      <c r="AA637" s="17" t="s">
        <v>73</v>
      </c>
      <c r="AB637" s="104">
        <v>9214</v>
      </c>
      <c r="AC637" s="104">
        <v>716</v>
      </c>
      <c r="AD637" s="60">
        <v>899</v>
      </c>
      <c r="AE637" s="27">
        <v>164238</v>
      </c>
      <c r="AF637" s="27">
        <v>12728</v>
      </c>
      <c r="AG637" s="28"/>
      <c r="AH637" s="28"/>
      <c r="AI637" s="17">
        <v>2003</v>
      </c>
      <c r="AJ637" s="17">
        <v>1</v>
      </c>
      <c r="AK637" s="17">
        <v>0</v>
      </c>
    </row>
    <row r="638" spans="1:38" ht="16.5" customHeight="1">
      <c r="A638" s="105" t="s">
        <v>742</v>
      </c>
      <c r="B638" s="19" t="s">
        <v>720</v>
      </c>
      <c r="C638" s="17">
        <v>62</v>
      </c>
      <c r="D638" s="19" t="s">
        <v>196</v>
      </c>
      <c r="E638" s="19">
        <v>0</v>
      </c>
      <c r="F638" s="19" t="s">
        <v>721</v>
      </c>
      <c r="G638" s="19" t="s">
        <v>677</v>
      </c>
      <c r="H638" s="19" t="s">
        <v>263</v>
      </c>
      <c r="I638" s="17" t="b">
        <v>1</v>
      </c>
      <c r="J638" s="17" t="s">
        <v>43</v>
      </c>
      <c r="K638" s="21" t="str">
        <f t="shared" si="18"/>
        <v>https://version2.ice-d.org/antarctica/sample/03-RDY-058-QZH/</v>
      </c>
      <c r="L638" s="102" t="s">
        <v>39</v>
      </c>
      <c r="M638" s="155"/>
      <c r="O638" s="17" t="s">
        <v>722</v>
      </c>
      <c r="P638" s="103">
        <v>-85.899550000000005</v>
      </c>
      <c r="Q638" s="103">
        <v>-132.57831999999999</v>
      </c>
      <c r="R638" s="22"/>
      <c r="S638" s="103">
        <v>1309.5999999999999</v>
      </c>
      <c r="T638" s="17">
        <v>1180</v>
      </c>
      <c r="U638" s="23">
        <v>1200</v>
      </c>
      <c r="V638" s="23" t="s">
        <v>2107</v>
      </c>
      <c r="W638" s="44" t="s">
        <v>2430</v>
      </c>
      <c r="X638" s="22">
        <f t="shared" si="19"/>
        <v>129.59999999999991</v>
      </c>
      <c r="Y638" s="22">
        <v>9</v>
      </c>
      <c r="Z638" s="22">
        <v>2.65</v>
      </c>
      <c r="AA638" s="17" t="s">
        <v>73</v>
      </c>
      <c r="AB638" s="104">
        <v>10077</v>
      </c>
      <c r="AC638" s="104">
        <v>236</v>
      </c>
      <c r="AD638" s="60">
        <v>641</v>
      </c>
      <c r="AE638" s="27">
        <v>176642</v>
      </c>
      <c r="AF638" s="27">
        <v>4133</v>
      </c>
      <c r="AG638" s="28"/>
      <c r="AH638" s="28"/>
      <c r="AI638" s="17">
        <v>2003</v>
      </c>
      <c r="AJ638" s="17">
        <v>1</v>
      </c>
      <c r="AK638" s="17">
        <v>0</v>
      </c>
    </row>
    <row r="639" spans="1:38" ht="16.5" customHeight="1">
      <c r="A639" s="105" t="s">
        <v>743</v>
      </c>
      <c r="B639" s="19" t="s">
        <v>720</v>
      </c>
      <c r="C639" s="17">
        <v>62</v>
      </c>
      <c r="D639" s="19" t="s">
        <v>196</v>
      </c>
      <c r="E639" s="19">
        <v>0</v>
      </c>
      <c r="F639" s="19" t="s">
        <v>721</v>
      </c>
      <c r="G639" s="19" t="s">
        <v>677</v>
      </c>
      <c r="H639" s="19" t="s">
        <v>263</v>
      </c>
      <c r="I639" s="17" t="b">
        <v>1</v>
      </c>
      <c r="J639" s="17" t="s">
        <v>43</v>
      </c>
      <c r="K639" s="21" t="str">
        <f t="shared" si="18"/>
        <v>https://version2.ice-d.org/antarctica/sample/03-RDY-077-QZH/</v>
      </c>
      <c r="L639" s="102" t="s">
        <v>39</v>
      </c>
      <c r="M639" s="155"/>
      <c r="O639" s="17" t="s">
        <v>722</v>
      </c>
      <c r="P639" s="103">
        <v>-85.904520000000005</v>
      </c>
      <c r="Q639" s="103">
        <v>-132.49379999999999</v>
      </c>
      <c r="R639" s="22"/>
      <c r="S639" s="103">
        <v>1390.4</v>
      </c>
      <c r="T639" s="17">
        <v>1180</v>
      </c>
      <c r="U639" s="23">
        <v>1200</v>
      </c>
      <c r="V639" s="23" t="s">
        <v>2107</v>
      </c>
      <c r="W639" s="44" t="s">
        <v>2430</v>
      </c>
      <c r="X639" s="22">
        <f t="shared" si="19"/>
        <v>210.40000000000009</v>
      </c>
      <c r="Y639" s="22">
        <v>5</v>
      </c>
      <c r="Z639" s="22">
        <v>2.65</v>
      </c>
      <c r="AA639" s="17" t="s">
        <v>73</v>
      </c>
      <c r="AB639" s="104">
        <v>16958</v>
      </c>
      <c r="AC639" s="104">
        <v>356</v>
      </c>
      <c r="AD639" s="60">
        <v>1066</v>
      </c>
      <c r="AE639" s="27">
        <v>323369</v>
      </c>
      <c r="AF639" s="27">
        <v>6766</v>
      </c>
      <c r="AG639" s="28"/>
      <c r="AH639" s="28"/>
      <c r="AI639" s="17">
        <v>2003</v>
      </c>
      <c r="AJ639" s="17">
        <v>1</v>
      </c>
      <c r="AK639" s="17">
        <v>0</v>
      </c>
    </row>
    <row r="640" spans="1:38" ht="16.5" customHeight="1">
      <c r="A640" s="106" t="s">
        <v>744</v>
      </c>
      <c r="B640" s="19" t="s">
        <v>745</v>
      </c>
      <c r="C640" s="17">
        <v>63</v>
      </c>
      <c r="D640" s="20" t="s">
        <v>196</v>
      </c>
      <c r="E640" s="19">
        <v>0</v>
      </c>
      <c r="F640" s="19" t="s">
        <v>721</v>
      </c>
      <c r="G640" s="19" t="s">
        <v>677</v>
      </c>
      <c r="H640" s="19" t="s">
        <v>263</v>
      </c>
      <c r="I640" s="17" t="b">
        <v>1</v>
      </c>
      <c r="J640" s="17" t="s">
        <v>43</v>
      </c>
      <c r="K640" s="21" t="str">
        <f t="shared" si="18"/>
        <v>https://version2.ice-d.org/antarctica/sample/04-RDY-003-JGN/</v>
      </c>
      <c r="L640" s="37" t="s">
        <v>39</v>
      </c>
      <c r="M640" s="37" t="s">
        <v>44</v>
      </c>
      <c r="O640" s="17" t="s">
        <v>722</v>
      </c>
      <c r="P640" s="103">
        <v>-85.386150000000001</v>
      </c>
      <c r="Q640" s="103">
        <v>-136.27515</v>
      </c>
      <c r="R640" s="22"/>
      <c r="S640" s="103">
        <v>633</v>
      </c>
      <c r="T640" s="17">
        <v>600</v>
      </c>
      <c r="U640" s="23">
        <v>1200</v>
      </c>
      <c r="V640" s="23" t="s">
        <v>2107</v>
      </c>
      <c r="W640" s="44" t="s">
        <v>2430</v>
      </c>
      <c r="X640" s="22">
        <f t="shared" si="19"/>
        <v>33</v>
      </c>
      <c r="Y640" s="22">
        <v>8</v>
      </c>
      <c r="Z640" s="22">
        <v>2.65</v>
      </c>
      <c r="AA640" s="17" t="s">
        <v>73</v>
      </c>
      <c r="AB640" s="104">
        <v>529</v>
      </c>
      <c r="AC640" s="104">
        <v>50</v>
      </c>
      <c r="AD640" s="60">
        <v>59</v>
      </c>
      <c r="AE640" s="27">
        <v>5256</v>
      </c>
      <c r="AF640" s="27">
        <v>493</v>
      </c>
      <c r="AG640" s="28"/>
      <c r="AH640" s="28"/>
      <c r="AI640" s="17">
        <v>2004</v>
      </c>
      <c r="AJ640" s="17">
        <v>1</v>
      </c>
      <c r="AK640" s="17">
        <v>0</v>
      </c>
      <c r="AL640" s="17" t="s">
        <v>746</v>
      </c>
    </row>
    <row r="641" spans="1:38" ht="16.5" customHeight="1">
      <c r="A641" s="107" t="s">
        <v>747</v>
      </c>
      <c r="B641" s="19" t="s">
        <v>745</v>
      </c>
      <c r="C641" s="17">
        <v>63</v>
      </c>
      <c r="D641" s="20" t="s">
        <v>196</v>
      </c>
      <c r="E641" s="19">
        <v>0</v>
      </c>
      <c r="F641" s="19" t="s">
        <v>721</v>
      </c>
      <c r="G641" s="19" t="s">
        <v>677</v>
      </c>
      <c r="H641" s="19" t="s">
        <v>263</v>
      </c>
      <c r="I641" s="17" t="b">
        <v>1</v>
      </c>
      <c r="J641" s="17" t="s">
        <v>43</v>
      </c>
      <c r="K641" s="21" t="str">
        <f t="shared" si="18"/>
        <v>https://version2.ice-d.org/antarctica/sample/04-RDY-031-BRK/</v>
      </c>
      <c r="L641" s="38" t="s">
        <v>39</v>
      </c>
      <c r="M641" s="201" t="s">
        <v>44</v>
      </c>
      <c r="O641" s="17" t="s">
        <v>722</v>
      </c>
      <c r="P641" s="103">
        <v>-85.412319999999994</v>
      </c>
      <c r="Q641" s="103">
        <v>-135.84777</v>
      </c>
      <c r="R641" s="22"/>
      <c r="S641" s="103">
        <v>750</v>
      </c>
      <c r="T641" s="17">
        <v>600</v>
      </c>
      <c r="U641" s="23">
        <v>1200</v>
      </c>
      <c r="V641" s="23" t="s">
        <v>2107</v>
      </c>
      <c r="W641" s="44" t="s">
        <v>2430</v>
      </c>
      <c r="X641" s="22">
        <f t="shared" si="19"/>
        <v>150</v>
      </c>
      <c r="Y641" s="22">
        <v>2.5</v>
      </c>
      <c r="Z641" s="22">
        <v>2.65</v>
      </c>
      <c r="AA641" s="17" t="s">
        <v>73</v>
      </c>
      <c r="AB641" s="104">
        <v>581</v>
      </c>
      <c r="AC641" s="104">
        <v>59</v>
      </c>
      <c r="AD641" s="60">
        <v>68</v>
      </c>
      <c r="AE641" s="27">
        <v>6815</v>
      </c>
      <c r="AF641" s="27">
        <v>688</v>
      </c>
      <c r="AG641" s="28"/>
      <c r="AH641" s="28"/>
      <c r="AI641" s="17">
        <v>2004</v>
      </c>
      <c r="AJ641" s="17">
        <v>1</v>
      </c>
      <c r="AK641" s="17">
        <v>0</v>
      </c>
      <c r="AL641" s="17" t="s">
        <v>746</v>
      </c>
    </row>
    <row r="642" spans="1:38" ht="16.5" customHeight="1">
      <c r="A642" s="107" t="s">
        <v>748</v>
      </c>
      <c r="B642" s="19" t="s">
        <v>745</v>
      </c>
      <c r="C642" s="17">
        <v>63</v>
      </c>
      <c r="D642" s="20" t="s">
        <v>196</v>
      </c>
      <c r="E642" s="19">
        <v>0</v>
      </c>
      <c r="F642" s="19" t="s">
        <v>721</v>
      </c>
      <c r="G642" s="19" t="s">
        <v>677</v>
      </c>
      <c r="H642" s="19" t="s">
        <v>263</v>
      </c>
      <c r="I642" s="17" t="b">
        <v>1</v>
      </c>
      <c r="J642" s="17" t="s">
        <v>43</v>
      </c>
      <c r="K642" s="21" t="str">
        <f t="shared" si="18"/>
        <v>https://version2.ice-d.org/antarctica/sample/04-RDY-032-BRK/</v>
      </c>
      <c r="L642" s="38" t="s">
        <v>39</v>
      </c>
      <c r="M642" s="155"/>
      <c r="O642" s="17" t="s">
        <v>722</v>
      </c>
      <c r="P642" s="103">
        <v>-85.412319999999994</v>
      </c>
      <c r="Q642" s="103">
        <v>-135.84782000000001</v>
      </c>
      <c r="R642" s="22"/>
      <c r="S642" s="103">
        <v>749</v>
      </c>
      <c r="T642" s="17">
        <v>600</v>
      </c>
      <c r="U642" s="23">
        <v>1200</v>
      </c>
      <c r="V642" s="23" t="s">
        <v>2107</v>
      </c>
      <c r="W642" s="44" t="s">
        <v>2430</v>
      </c>
      <c r="X642" s="22">
        <f t="shared" si="19"/>
        <v>149</v>
      </c>
      <c r="Y642" s="22">
        <v>7</v>
      </c>
      <c r="Z642" s="22">
        <v>2.65</v>
      </c>
      <c r="AA642" s="17" t="s">
        <v>73</v>
      </c>
      <c r="AB642" s="104">
        <v>671</v>
      </c>
      <c r="AC642" s="104">
        <v>44</v>
      </c>
      <c r="AD642" s="60">
        <v>59</v>
      </c>
      <c r="AE642" s="27">
        <v>7630</v>
      </c>
      <c r="AF642" s="27">
        <v>500</v>
      </c>
      <c r="AG642" s="28"/>
      <c r="AH642" s="28"/>
      <c r="AI642" s="17">
        <v>2004</v>
      </c>
      <c r="AJ642" s="17">
        <v>1</v>
      </c>
      <c r="AK642" s="17">
        <v>0</v>
      </c>
      <c r="AL642" s="17" t="s">
        <v>746</v>
      </c>
    </row>
    <row r="643" spans="1:38" ht="16.5" customHeight="1">
      <c r="A643" s="108" t="s">
        <v>749</v>
      </c>
      <c r="B643" s="19" t="s">
        <v>745</v>
      </c>
      <c r="C643" s="17">
        <v>63</v>
      </c>
      <c r="D643" s="20" t="s">
        <v>196</v>
      </c>
      <c r="E643" s="19">
        <v>0</v>
      </c>
      <c r="F643" s="19" t="s">
        <v>721</v>
      </c>
      <c r="G643" s="19" t="s">
        <v>677</v>
      </c>
      <c r="H643" s="19" t="s">
        <v>263</v>
      </c>
      <c r="I643" s="17" t="b">
        <v>1</v>
      </c>
      <c r="J643" s="17" t="s">
        <v>43</v>
      </c>
      <c r="K643" s="21" t="str">
        <f t="shared" si="18"/>
        <v>https://version2.ice-d.org/antarctica/sample/04-RDY-015-SKL/</v>
      </c>
      <c r="L643" s="39" t="s">
        <v>39</v>
      </c>
      <c r="M643" s="162" t="s">
        <v>44</v>
      </c>
      <c r="O643" s="17" t="s">
        <v>722</v>
      </c>
      <c r="P643" s="103">
        <v>-85.405370000000005</v>
      </c>
      <c r="Q643" s="103">
        <v>-135.91193000000001</v>
      </c>
      <c r="R643" s="22"/>
      <c r="S643" s="103">
        <v>735</v>
      </c>
      <c r="T643" s="17">
        <v>600</v>
      </c>
      <c r="U643" s="23">
        <v>1200</v>
      </c>
      <c r="V643" s="23" t="s">
        <v>2107</v>
      </c>
      <c r="W643" s="44" t="s">
        <v>2430</v>
      </c>
      <c r="X643" s="22">
        <f t="shared" si="19"/>
        <v>135</v>
      </c>
      <c r="Y643" s="22">
        <v>1.5</v>
      </c>
      <c r="Z643" s="22">
        <v>2.65</v>
      </c>
      <c r="AA643" s="17" t="s">
        <v>73</v>
      </c>
      <c r="AB643" s="104">
        <v>3809</v>
      </c>
      <c r="AC643" s="104">
        <v>123</v>
      </c>
      <c r="AD643" s="60">
        <v>256</v>
      </c>
      <c r="AE643" s="27">
        <v>42723</v>
      </c>
      <c r="AF643" s="27">
        <v>1377</v>
      </c>
      <c r="AG643" s="28"/>
      <c r="AH643" s="28"/>
      <c r="AI643" s="17">
        <v>2004</v>
      </c>
      <c r="AJ643" s="17">
        <v>1</v>
      </c>
      <c r="AK643" s="17">
        <v>0</v>
      </c>
      <c r="AL643" s="17" t="s">
        <v>746</v>
      </c>
    </row>
    <row r="644" spans="1:38" ht="16.5" customHeight="1">
      <c r="A644" s="108" t="s">
        <v>750</v>
      </c>
      <c r="B644" s="19" t="s">
        <v>745</v>
      </c>
      <c r="C644" s="17">
        <v>63</v>
      </c>
      <c r="D644" s="20" t="s">
        <v>196</v>
      </c>
      <c r="E644" s="19">
        <v>0</v>
      </c>
      <c r="F644" s="19" t="s">
        <v>721</v>
      </c>
      <c r="G644" s="19" t="s">
        <v>677</v>
      </c>
      <c r="H644" s="19" t="s">
        <v>263</v>
      </c>
      <c r="I644" s="17" t="b">
        <v>1</v>
      </c>
      <c r="J644" s="17" t="s">
        <v>43</v>
      </c>
      <c r="K644" s="21" t="str">
        <f t="shared" si="18"/>
        <v>https://version2.ice-d.org/antarctica/sample/04-RDY-016-SKL/</v>
      </c>
      <c r="L644" s="39" t="s">
        <v>39</v>
      </c>
      <c r="M644" s="155"/>
      <c r="O644" s="17" t="s">
        <v>722</v>
      </c>
      <c r="P644" s="103">
        <v>-85.4054</v>
      </c>
      <c r="Q644" s="103">
        <v>-135.91125</v>
      </c>
      <c r="R644" s="22"/>
      <c r="S644" s="103">
        <v>736</v>
      </c>
      <c r="T644" s="17">
        <v>600</v>
      </c>
      <c r="U644" s="23">
        <v>1200</v>
      </c>
      <c r="V644" s="23" t="s">
        <v>2107</v>
      </c>
      <c r="W644" s="44" t="s">
        <v>2430</v>
      </c>
      <c r="X644" s="22">
        <f t="shared" si="19"/>
        <v>136</v>
      </c>
      <c r="Y644" s="22">
        <v>5.5</v>
      </c>
      <c r="Z644" s="22">
        <v>2.65</v>
      </c>
      <c r="AA644" s="17" t="s">
        <v>73</v>
      </c>
      <c r="AB644" s="104">
        <v>3849</v>
      </c>
      <c r="AC644" s="104">
        <v>118</v>
      </c>
      <c r="AD644" s="60">
        <v>256</v>
      </c>
      <c r="AE644" s="27">
        <v>41809</v>
      </c>
      <c r="AF644" s="27">
        <v>1285</v>
      </c>
      <c r="AG644" s="28"/>
      <c r="AH644" s="28"/>
      <c r="AI644" s="17">
        <v>2004</v>
      </c>
      <c r="AJ644" s="17">
        <v>1</v>
      </c>
      <c r="AK644" s="17">
        <v>0</v>
      </c>
      <c r="AL644" s="17" t="s">
        <v>746</v>
      </c>
    </row>
    <row r="645" spans="1:38" ht="16.5" customHeight="1">
      <c r="A645" s="108" t="s">
        <v>751</v>
      </c>
      <c r="B645" s="19" t="s">
        <v>745</v>
      </c>
      <c r="C645" s="17">
        <v>63</v>
      </c>
      <c r="D645" s="20" t="s">
        <v>196</v>
      </c>
      <c r="E645" s="19">
        <v>0</v>
      </c>
      <c r="F645" s="19" t="s">
        <v>721</v>
      </c>
      <c r="G645" s="19" t="s">
        <v>677</v>
      </c>
      <c r="H645" s="19" t="s">
        <v>263</v>
      </c>
      <c r="I645" s="17" t="b">
        <v>1</v>
      </c>
      <c r="J645" s="17" t="s">
        <v>43</v>
      </c>
      <c r="K645" s="21" t="str">
        <f t="shared" si="18"/>
        <v>https://version2.ice-d.org/antarctica/sample/04-RDY-022-SKL/</v>
      </c>
      <c r="L645" s="39" t="s">
        <v>39</v>
      </c>
      <c r="M645" s="155"/>
      <c r="O645" s="17" t="s">
        <v>722</v>
      </c>
      <c r="P645" s="103">
        <v>-85.405720000000002</v>
      </c>
      <c r="Q645" s="103">
        <v>-135.86154999999999</v>
      </c>
      <c r="R645" s="22"/>
      <c r="S645" s="103">
        <v>728</v>
      </c>
      <c r="T645" s="17">
        <v>600</v>
      </c>
      <c r="U645" s="23">
        <v>1200</v>
      </c>
      <c r="V645" s="23" t="s">
        <v>2107</v>
      </c>
      <c r="W645" s="44" t="s">
        <v>2430</v>
      </c>
      <c r="X645" s="22">
        <f t="shared" si="19"/>
        <v>128</v>
      </c>
      <c r="Y645" s="22">
        <v>6</v>
      </c>
      <c r="Z645" s="22">
        <v>2.65</v>
      </c>
      <c r="AA645" s="17" t="s">
        <v>73</v>
      </c>
      <c r="AB645" s="104">
        <v>828</v>
      </c>
      <c r="AC645" s="104">
        <v>64</v>
      </c>
      <c r="AD645" s="60">
        <v>80</v>
      </c>
      <c r="AE645" s="27">
        <v>9294</v>
      </c>
      <c r="AF645" s="27">
        <v>713</v>
      </c>
      <c r="AG645" s="28"/>
      <c r="AH645" s="28"/>
      <c r="AI645" s="17">
        <v>2004</v>
      </c>
      <c r="AJ645" s="17">
        <v>1</v>
      </c>
      <c r="AK645" s="17">
        <v>0</v>
      </c>
      <c r="AL645" s="17" t="s">
        <v>746</v>
      </c>
    </row>
    <row r="646" spans="1:38" ht="16.5" customHeight="1">
      <c r="A646" s="109" t="s">
        <v>752</v>
      </c>
      <c r="B646" s="19" t="s">
        <v>753</v>
      </c>
      <c r="C646" s="17">
        <v>64</v>
      </c>
      <c r="D646" s="20" t="s">
        <v>196</v>
      </c>
      <c r="E646" s="19">
        <v>0</v>
      </c>
      <c r="F646" s="19" t="s">
        <v>721</v>
      </c>
      <c r="G646" s="19" t="s">
        <v>677</v>
      </c>
      <c r="H646" s="19" t="s">
        <v>263</v>
      </c>
      <c r="I646" s="17" t="b">
        <v>1</v>
      </c>
      <c r="J646" s="17" t="s">
        <v>43</v>
      </c>
      <c r="K646" s="21" t="str">
        <f t="shared" si="18"/>
        <v>https://version2.ice-d.org/antarctica/sample/03-RDY-153-CHN/</v>
      </c>
      <c r="L646" s="32" t="s">
        <v>39</v>
      </c>
      <c r="M646" s="157" t="s">
        <v>44</v>
      </c>
      <c r="O646" s="17" t="s">
        <v>722</v>
      </c>
      <c r="P646" s="103">
        <v>-85.413129999999995</v>
      </c>
      <c r="Q646" s="103">
        <v>-136.23482999999999</v>
      </c>
      <c r="R646" s="22"/>
      <c r="S646" s="103">
        <v>586.5</v>
      </c>
      <c r="T646" s="17">
        <v>600</v>
      </c>
      <c r="U646" s="23">
        <v>1200</v>
      </c>
      <c r="V646" s="23" t="s">
        <v>2107</v>
      </c>
      <c r="W646" s="44" t="s">
        <v>2430</v>
      </c>
      <c r="X646" s="22">
        <f t="shared" si="19"/>
        <v>-13.5</v>
      </c>
      <c r="Y646" s="22">
        <v>6</v>
      </c>
      <c r="Z646" s="22">
        <v>2.65</v>
      </c>
      <c r="AA646" s="17" t="s">
        <v>73</v>
      </c>
      <c r="AB646" s="104">
        <v>234</v>
      </c>
      <c r="AC646" s="104">
        <v>32</v>
      </c>
      <c r="AD646" s="60">
        <v>35</v>
      </c>
      <c r="AE646" s="27">
        <v>2140</v>
      </c>
      <c r="AF646" s="27">
        <v>293</v>
      </c>
      <c r="AG646" s="28"/>
      <c r="AH646" s="28"/>
      <c r="AI646" s="17">
        <v>2003</v>
      </c>
      <c r="AJ646" s="17">
        <v>1</v>
      </c>
      <c r="AK646" s="17">
        <v>0</v>
      </c>
      <c r="AL646" s="17" t="s">
        <v>746</v>
      </c>
    </row>
    <row r="647" spans="1:38" ht="16.5" customHeight="1">
      <c r="A647" s="109" t="s">
        <v>754</v>
      </c>
      <c r="B647" s="19" t="s">
        <v>753</v>
      </c>
      <c r="C647" s="17">
        <v>64</v>
      </c>
      <c r="D647" s="20" t="s">
        <v>196</v>
      </c>
      <c r="E647" s="19">
        <v>0</v>
      </c>
      <c r="F647" s="19" t="s">
        <v>721</v>
      </c>
      <c r="G647" s="19" t="s">
        <v>677</v>
      </c>
      <c r="H647" s="19" t="s">
        <v>263</v>
      </c>
      <c r="I647" s="17" t="b">
        <v>1</v>
      </c>
      <c r="J647" s="17" t="s">
        <v>43</v>
      </c>
      <c r="K647" s="21" t="str">
        <f t="shared" si="18"/>
        <v>https://version2.ice-d.org/antarctica/sample/03-RDY-154-CHN/</v>
      </c>
      <c r="L647" s="32" t="s">
        <v>39</v>
      </c>
      <c r="M647" s="155"/>
      <c r="O647" s="17" t="s">
        <v>722</v>
      </c>
      <c r="P647" s="103">
        <v>-85.413129999999995</v>
      </c>
      <c r="Q647" s="103">
        <v>-136.23482999999999</v>
      </c>
      <c r="R647" s="22"/>
      <c r="S647" s="103">
        <v>586.5</v>
      </c>
      <c r="T647" s="17">
        <v>600</v>
      </c>
      <c r="U647" s="23">
        <v>1200</v>
      </c>
      <c r="V647" s="23" t="s">
        <v>2107</v>
      </c>
      <c r="W647" s="44" t="s">
        <v>2430</v>
      </c>
      <c r="X647" s="22">
        <f t="shared" si="19"/>
        <v>-13.5</v>
      </c>
      <c r="Y647" s="22">
        <v>6</v>
      </c>
      <c r="Z647" s="22">
        <v>2.65</v>
      </c>
      <c r="AA647" s="17" t="s">
        <v>73</v>
      </c>
      <c r="AB647" s="104">
        <v>144</v>
      </c>
      <c r="AC647" s="104">
        <v>34</v>
      </c>
      <c r="AD647" s="60">
        <v>35</v>
      </c>
      <c r="AE647" s="27">
        <v>1263</v>
      </c>
      <c r="AF647" s="27">
        <v>296</v>
      </c>
      <c r="AG647" s="28"/>
      <c r="AH647" s="28"/>
      <c r="AI647" s="17">
        <v>2003</v>
      </c>
      <c r="AJ647" s="17">
        <v>1</v>
      </c>
      <c r="AK647" s="17">
        <v>0</v>
      </c>
      <c r="AL647" s="17" t="s">
        <v>746</v>
      </c>
    </row>
    <row r="648" spans="1:38" ht="16.5" customHeight="1">
      <c r="A648" s="110" t="s">
        <v>755</v>
      </c>
      <c r="B648" s="19" t="s">
        <v>753</v>
      </c>
      <c r="C648" s="17">
        <v>64</v>
      </c>
      <c r="D648" s="20" t="s">
        <v>196</v>
      </c>
      <c r="E648" s="19">
        <v>0</v>
      </c>
      <c r="F648" s="19" t="s">
        <v>721</v>
      </c>
      <c r="G648" s="19" t="s">
        <v>677</v>
      </c>
      <c r="H648" s="19" t="s">
        <v>263</v>
      </c>
      <c r="I648" s="17" t="b">
        <v>1</v>
      </c>
      <c r="J648" s="17" t="s">
        <v>43</v>
      </c>
      <c r="K648" s="21" t="str">
        <f t="shared" si="18"/>
        <v>https://version2.ice-d.org/antarctica/sample/03-RDY-139-CHN/</v>
      </c>
      <c r="L648" s="61" t="s">
        <v>39</v>
      </c>
      <c r="M648" s="206" t="s">
        <v>44</v>
      </c>
      <c r="O648" s="28" t="s">
        <v>756</v>
      </c>
      <c r="P648" s="103">
        <v>-85.399799999999999</v>
      </c>
      <c r="Q648" s="103">
        <v>-136.22202999999999</v>
      </c>
      <c r="R648" s="22"/>
      <c r="S648" s="103">
        <v>745</v>
      </c>
      <c r="T648" s="17">
        <v>600</v>
      </c>
      <c r="U648" s="23">
        <v>1200</v>
      </c>
      <c r="V648" s="23" t="s">
        <v>2107</v>
      </c>
      <c r="W648" s="44" t="s">
        <v>2430</v>
      </c>
      <c r="X648" s="22">
        <f t="shared" si="19"/>
        <v>145</v>
      </c>
      <c r="Y648" s="22">
        <v>6</v>
      </c>
      <c r="Z648" s="22">
        <v>2.65</v>
      </c>
      <c r="AA648" s="17" t="s">
        <v>73</v>
      </c>
      <c r="AB648" s="104">
        <v>7206</v>
      </c>
      <c r="AC648" s="104">
        <v>265</v>
      </c>
      <c r="AD648" s="60">
        <v>502</v>
      </c>
      <c r="AE648" s="27">
        <v>78183</v>
      </c>
      <c r="AF648" s="27">
        <v>2871</v>
      </c>
      <c r="AG648" s="28"/>
      <c r="AH648" s="28"/>
      <c r="AI648" s="17">
        <v>2003</v>
      </c>
      <c r="AJ648" s="17">
        <v>1</v>
      </c>
      <c r="AK648" s="17">
        <v>0</v>
      </c>
    </row>
    <row r="649" spans="1:38" ht="16.5" customHeight="1">
      <c r="A649" s="110" t="s">
        <v>757</v>
      </c>
      <c r="B649" s="19" t="s">
        <v>753</v>
      </c>
      <c r="C649" s="17">
        <v>64</v>
      </c>
      <c r="D649" s="20" t="s">
        <v>196</v>
      </c>
      <c r="E649" s="19">
        <v>0</v>
      </c>
      <c r="F649" s="19" t="s">
        <v>721</v>
      </c>
      <c r="G649" s="19" t="s">
        <v>677</v>
      </c>
      <c r="H649" s="19" t="s">
        <v>263</v>
      </c>
      <c r="I649" s="17" t="b">
        <v>1</v>
      </c>
      <c r="J649" s="17" t="s">
        <v>43</v>
      </c>
      <c r="K649" s="21" t="str">
        <f t="shared" si="18"/>
        <v>https://version2.ice-d.org/antarctica/sample/03-RDY-141-CHN/</v>
      </c>
      <c r="L649" s="61" t="s">
        <v>39</v>
      </c>
      <c r="M649" s="155"/>
      <c r="O649" s="28" t="s">
        <v>756</v>
      </c>
      <c r="P649" s="103">
        <v>-85.399730000000005</v>
      </c>
      <c r="Q649" s="103">
        <v>-136.18645000000001</v>
      </c>
      <c r="R649" s="22"/>
      <c r="S649" s="103">
        <v>641.29999999999995</v>
      </c>
      <c r="T649" s="17">
        <v>600</v>
      </c>
      <c r="U649" s="23">
        <v>1200</v>
      </c>
      <c r="V649" s="23" t="s">
        <v>2107</v>
      </c>
      <c r="W649" s="44" t="s">
        <v>2430</v>
      </c>
      <c r="X649" s="22">
        <f t="shared" si="19"/>
        <v>41.299999999999955</v>
      </c>
      <c r="Y649" s="22">
        <v>6</v>
      </c>
      <c r="Z649" s="22">
        <v>2.65</v>
      </c>
      <c r="AA649" s="17" t="s">
        <v>73</v>
      </c>
      <c r="AB649" s="104">
        <v>1459</v>
      </c>
      <c r="AC649" s="104">
        <v>157</v>
      </c>
      <c r="AD649" s="60">
        <v>179</v>
      </c>
      <c r="AE649" s="27">
        <v>14885</v>
      </c>
      <c r="AF649" s="27">
        <v>1601</v>
      </c>
      <c r="AG649" s="28"/>
      <c r="AH649" s="28"/>
      <c r="AI649" s="17">
        <v>2003</v>
      </c>
      <c r="AJ649" s="17">
        <v>1</v>
      </c>
      <c r="AK649" s="17">
        <v>0</v>
      </c>
    </row>
    <row r="650" spans="1:38" ht="16.5" customHeight="1">
      <c r="A650" s="110" t="s">
        <v>758</v>
      </c>
      <c r="B650" s="19" t="s">
        <v>753</v>
      </c>
      <c r="C650" s="17">
        <v>64</v>
      </c>
      <c r="D650" s="20" t="s">
        <v>196</v>
      </c>
      <c r="E650" s="19">
        <v>0</v>
      </c>
      <c r="F650" s="19" t="s">
        <v>721</v>
      </c>
      <c r="G650" s="19" t="s">
        <v>677</v>
      </c>
      <c r="H650" s="19" t="s">
        <v>263</v>
      </c>
      <c r="I650" s="17" t="b">
        <v>1</v>
      </c>
      <c r="J650" s="17" t="s">
        <v>43</v>
      </c>
      <c r="K650" s="21" t="str">
        <f t="shared" si="18"/>
        <v>https://version2.ice-d.org/antarctica/sample/03-RDY-142-CHN/</v>
      </c>
      <c r="L650" s="61" t="s">
        <v>39</v>
      </c>
      <c r="M650" s="155"/>
      <c r="O650" s="28" t="s">
        <v>756</v>
      </c>
      <c r="P650" s="103">
        <v>-85.399730000000005</v>
      </c>
      <c r="Q650" s="103">
        <v>-136.18645000000001</v>
      </c>
      <c r="R650" s="22"/>
      <c r="S650" s="103">
        <v>641.29999999999995</v>
      </c>
      <c r="T650" s="17">
        <v>600</v>
      </c>
      <c r="U650" s="23">
        <v>1200</v>
      </c>
      <c r="V650" s="23" t="s">
        <v>2107</v>
      </c>
      <c r="W650" s="44" t="s">
        <v>2430</v>
      </c>
      <c r="X650" s="22">
        <f t="shared" si="19"/>
        <v>41.299999999999955</v>
      </c>
      <c r="Y650" s="22">
        <v>7.5</v>
      </c>
      <c r="Z650" s="22">
        <v>2.65</v>
      </c>
      <c r="AA650" s="17" t="s">
        <v>73</v>
      </c>
      <c r="AB650" s="104">
        <v>1725</v>
      </c>
      <c r="AC650" s="104">
        <v>78</v>
      </c>
      <c r="AD650" s="60">
        <v>128</v>
      </c>
      <c r="AE650" s="27">
        <v>17282</v>
      </c>
      <c r="AF650" s="27">
        <v>781</v>
      </c>
      <c r="AG650" s="28"/>
      <c r="AH650" s="28"/>
      <c r="AI650" s="17">
        <v>2003</v>
      </c>
      <c r="AJ650" s="17">
        <v>1</v>
      </c>
      <c r="AK650" s="17">
        <v>0</v>
      </c>
    </row>
    <row r="651" spans="1:38" ht="16.5" customHeight="1">
      <c r="A651" s="110" t="s">
        <v>759</v>
      </c>
      <c r="B651" s="19" t="s">
        <v>753</v>
      </c>
      <c r="C651" s="17">
        <v>64</v>
      </c>
      <c r="D651" s="20" t="s">
        <v>196</v>
      </c>
      <c r="E651" s="19">
        <v>0</v>
      </c>
      <c r="F651" s="19" t="s">
        <v>721</v>
      </c>
      <c r="G651" s="19" t="s">
        <v>677</v>
      </c>
      <c r="H651" s="19" t="s">
        <v>263</v>
      </c>
      <c r="I651" s="17" t="b">
        <v>1</v>
      </c>
      <c r="J651" s="17" t="s">
        <v>43</v>
      </c>
      <c r="K651" s="21" t="str">
        <f t="shared" si="18"/>
        <v>https://version2.ice-d.org/antarctica/sample/03-RDY-146-CHN/</v>
      </c>
      <c r="L651" s="61" t="s">
        <v>39</v>
      </c>
      <c r="M651" s="155"/>
      <c r="O651" s="28" t="s">
        <v>756</v>
      </c>
      <c r="P651" s="103">
        <v>-85.399699999999996</v>
      </c>
      <c r="Q651" s="103">
        <v>-136.19603000000001</v>
      </c>
      <c r="R651" s="22"/>
      <c r="S651" s="103">
        <v>679.6</v>
      </c>
      <c r="T651" s="17">
        <v>600</v>
      </c>
      <c r="U651" s="23">
        <v>1200</v>
      </c>
      <c r="V651" s="23" t="s">
        <v>2107</v>
      </c>
      <c r="W651" s="44" t="s">
        <v>2430</v>
      </c>
      <c r="X651" s="22">
        <f t="shared" si="19"/>
        <v>79.600000000000023</v>
      </c>
      <c r="Y651" s="22">
        <v>7.5</v>
      </c>
      <c r="Z651" s="22">
        <v>2.65</v>
      </c>
      <c r="AA651" s="17" t="s">
        <v>73</v>
      </c>
      <c r="AB651" s="104">
        <v>5196</v>
      </c>
      <c r="AC651" s="104">
        <v>154</v>
      </c>
      <c r="AD651" s="60">
        <v>344</v>
      </c>
      <c r="AE651" s="27">
        <v>52041</v>
      </c>
      <c r="AF651" s="27">
        <v>1542</v>
      </c>
      <c r="AG651" s="28"/>
      <c r="AH651" s="28"/>
      <c r="AI651" s="17">
        <v>2003</v>
      </c>
      <c r="AJ651" s="17">
        <v>1</v>
      </c>
      <c r="AK651" s="17">
        <v>0</v>
      </c>
    </row>
    <row r="652" spans="1:38" ht="16.5" customHeight="1">
      <c r="A652" s="110" t="s">
        <v>760</v>
      </c>
      <c r="B652" s="19" t="s">
        <v>753</v>
      </c>
      <c r="C652" s="17">
        <v>64</v>
      </c>
      <c r="D652" s="20" t="s">
        <v>196</v>
      </c>
      <c r="E652" s="19">
        <v>0</v>
      </c>
      <c r="F652" s="19" t="s">
        <v>721</v>
      </c>
      <c r="G652" s="19" t="s">
        <v>677</v>
      </c>
      <c r="H652" s="19" t="s">
        <v>263</v>
      </c>
      <c r="I652" s="17" t="b">
        <v>1</v>
      </c>
      <c r="J652" s="17" t="s">
        <v>43</v>
      </c>
      <c r="K652" s="21" t="str">
        <f t="shared" si="18"/>
        <v>https://version2.ice-d.org/antarctica/sample/03-RDY-151-CHN/</v>
      </c>
      <c r="L652" s="61" t="s">
        <v>39</v>
      </c>
      <c r="M652" s="155"/>
      <c r="O652" s="28" t="s">
        <v>756</v>
      </c>
      <c r="P652" s="103">
        <v>-85.399820000000005</v>
      </c>
      <c r="Q652" s="103">
        <v>-136.21527</v>
      </c>
      <c r="R652" s="22"/>
      <c r="S652" s="103">
        <v>724.4</v>
      </c>
      <c r="T652" s="17">
        <v>600</v>
      </c>
      <c r="U652" s="23">
        <v>1200</v>
      </c>
      <c r="V652" s="23" t="s">
        <v>2107</v>
      </c>
      <c r="W652" s="44" t="s">
        <v>2430</v>
      </c>
      <c r="X652" s="22">
        <f t="shared" si="19"/>
        <v>124.39999999999998</v>
      </c>
      <c r="Y652" s="22">
        <v>4.5</v>
      </c>
      <c r="Z652" s="22">
        <v>2.65</v>
      </c>
      <c r="AA652" s="17" t="s">
        <v>73</v>
      </c>
      <c r="AB652" s="104">
        <v>7017</v>
      </c>
      <c r="AC652" s="104">
        <v>184</v>
      </c>
      <c r="AD652" s="60">
        <v>454</v>
      </c>
      <c r="AE652" s="27">
        <v>75475</v>
      </c>
      <c r="AF652" s="27">
        <v>1974</v>
      </c>
      <c r="AG652" s="28"/>
      <c r="AH652" s="28"/>
      <c r="AI652" s="17">
        <v>2003</v>
      </c>
      <c r="AJ652" s="17">
        <v>1</v>
      </c>
      <c r="AK652" s="17">
        <v>0</v>
      </c>
    </row>
    <row r="653" spans="1:38" ht="16.5" customHeight="1">
      <c r="A653" s="111" t="s">
        <v>761</v>
      </c>
      <c r="B653" s="19" t="s">
        <v>762</v>
      </c>
      <c r="C653" s="17">
        <v>65</v>
      </c>
      <c r="D653" s="19" t="s">
        <v>196</v>
      </c>
      <c r="E653" s="19">
        <v>0</v>
      </c>
      <c r="F653" s="19" t="s">
        <v>721</v>
      </c>
      <c r="G653" s="19" t="s">
        <v>677</v>
      </c>
      <c r="H653" s="19" t="s">
        <v>263</v>
      </c>
      <c r="I653" s="17" t="b">
        <v>1</v>
      </c>
      <c r="J653" s="17" t="s">
        <v>43</v>
      </c>
      <c r="K653" s="21" t="str">
        <f t="shared" si="18"/>
        <v>https://version2.ice-d.org/antarctica/sample/04-RDY-103-QZHL/</v>
      </c>
      <c r="L653" s="40" t="s">
        <v>39</v>
      </c>
      <c r="M653" s="199" t="s">
        <v>44</v>
      </c>
      <c r="O653" s="17" t="s">
        <v>722</v>
      </c>
      <c r="P653" s="103">
        <v>-85.909970000000001</v>
      </c>
      <c r="Q653" s="103">
        <v>-132.34222</v>
      </c>
      <c r="R653" s="22">
        <v>20</v>
      </c>
      <c r="S653" s="103">
        <v>1284</v>
      </c>
      <c r="T653" s="17">
        <v>1000</v>
      </c>
      <c r="U653" s="23">
        <v>1200</v>
      </c>
      <c r="V653" s="23" t="s">
        <v>2107</v>
      </c>
      <c r="W653" s="44" t="s">
        <v>2430</v>
      </c>
      <c r="X653" s="22">
        <f t="shared" si="19"/>
        <v>284</v>
      </c>
      <c r="Y653" s="22">
        <v>8.5</v>
      </c>
      <c r="Z653" s="22">
        <v>2.65</v>
      </c>
      <c r="AA653" s="17" t="s">
        <v>73</v>
      </c>
      <c r="AB653" s="104">
        <v>16868</v>
      </c>
      <c r="AC653" s="104">
        <v>653</v>
      </c>
      <c r="AD653" s="60"/>
      <c r="AE653" s="27">
        <v>246210</v>
      </c>
      <c r="AF653" s="27">
        <v>9498</v>
      </c>
      <c r="AG653" s="28"/>
      <c r="AH653" s="28"/>
      <c r="AI653" s="17">
        <v>2004</v>
      </c>
      <c r="AJ653" s="17">
        <v>1</v>
      </c>
      <c r="AK653" s="17">
        <v>1</v>
      </c>
      <c r="AL653" s="17" t="s">
        <v>763</v>
      </c>
    </row>
    <row r="654" spans="1:38" ht="15.75" customHeight="1">
      <c r="A654" s="40" t="s">
        <v>764</v>
      </c>
      <c r="B654" s="19" t="s">
        <v>762</v>
      </c>
      <c r="C654" s="17">
        <v>65</v>
      </c>
      <c r="D654" s="19" t="s">
        <v>196</v>
      </c>
      <c r="E654" s="19">
        <v>0</v>
      </c>
      <c r="F654" s="19" t="s">
        <v>721</v>
      </c>
      <c r="G654" s="19" t="s">
        <v>677</v>
      </c>
      <c r="H654" s="19" t="s">
        <v>263</v>
      </c>
      <c r="I654" s="17" t="b">
        <v>1</v>
      </c>
      <c r="J654" s="17" t="s">
        <v>43</v>
      </c>
      <c r="K654" s="21" t="str">
        <f t="shared" si="18"/>
        <v>https://version2.ice-d.org/antarctica/sample/04-RDY-104-QZHL/</v>
      </c>
      <c r="L654" s="40" t="s">
        <v>39</v>
      </c>
      <c r="M654" s="155"/>
      <c r="O654" s="17" t="s">
        <v>722</v>
      </c>
      <c r="P654" s="22">
        <v>-85.910129999999995</v>
      </c>
      <c r="Q654" s="22">
        <v>-132.34377000000001</v>
      </c>
      <c r="R654" s="22">
        <v>20</v>
      </c>
      <c r="S654" s="22">
        <v>1304</v>
      </c>
      <c r="T654" s="17">
        <v>1000</v>
      </c>
      <c r="U654" s="23">
        <v>1200</v>
      </c>
      <c r="V654" s="23" t="s">
        <v>2107</v>
      </c>
      <c r="W654" s="44" t="s">
        <v>2430</v>
      </c>
      <c r="X654" s="22">
        <f t="shared" si="19"/>
        <v>304</v>
      </c>
      <c r="Y654" s="22">
        <v>9</v>
      </c>
      <c r="Z654" s="22">
        <v>2.65</v>
      </c>
      <c r="AA654" s="17" t="s">
        <v>73</v>
      </c>
      <c r="AB654" s="26">
        <v>6952</v>
      </c>
      <c r="AC654" s="26">
        <v>352</v>
      </c>
      <c r="AD654" s="26">
        <v>541</v>
      </c>
      <c r="AE654" s="27">
        <v>113538</v>
      </c>
      <c r="AF654" s="27">
        <v>5737</v>
      </c>
      <c r="AG654" s="28"/>
      <c r="AH654" s="28"/>
      <c r="AI654" s="17">
        <v>2004</v>
      </c>
      <c r="AJ654" s="17">
        <v>1</v>
      </c>
      <c r="AK654" s="17">
        <v>0</v>
      </c>
      <c r="AL654" s="17" t="s">
        <v>765</v>
      </c>
    </row>
    <row r="655" spans="1:38" ht="15.75" customHeight="1">
      <c r="A655" s="40" t="s">
        <v>766</v>
      </c>
      <c r="B655" s="19" t="s">
        <v>762</v>
      </c>
      <c r="C655" s="17">
        <v>65</v>
      </c>
      <c r="D655" s="19" t="s">
        <v>196</v>
      </c>
      <c r="E655" s="19">
        <v>0</v>
      </c>
      <c r="F655" s="19" t="s">
        <v>721</v>
      </c>
      <c r="G655" s="19" t="s">
        <v>677</v>
      </c>
      <c r="H655" s="19" t="s">
        <v>263</v>
      </c>
      <c r="I655" s="17" t="b">
        <v>1</v>
      </c>
      <c r="J655" s="17" t="s">
        <v>43</v>
      </c>
      <c r="K655" s="21" t="str">
        <f t="shared" si="18"/>
        <v>https://version2.ice-d.org/antarctica/sample/04-RDY-105-QZHL/</v>
      </c>
      <c r="L655" s="40" t="s">
        <v>39</v>
      </c>
      <c r="M655" s="155"/>
      <c r="O655" s="17" t="s">
        <v>722</v>
      </c>
      <c r="P655" s="22">
        <v>-85.910079999999994</v>
      </c>
      <c r="Q655" s="22">
        <v>-132.34531999999999</v>
      </c>
      <c r="R655" s="22">
        <v>20</v>
      </c>
      <c r="S655" s="22">
        <v>1310</v>
      </c>
      <c r="T655" s="17">
        <v>1000</v>
      </c>
      <c r="U655" s="23">
        <v>1200</v>
      </c>
      <c r="V655" s="23" t="s">
        <v>2107</v>
      </c>
      <c r="W655" s="44" t="s">
        <v>2430</v>
      </c>
      <c r="X655" s="22">
        <f t="shared" si="19"/>
        <v>310</v>
      </c>
      <c r="Y655" s="22">
        <v>7</v>
      </c>
      <c r="Z655" s="22">
        <v>2.65</v>
      </c>
      <c r="AA655" s="17" t="s">
        <v>73</v>
      </c>
      <c r="AB655" s="26">
        <v>11564</v>
      </c>
      <c r="AC655" s="26">
        <v>449</v>
      </c>
      <c r="AD655" s="26">
        <v>819</v>
      </c>
      <c r="AE655" s="27">
        <v>196351</v>
      </c>
      <c r="AF655" s="27">
        <v>7610</v>
      </c>
      <c r="AG655" s="28"/>
      <c r="AH655" s="28"/>
      <c r="AI655" s="17">
        <v>2004</v>
      </c>
      <c r="AJ655" s="17">
        <v>1</v>
      </c>
      <c r="AK655" s="17">
        <v>0</v>
      </c>
      <c r="AL655" s="17" t="s">
        <v>765</v>
      </c>
    </row>
    <row r="656" spans="1:38" ht="16.5" customHeight="1">
      <c r="A656" s="112" t="s">
        <v>767</v>
      </c>
      <c r="B656" s="19" t="s">
        <v>768</v>
      </c>
      <c r="C656" s="17">
        <v>66</v>
      </c>
      <c r="D656" s="19" t="s">
        <v>196</v>
      </c>
      <c r="E656" s="19">
        <v>0</v>
      </c>
      <c r="F656" s="19" t="s">
        <v>721</v>
      </c>
      <c r="G656" s="19" t="s">
        <v>677</v>
      </c>
      <c r="H656" s="19" t="s">
        <v>263</v>
      </c>
      <c r="I656" s="17" t="b">
        <v>1</v>
      </c>
      <c r="J656" s="17" t="s">
        <v>43</v>
      </c>
      <c r="K656" s="21" t="str">
        <f t="shared" si="18"/>
        <v>https://version2.ice-d.org/antarctica/sample/04-RDY-035-UNN/</v>
      </c>
      <c r="L656" s="63" t="s">
        <v>39</v>
      </c>
      <c r="M656" s="196" t="s">
        <v>44</v>
      </c>
      <c r="O656" s="28" t="s">
        <v>756</v>
      </c>
      <c r="P656" s="103">
        <v>-85.424430000000001</v>
      </c>
      <c r="Q656" s="103">
        <v>-135.88128</v>
      </c>
      <c r="R656" s="22"/>
      <c r="S656" s="103">
        <v>745</v>
      </c>
      <c r="T656" s="17">
        <v>712</v>
      </c>
      <c r="U656" s="23">
        <v>1200</v>
      </c>
      <c r="V656" s="23" t="s">
        <v>2107</v>
      </c>
      <c r="W656" s="44" t="s">
        <v>2430</v>
      </c>
      <c r="X656" s="22">
        <f t="shared" si="19"/>
        <v>33</v>
      </c>
      <c r="Y656" s="22">
        <v>6</v>
      </c>
      <c r="Z656" s="22">
        <v>2.65</v>
      </c>
      <c r="AA656" s="17" t="s">
        <v>73</v>
      </c>
      <c r="AB656" s="104">
        <v>516</v>
      </c>
      <c r="AC656" s="104">
        <v>58</v>
      </c>
      <c r="AD656" s="60">
        <v>66</v>
      </c>
      <c r="AE656" s="27">
        <v>5789</v>
      </c>
      <c r="AF656" s="27">
        <v>653</v>
      </c>
      <c r="AG656" s="28"/>
      <c r="AH656" s="28"/>
      <c r="AI656" s="17">
        <v>2004</v>
      </c>
      <c r="AJ656" s="17">
        <v>1</v>
      </c>
      <c r="AK656" s="17">
        <v>0</v>
      </c>
    </row>
    <row r="657" spans="1:37" ht="16.5" customHeight="1">
      <c r="A657" s="63" t="s">
        <v>769</v>
      </c>
      <c r="B657" s="19" t="s">
        <v>768</v>
      </c>
      <c r="C657" s="17">
        <v>66</v>
      </c>
      <c r="D657" s="19" t="s">
        <v>196</v>
      </c>
      <c r="E657" s="19">
        <v>0</v>
      </c>
      <c r="F657" s="19" t="s">
        <v>721</v>
      </c>
      <c r="G657" s="19" t="s">
        <v>677</v>
      </c>
      <c r="H657" s="19" t="s">
        <v>263</v>
      </c>
      <c r="I657" s="17" t="b">
        <v>1</v>
      </c>
      <c r="J657" s="17" t="s">
        <v>43</v>
      </c>
      <c r="K657" s="21" t="str">
        <f t="shared" si="18"/>
        <v>https://version2.ice-d.org/antarctica/sample/04-RDY-036-UNN/</v>
      </c>
      <c r="L657" s="63" t="s">
        <v>39</v>
      </c>
      <c r="M657" s="155"/>
      <c r="O657" s="28" t="s">
        <v>756</v>
      </c>
      <c r="P657" s="22">
        <v>-85.425899999999999</v>
      </c>
      <c r="Q657" s="22">
        <v>-135.88607999999999</v>
      </c>
      <c r="R657" s="22"/>
      <c r="S657" s="22">
        <v>773</v>
      </c>
      <c r="T657" s="17">
        <v>712</v>
      </c>
      <c r="U657" s="23">
        <v>1200</v>
      </c>
      <c r="V657" s="23" t="s">
        <v>2107</v>
      </c>
      <c r="W657" s="44" t="s">
        <v>2430</v>
      </c>
      <c r="X657" s="22">
        <f t="shared" si="19"/>
        <v>61</v>
      </c>
      <c r="Y657" s="22">
        <v>7.5</v>
      </c>
      <c r="Z657" s="22">
        <v>2.65</v>
      </c>
      <c r="AA657" s="17" t="s">
        <v>73</v>
      </c>
      <c r="AB657" s="26">
        <v>7144</v>
      </c>
      <c r="AC657" s="26">
        <v>172</v>
      </c>
      <c r="AD657" s="26">
        <v>456</v>
      </c>
      <c r="AE657" s="27">
        <v>78499</v>
      </c>
      <c r="AF657" s="27">
        <v>1882</v>
      </c>
      <c r="AG657" s="28"/>
      <c r="AH657" s="28"/>
      <c r="AI657" s="17">
        <v>2004</v>
      </c>
      <c r="AJ657" s="17">
        <v>1</v>
      </c>
      <c r="AK657" s="17">
        <v>0</v>
      </c>
    </row>
    <row r="658" spans="1:37" ht="16.5" customHeight="1">
      <c r="A658" s="63" t="s">
        <v>770</v>
      </c>
      <c r="B658" s="19" t="s">
        <v>768</v>
      </c>
      <c r="C658" s="17">
        <v>66</v>
      </c>
      <c r="D658" s="19" t="s">
        <v>196</v>
      </c>
      <c r="E658" s="19">
        <v>0</v>
      </c>
      <c r="F658" s="19" t="s">
        <v>721</v>
      </c>
      <c r="G658" s="19" t="s">
        <v>677</v>
      </c>
      <c r="H658" s="19" t="s">
        <v>263</v>
      </c>
      <c r="I658" s="17" t="b">
        <v>1</v>
      </c>
      <c r="J658" s="17" t="s">
        <v>43</v>
      </c>
      <c r="K658" s="21" t="str">
        <f t="shared" si="18"/>
        <v>https://version2.ice-d.org/antarctica/sample/04-RDY-037-UNN/</v>
      </c>
      <c r="L658" s="63" t="s">
        <v>39</v>
      </c>
      <c r="M658" s="155"/>
      <c r="O658" s="17" t="s">
        <v>756</v>
      </c>
      <c r="P658" s="22">
        <v>-85.426599999999993</v>
      </c>
      <c r="Q658" s="22">
        <v>-135.88468</v>
      </c>
      <c r="R658" s="22"/>
      <c r="S658" s="22">
        <v>773</v>
      </c>
      <c r="T658" s="17">
        <v>712</v>
      </c>
      <c r="U658" s="23">
        <v>1200</v>
      </c>
      <c r="V658" s="23" t="s">
        <v>2107</v>
      </c>
      <c r="W658" s="44" t="s">
        <v>2430</v>
      </c>
      <c r="X658" s="22">
        <f t="shared" si="19"/>
        <v>61</v>
      </c>
      <c r="Y658" s="22">
        <v>7.5</v>
      </c>
      <c r="Z658" s="22">
        <v>2.65</v>
      </c>
      <c r="AA658" s="17" t="s">
        <v>73</v>
      </c>
      <c r="AB658" s="26">
        <v>4034</v>
      </c>
      <c r="AC658" s="26">
        <v>122</v>
      </c>
      <c r="AD658" s="26">
        <v>268</v>
      </c>
      <c r="AE658" s="27">
        <v>44266</v>
      </c>
      <c r="AF658" s="27">
        <v>1339</v>
      </c>
      <c r="AG658" s="28"/>
      <c r="AH658" s="28"/>
      <c r="AI658" s="17">
        <v>2004</v>
      </c>
      <c r="AJ658" s="17">
        <v>1</v>
      </c>
      <c r="AK658" s="17">
        <v>0</v>
      </c>
    </row>
    <row r="659" spans="1:37" ht="16.5" customHeight="1">
      <c r="A659" s="63" t="s">
        <v>771</v>
      </c>
      <c r="B659" s="19" t="s">
        <v>768</v>
      </c>
      <c r="C659" s="17">
        <v>66</v>
      </c>
      <c r="D659" s="19" t="s">
        <v>196</v>
      </c>
      <c r="E659" s="19">
        <v>0</v>
      </c>
      <c r="F659" s="19" t="s">
        <v>721</v>
      </c>
      <c r="G659" s="19" t="s">
        <v>677</v>
      </c>
      <c r="H659" s="19" t="s">
        <v>263</v>
      </c>
      <c r="I659" s="17" t="b">
        <v>1</v>
      </c>
      <c r="J659" s="17" t="s">
        <v>43</v>
      </c>
      <c r="K659" s="21" t="str">
        <f t="shared" si="18"/>
        <v>https://version2.ice-d.org/antarctica/sample/04-RDY-038-UNN/</v>
      </c>
      <c r="L659" s="63" t="s">
        <v>39</v>
      </c>
      <c r="M659" s="155"/>
      <c r="O659" s="28" t="s">
        <v>756</v>
      </c>
      <c r="P659" s="22">
        <v>-85.428700000000006</v>
      </c>
      <c r="Q659" s="22">
        <v>-135.88933</v>
      </c>
      <c r="R659" s="22"/>
      <c r="S659" s="22">
        <v>810</v>
      </c>
      <c r="T659" s="17">
        <v>712</v>
      </c>
      <c r="U659" s="23">
        <v>1200</v>
      </c>
      <c r="V659" s="23" t="s">
        <v>2107</v>
      </c>
      <c r="W659" s="44" t="s">
        <v>2430</v>
      </c>
      <c r="X659" s="22">
        <f t="shared" si="19"/>
        <v>98</v>
      </c>
      <c r="Y659" s="22">
        <v>7</v>
      </c>
      <c r="Z659" s="22">
        <v>2.65</v>
      </c>
      <c r="AA659" s="17" t="s">
        <v>73</v>
      </c>
      <c r="AB659" s="26">
        <v>7057</v>
      </c>
      <c r="AC659" s="26">
        <v>176</v>
      </c>
      <c r="AD659" s="26">
        <v>453</v>
      </c>
      <c r="AE659" s="27">
        <v>80539</v>
      </c>
      <c r="AF659" s="27">
        <v>2001</v>
      </c>
      <c r="AG659" s="28"/>
      <c r="AH659" s="28"/>
      <c r="AI659" s="17">
        <v>2004</v>
      </c>
      <c r="AJ659" s="17">
        <v>1</v>
      </c>
      <c r="AK659" s="17">
        <v>0</v>
      </c>
    </row>
    <row r="660" spans="1:37" ht="16.5" customHeight="1">
      <c r="A660" s="63" t="s">
        <v>772</v>
      </c>
      <c r="B660" s="19" t="s">
        <v>768</v>
      </c>
      <c r="C660" s="17">
        <v>66</v>
      </c>
      <c r="D660" s="19" t="s">
        <v>196</v>
      </c>
      <c r="E660" s="19">
        <v>0</v>
      </c>
      <c r="F660" s="19" t="s">
        <v>721</v>
      </c>
      <c r="G660" s="19" t="s">
        <v>677</v>
      </c>
      <c r="H660" s="19" t="s">
        <v>263</v>
      </c>
      <c r="I660" s="17" t="b">
        <v>1</v>
      </c>
      <c r="J660" s="17" t="s">
        <v>43</v>
      </c>
      <c r="K660" s="21" t="str">
        <f t="shared" si="18"/>
        <v>https://version2.ice-d.org/antarctica/sample/04-RDY-039-UNN/</v>
      </c>
      <c r="L660" s="63" t="s">
        <v>39</v>
      </c>
      <c r="M660" s="155"/>
      <c r="O660" s="28" t="s">
        <v>756</v>
      </c>
      <c r="P660" s="22">
        <v>-85.428799999999995</v>
      </c>
      <c r="Q660" s="22">
        <v>-135.88901999999999</v>
      </c>
      <c r="R660" s="22"/>
      <c r="S660" s="22">
        <v>811</v>
      </c>
      <c r="T660" s="17">
        <v>712</v>
      </c>
      <c r="U660" s="23">
        <v>1200</v>
      </c>
      <c r="V660" s="23" t="s">
        <v>2107</v>
      </c>
      <c r="W660" s="44" t="s">
        <v>2430</v>
      </c>
      <c r="X660" s="22">
        <f t="shared" si="19"/>
        <v>99</v>
      </c>
      <c r="Y660" s="22">
        <v>5.5</v>
      </c>
      <c r="Z660" s="22">
        <v>2.65</v>
      </c>
      <c r="AA660" s="17" t="s">
        <v>73</v>
      </c>
      <c r="AB660" s="26">
        <v>6988</v>
      </c>
      <c r="AC660" s="26">
        <v>219</v>
      </c>
      <c r="AD660" s="26">
        <v>467</v>
      </c>
      <c r="AE660" s="27">
        <v>80751</v>
      </c>
      <c r="AF660" s="27">
        <v>2524</v>
      </c>
      <c r="AG660" s="28"/>
      <c r="AH660" s="28"/>
      <c r="AI660" s="17">
        <v>2004</v>
      </c>
      <c r="AJ660" s="17">
        <v>1</v>
      </c>
      <c r="AK660" s="17">
        <v>0</v>
      </c>
    </row>
    <row r="661" spans="1:37" ht="16.5" customHeight="1">
      <c r="A661" s="63" t="s">
        <v>773</v>
      </c>
      <c r="B661" s="19" t="s">
        <v>768</v>
      </c>
      <c r="C661" s="17">
        <v>66</v>
      </c>
      <c r="D661" s="19" t="s">
        <v>196</v>
      </c>
      <c r="E661" s="19">
        <v>0</v>
      </c>
      <c r="F661" s="19" t="s">
        <v>721</v>
      </c>
      <c r="G661" s="19" t="s">
        <v>677</v>
      </c>
      <c r="H661" s="19" t="s">
        <v>263</v>
      </c>
      <c r="I661" s="17" t="b">
        <v>1</v>
      </c>
      <c r="J661" s="17" t="s">
        <v>43</v>
      </c>
      <c r="K661" s="21" t="str">
        <f t="shared" si="18"/>
        <v>https://version2.ice-d.org/antarctica/sample/04-RDY-040-UNN/</v>
      </c>
      <c r="L661" s="63" t="s">
        <v>39</v>
      </c>
      <c r="M661" s="155"/>
      <c r="O661" s="28" t="s">
        <v>756</v>
      </c>
      <c r="P661" s="22">
        <v>-85.435199999999995</v>
      </c>
      <c r="Q661" s="22">
        <v>-135.93548000000001</v>
      </c>
      <c r="R661" s="22"/>
      <c r="S661" s="22">
        <v>896</v>
      </c>
      <c r="T661" s="17">
        <v>712</v>
      </c>
      <c r="U661" s="23">
        <v>1200</v>
      </c>
      <c r="V661" s="23" t="s">
        <v>2107</v>
      </c>
      <c r="W661" s="44" t="s">
        <v>2430</v>
      </c>
      <c r="X661" s="22">
        <f t="shared" si="19"/>
        <v>184</v>
      </c>
      <c r="Y661" s="22">
        <v>4.5</v>
      </c>
      <c r="Z661" s="22">
        <v>2.65</v>
      </c>
      <c r="AA661" s="17" t="s">
        <v>73</v>
      </c>
      <c r="AB661" s="26">
        <v>7235</v>
      </c>
      <c r="AC661" s="26">
        <v>173</v>
      </c>
      <c r="AD661" s="26">
        <v>461</v>
      </c>
      <c r="AE661" s="27">
        <v>91260</v>
      </c>
      <c r="AF661" s="27">
        <v>2182</v>
      </c>
      <c r="AG661" s="28"/>
      <c r="AH661" s="28"/>
      <c r="AI661" s="17">
        <v>2004</v>
      </c>
      <c r="AJ661" s="17">
        <v>1</v>
      </c>
      <c r="AK661" s="17">
        <v>0</v>
      </c>
    </row>
    <row r="662" spans="1:37" ht="16.5" customHeight="1">
      <c r="A662" s="63" t="s">
        <v>774</v>
      </c>
      <c r="B662" s="19" t="s">
        <v>768</v>
      </c>
      <c r="C662" s="17">
        <v>66</v>
      </c>
      <c r="D662" s="19" t="s">
        <v>196</v>
      </c>
      <c r="E662" s="19">
        <v>0</v>
      </c>
      <c r="F662" s="19" t="s">
        <v>721</v>
      </c>
      <c r="G662" s="19" t="s">
        <v>677</v>
      </c>
      <c r="H662" s="19" t="s">
        <v>263</v>
      </c>
      <c r="I662" s="17" t="b">
        <v>1</v>
      </c>
      <c r="J662" s="17" t="s">
        <v>43</v>
      </c>
      <c r="K662" s="21" t="str">
        <f t="shared" si="18"/>
        <v>https://version2.ice-d.org/antarctica/sample/04-RDY-041-UNN/</v>
      </c>
      <c r="L662" s="63" t="s">
        <v>39</v>
      </c>
      <c r="M662" s="155"/>
      <c r="O662" s="28" t="s">
        <v>756</v>
      </c>
      <c r="P662" s="22">
        <v>-85.435220000000001</v>
      </c>
      <c r="Q662" s="22">
        <v>-135.93656999999999</v>
      </c>
      <c r="R662" s="22"/>
      <c r="S662" s="22">
        <v>898</v>
      </c>
      <c r="T662" s="17">
        <v>712</v>
      </c>
      <c r="U662" s="23">
        <v>1200</v>
      </c>
      <c r="V662" s="23" t="s">
        <v>2107</v>
      </c>
      <c r="W662" s="44" t="s">
        <v>2430</v>
      </c>
      <c r="X662" s="22">
        <f t="shared" si="19"/>
        <v>186</v>
      </c>
      <c r="Y662" s="22">
        <v>6</v>
      </c>
      <c r="Z662" s="22">
        <v>2.65</v>
      </c>
      <c r="AA662" s="17" t="s">
        <v>73</v>
      </c>
      <c r="AB662" s="26">
        <v>7651</v>
      </c>
      <c r="AC662" s="26">
        <v>183</v>
      </c>
      <c r="AD662" s="26">
        <v>488</v>
      </c>
      <c r="AE662" s="27">
        <v>95902</v>
      </c>
      <c r="AF662" s="27">
        <v>2288</v>
      </c>
      <c r="AG662" s="28"/>
      <c r="AH662" s="28"/>
      <c r="AI662" s="17">
        <v>2004</v>
      </c>
      <c r="AJ662" s="17">
        <v>1</v>
      </c>
      <c r="AK662" s="17">
        <v>0</v>
      </c>
    </row>
    <row r="663" spans="1:37" ht="16.5" customHeight="1">
      <c r="A663" s="63" t="s">
        <v>775</v>
      </c>
      <c r="B663" s="19" t="s">
        <v>768</v>
      </c>
      <c r="C663" s="17">
        <v>66</v>
      </c>
      <c r="D663" s="19" t="s">
        <v>196</v>
      </c>
      <c r="E663" s="19">
        <v>0</v>
      </c>
      <c r="F663" s="19" t="s">
        <v>721</v>
      </c>
      <c r="G663" s="19" t="s">
        <v>677</v>
      </c>
      <c r="H663" s="19" t="s">
        <v>263</v>
      </c>
      <c r="I663" s="17" t="b">
        <v>1</v>
      </c>
      <c r="J663" s="17" t="s">
        <v>43</v>
      </c>
      <c r="K663" s="21" t="str">
        <f t="shared" si="18"/>
        <v>https://version2.ice-d.org/antarctica/sample/04-RDY-042-UNN/</v>
      </c>
      <c r="L663" s="63" t="s">
        <v>39</v>
      </c>
      <c r="M663" s="155"/>
      <c r="O663" s="28" t="s">
        <v>756</v>
      </c>
      <c r="P663" s="22">
        <v>-85.435329999999993</v>
      </c>
      <c r="Q663" s="22">
        <v>-135.94978</v>
      </c>
      <c r="R663" s="22"/>
      <c r="S663" s="22">
        <v>896</v>
      </c>
      <c r="T663" s="17">
        <v>712</v>
      </c>
      <c r="U663" s="23">
        <v>1200</v>
      </c>
      <c r="V663" s="23" t="s">
        <v>2107</v>
      </c>
      <c r="W663" s="44" t="s">
        <v>2430</v>
      </c>
      <c r="X663" s="22">
        <f t="shared" si="19"/>
        <v>184</v>
      </c>
      <c r="Y663" s="22">
        <v>7</v>
      </c>
      <c r="Z663" s="22">
        <v>2.65</v>
      </c>
      <c r="AA663" s="17" t="s">
        <v>73</v>
      </c>
      <c r="AB663" s="26">
        <v>7440</v>
      </c>
      <c r="AC663" s="26">
        <v>177</v>
      </c>
      <c r="AD663" s="26">
        <v>474</v>
      </c>
      <c r="AE663" s="27">
        <v>92175</v>
      </c>
      <c r="AF663" s="27">
        <v>2191</v>
      </c>
      <c r="AG663" s="28"/>
      <c r="AH663" s="28"/>
      <c r="AI663" s="17">
        <v>2004</v>
      </c>
      <c r="AJ663" s="17">
        <v>1</v>
      </c>
      <c r="AK663" s="17">
        <v>0</v>
      </c>
    </row>
    <row r="664" spans="1:37" ht="16.5" customHeight="1">
      <c r="A664" s="50" t="s">
        <v>776</v>
      </c>
      <c r="B664" s="19" t="s">
        <v>777</v>
      </c>
      <c r="C664" s="17">
        <v>66</v>
      </c>
      <c r="D664" s="19" t="s">
        <v>196</v>
      </c>
      <c r="E664" s="19">
        <v>0</v>
      </c>
      <c r="F664" s="19" t="s">
        <v>721</v>
      </c>
      <c r="G664" s="19" t="s">
        <v>677</v>
      </c>
      <c r="H664" s="19" t="s">
        <v>263</v>
      </c>
      <c r="I664" s="17" t="b">
        <v>1</v>
      </c>
      <c r="J664" s="17" t="s">
        <v>43</v>
      </c>
      <c r="K664" s="21" t="str">
        <f t="shared" si="18"/>
        <v>https://version2.ice-d.org/antarctica/sample/04-RDY-059-RCN/</v>
      </c>
      <c r="L664" s="50" t="s">
        <v>39</v>
      </c>
      <c r="M664" s="188" t="s">
        <v>44</v>
      </c>
      <c r="O664" s="28" t="s">
        <v>756</v>
      </c>
      <c r="P664" s="22">
        <v>-85.459069999999997</v>
      </c>
      <c r="Q664" s="22">
        <v>-136.31717</v>
      </c>
      <c r="R664" s="22"/>
      <c r="S664" s="22">
        <v>908</v>
      </c>
      <c r="T664" s="17">
        <v>771</v>
      </c>
      <c r="U664" s="23">
        <v>1200</v>
      </c>
      <c r="V664" s="23" t="s">
        <v>2107</v>
      </c>
      <c r="W664" s="44" t="s">
        <v>2430</v>
      </c>
      <c r="X664" s="22">
        <f t="shared" si="19"/>
        <v>137</v>
      </c>
      <c r="Y664" s="22">
        <v>7</v>
      </c>
      <c r="Z664" s="22">
        <v>2.65</v>
      </c>
      <c r="AA664" s="17" t="s">
        <v>73</v>
      </c>
      <c r="AB664" s="26">
        <v>8084</v>
      </c>
      <c r="AC664" s="26">
        <v>191</v>
      </c>
      <c r="AD664" s="26">
        <v>515</v>
      </c>
      <c r="AE664" s="27">
        <v>101526</v>
      </c>
      <c r="AF664" s="27">
        <v>2396</v>
      </c>
      <c r="AG664" s="28"/>
      <c r="AH664" s="28"/>
      <c r="AI664" s="17">
        <v>2004</v>
      </c>
      <c r="AJ664" s="17">
        <v>1</v>
      </c>
      <c r="AK664" s="17">
        <v>0</v>
      </c>
    </row>
    <row r="665" spans="1:37" ht="16.5" customHeight="1">
      <c r="A665" s="50" t="s">
        <v>778</v>
      </c>
      <c r="B665" s="19" t="s">
        <v>777</v>
      </c>
      <c r="C665" s="17">
        <v>66</v>
      </c>
      <c r="D665" s="19" t="s">
        <v>196</v>
      </c>
      <c r="E665" s="19">
        <v>0</v>
      </c>
      <c r="F665" s="19" t="s">
        <v>721</v>
      </c>
      <c r="G665" s="19" t="s">
        <v>677</v>
      </c>
      <c r="H665" s="19" t="s">
        <v>263</v>
      </c>
      <c r="I665" s="17" t="b">
        <v>1</v>
      </c>
      <c r="J665" s="17" t="s">
        <v>43</v>
      </c>
      <c r="K665" s="21" t="str">
        <f t="shared" si="18"/>
        <v>https://version2.ice-d.org/antarctica/sample/04-RDY-061-RCN/</v>
      </c>
      <c r="L665" s="50" t="s">
        <v>39</v>
      </c>
      <c r="M665" s="155"/>
      <c r="O665" s="28" t="s">
        <v>756</v>
      </c>
      <c r="P665" s="22">
        <v>-85.461519999999993</v>
      </c>
      <c r="Q665" s="22">
        <v>-136.24396999999999</v>
      </c>
      <c r="R665" s="22"/>
      <c r="S665" s="22">
        <v>853</v>
      </c>
      <c r="T665" s="17">
        <v>771</v>
      </c>
      <c r="U665" s="23">
        <v>1200</v>
      </c>
      <c r="V665" s="23" t="s">
        <v>2107</v>
      </c>
      <c r="W665" s="44" t="s">
        <v>2430</v>
      </c>
      <c r="X665" s="22">
        <f t="shared" si="19"/>
        <v>82</v>
      </c>
      <c r="Y665" s="22">
        <v>6</v>
      </c>
      <c r="Z665" s="22">
        <v>2.65</v>
      </c>
      <c r="AA665" s="17" t="s">
        <v>73</v>
      </c>
      <c r="AB665" s="26">
        <v>7456</v>
      </c>
      <c r="AC665" s="26">
        <v>219</v>
      </c>
      <c r="AD665" s="26">
        <v>492</v>
      </c>
      <c r="AE665" s="27">
        <v>89570</v>
      </c>
      <c r="AF665" s="27">
        <v>2626</v>
      </c>
      <c r="AG665" s="28"/>
      <c r="AH665" s="28"/>
      <c r="AI665" s="17">
        <v>2004</v>
      </c>
      <c r="AJ665" s="17">
        <v>1</v>
      </c>
      <c r="AK665" s="17">
        <v>0</v>
      </c>
    </row>
    <row r="666" spans="1:37" ht="15.75" customHeight="1">
      <c r="A666" s="50" t="s">
        <v>779</v>
      </c>
      <c r="B666" s="19" t="s">
        <v>777</v>
      </c>
      <c r="C666" s="17">
        <v>66</v>
      </c>
      <c r="D666" s="19" t="s">
        <v>196</v>
      </c>
      <c r="E666" s="19">
        <v>0</v>
      </c>
      <c r="F666" s="19" t="s">
        <v>721</v>
      </c>
      <c r="G666" s="19" t="s">
        <v>677</v>
      </c>
      <c r="H666" s="19" t="s">
        <v>263</v>
      </c>
      <c r="I666" s="17" t="b">
        <v>1</v>
      </c>
      <c r="J666" s="17" t="s">
        <v>43</v>
      </c>
      <c r="K666" s="21" t="str">
        <f t="shared" si="18"/>
        <v>https://version2.ice-d.org/antarctica/sample/04-RDY-064-RCN/</v>
      </c>
      <c r="L666" s="50" t="s">
        <v>39</v>
      </c>
      <c r="M666" s="155"/>
      <c r="O666" s="28" t="s">
        <v>756</v>
      </c>
      <c r="P666" s="22">
        <v>-85.463269999999994</v>
      </c>
      <c r="Q666" s="22">
        <v>-136.2303</v>
      </c>
      <c r="R666" s="22"/>
      <c r="S666" s="22">
        <v>806</v>
      </c>
      <c r="T666" s="17">
        <v>771</v>
      </c>
      <c r="U666" s="23">
        <v>1200</v>
      </c>
      <c r="V666" s="23" t="s">
        <v>2107</v>
      </c>
      <c r="W666" s="44" t="s">
        <v>2430</v>
      </c>
      <c r="X666" s="22">
        <f t="shared" si="19"/>
        <v>35</v>
      </c>
      <c r="Y666" s="22">
        <v>6.5</v>
      </c>
      <c r="Z666" s="22">
        <v>2.65</v>
      </c>
      <c r="AA666" s="17" t="s">
        <v>73</v>
      </c>
      <c r="AB666" s="26">
        <v>6671</v>
      </c>
      <c r="AC666" s="26">
        <v>219</v>
      </c>
      <c r="AD666" s="26">
        <v>451</v>
      </c>
      <c r="AE666" s="27">
        <v>76008</v>
      </c>
      <c r="AF666" s="27">
        <v>2488</v>
      </c>
      <c r="AG666" s="28"/>
      <c r="AH666" s="28"/>
      <c r="AI666" s="17">
        <v>2004</v>
      </c>
      <c r="AJ666" s="17">
        <v>1</v>
      </c>
      <c r="AK666" s="17">
        <v>0</v>
      </c>
    </row>
    <row r="667" spans="1:37" ht="15.75" customHeight="1">
      <c r="A667" s="113" t="s">
        <v>780</v>
      </c>
      <c r="B667" s="19" t="s">
        <v>781</v>
      </c>
      <c r="C667" s="17">
        <v>66</v>
      </c>
      <c r="D667" s="19" t="s">
        <v>196</v>
      </c>
      <c r="E667" s="19">
        <v>0</v>
      </c>
      <c r="F667" s="19" t="s">
        <v>721</v>
      </c>
      <c r="G667" s="19" t="s">
        <v>677</v>
      </c>
      <c r="H667" s="19" t="s">
        <v>263</v>
      </c>
      <c r="I667" s="17" t="b">
        <v>1</v>
      </c>
      <c r="J667" s="17" t="s">
        <v>43</v>
      </c>
      <c r="K667" s="21" t="str">
        <f t="shared" si="18"/>
        <v>https://version2.ice-d.org/antarctica/sample/04-RDY-074-LNG/</v>
      </c>
      <c r="L667" s="113" t="s">
        <v>39</v>
      </c>
      <c r="M667" s="182" t="s">
        <v>44</v>
      </c>
      <c r="O667" s="28" t="s">
        <v>756</v>
      </c>
      <c r="P667" s="22">
        <v>-85.546379999999999</v>
      </c>
      <c r="Q667" s="22">
        <v>-135.3648</v>
      </c>
      <c r="R667" s="22"/>
      <c r="S667" s="22">
        <v>1060</v>
      </c>
      <c r="T667" s="17">
        <v>961</v>
      </c>
      <c r="U667" s="23">
        <v>1200</v>
      </c>
      <c r="V667" s="23" t="s">
        <v>2107</v>
      </c>
      <c r="W667" s="44" t="s">
        <v>2430</v>
      </c>
      <c r="X667" s="22">
        <f t="shared" si="19"/>
        <v>99</v>
      </c>
      <c r="Y667" s="22">
        <v>6</v>
      </c>
      <c r="Z667" s="22">
        <v>2.65</v>
      </c>
      <c r="AA667" s="17" t="s">
        <v>73</v>
      </c>
      <c r="AB667" s="26">
        <v>7697</v>
      </c>
      <c r="AC667" s="26">
        <v>224</v>
      </c>
      <c r="AD667" s="26">
        <v>507</v>
      </c>
      <c r="AE667" s="27">
        <v>111485</v>
      </c>
      <c r="AF667" s="27">
        <v>3241</v>
      </c>
      <c r="AG667" s="28"/>
      <c r="AH667" s="28"/>
      <c r="AI667" s="17">
        <v>2004</v>
      </c>
      <c r="AJ667" s="17">
        <v>1</v>
      </c>
      <c r="AK667" s="17">
        <v>0</v>
      </c>
    </row>
    <row r="668" spans="1:37" ht="15.75" customHeight="1">
      <c r="A668" s="113" t="s">
        <v>782</v>
      </c>
      <c r="B668" s="19" t="s">
        <v>781</v>
      </c>
      <c r="C668" s="17">
        <v>66</v>
      </c>
      <c r="D668" s="19" t="s">
        <v>196</v>
      </c>
      <c r="E668" s="19">
        <v>0</v>
      </c>
      <c r="F668" s="19" t="s">
        <v>721</v>
      </c>
      <c r="G668" s="19" t="s">
        <v>677</v>
      </c>
      <c r="H668" s="19" t="s">
        <v>263</v>
      </c>
      <c r="I668" s="17" t="b">
        <v>1</v>
      </c>
      <c r="J668" s="17" t="s">
        <v>43</v>
      </c>
      <c r="K668" s="21" t="str">
        <f t="shared" si="18"/>
        <v>https://version2.ice-d.org/antarctica/sample/04-RDY-076-LNG/</v>
      </c>
      <c r="L668" s="113" t="s">
        <v>39</v>
      </c>
      <c r="M668" s="155"/>
      <c r="O668" s="28" t="s">
        <v>756</v>
      </c>
      <c r="P668" s="22">
        <v>-85.546419999999998</v>
      </c>
      <c r="Q668" s="22">
        <v>-135.37514999999999</v>
      </c>
      <c r="R668" s="22"/>
      <c r="S668" s="22">
        <v>1050</v>
      </c>
      <c r="T668" s="17">
        <v>961</v>
      </c>
      <c r="U668" s="23">
        <v>1200</v>
      </c>
      <c r="V668" s="23" t="s">
        <v>2107</v>
      </c>
      <c r="W668" s="44" t="s">
        <v>2430</v>
      </c>
      <c r="X668" s="22">
        <f t="shared" si="19"/>
        <v>89</v>
      </c>
      <c r="Y668" s="22">
        <v>5</v>
      </c>
      <c r="Z668" s="22">
        <v>2.65</v>
      </c>
      <c r="AA668" s="17" t="s">
        <v>73</v>
      </c>
      <c r="AB668" s="26">
        <v>7916</v>
      </c>
      <c r="AC668" s="26">
        <v>195</v>
      </c>
      <c r="AD668" s="26">
        <v>507</v>
      </c>
      <c r="AE668" s="27">
        <v>114372</v>
      </c>
      <c r="AF668" s="27">
        <v>2814</v>
      </c>
      <c r="AG668" s="28"/>
      <c r="AH668" s="28"/>
      <c r="AI668" s="17">
        <v>2004</v>
      </c>
      <c r="AJ668" s="17">
        <v>1</v>
      </c>
      <c r="AK668" s="17">
        <v>0</v>
      </c>
    </row>
    <row r="669" spans="1:37" ht="15.75" customHeight="1">
      <c r="A669" s="18" t="s">
        <v>783</v>
      </c>
      <c r="B669" s="19" t="s">
        <v>784</v>
      </c>
      <c r="C669" s="17">
        <v>67</v>
      </c>
      <c r="D669" s="19" t="s">
        <v>196</v>
      </c>
      <c r="E669" s="19">
        <v>0</v>
      </c>
      <c r="F669" s="19" t="s">
        <v>721</v>
      </c>
      <c r="G669" s="19" t="s">
        <v>677</v>
      </c>
      <c r="H669" s="19" t="s">
        <v>263</v>
      </c>
      <c r="I669" s="17" t="b">
        <v>1</v>
      </c>
      <c r="J669" s="17" t="s">
        <v>43</v>
      </c>
      <c r="K669" s="21" t="str">
        <f t="shared" si="18"/>
        <v>https://version2.ice-d.org/antarctica/sample/04-RDY-157-PGN/</v>
      </c>
      <c r="L669" s="18" t="s">
        <v>148</v>
      </c>
      <c r="M669" s="197" t="s">
        <v>785</v>
      </c>
      <c r="N669" s="17" t="s">
        <v>39</v>
      </c>
      <c r="O669" s="17" t="s">
        <v>722</v>
      </c>
      <c r="P669" s="22">
        <v>-86.010130000000004</v>
      </c>
      <c r="Q669" s="22">
        <v>-126.24988</v>
      </c>
      <c r="R669" s="22"/>
      <c r="S669" s="22">
        <v>1660</v>
      </c>
      <c r="T669" s="17">
        <v>1585</v>
      </c>
      <c r="U669" s="23">
        <v>1200</v>
      </c>
      <c r="V669" s="23" t="s">
        <v>2107</v>
      </c>
      <c r="W669" s="44" t="s">
        <v>2430</v>
      </c>
      <c r="X669" s="22">
        <f t="shared" si="19"/>
        <v>75</v>
      </c>
      <c r="Y669" s="22">
        <v>5</v>
      </c>
      <c r="Z669" s="22">
        <v>2.65</v>
      </c>
      <c r="AA669" s="17" t="s">
        <v>73</v>
      </c>
      <c r="AB669" s="26">
        <v>6613</v>
      </c>
      <c r="AC669" s="26">
        <v>613</v>
      </c>
      <c r="AD669" s="26">
        <v>727</v>
      </c>
      <c r="AE669" s="27">
        <v>159519</v>
      </c>
      <c r="AF669" s="27">
        <v>14751</v>
      </c>
      <c r="AG669" s="28"/>
      <c r="AH669" s="28"/>
      <c r="AI669" s="17">
        <v>2004</v>
      </c>
      <c r="AJ669" s="17">
        <v>1</v>
      </c>
      <c r="AK669" s="17">
        <v>0</v>
      </c>
    </row>
    <row r="670" spans="1:37" ht="15.75" customHeight="1">
      <c r="A670" s="18" t="s">
        <v>786</v>
      </c>
      <c r="B670" s="19" t="s">
        <v>784</v>
      </c>
      <c r="C670" s="17">
        <v>67</v>
      </c>
      <c r="D670" s="19" t="s">
        <v>196</v>
      </c>
      <c r="E670" s="19">
        <v>0</v>
      </c>
      <c r="F670" s="19" t="s">
        <v>721</v>
      </c>
      <c r="G670" s="19" t="s">
        <v>677</v>
      </c>
      <c r="H670" s="19" t="s">
        <v>263</v>
      </c>
      <c r="I670" s="17" t="b">
        <v>1</v>
      </c>
      <c r="J670" s="17" t="s">
        <v>43</v>
      </c>
      <c r="K670" s="21" t="str">
        <f t="shared" si="18"/>
        <v>https://version2.ice-d.org/antarctica/sample/04-RDY-160-PGN/</v>
      </c>
      <c r="L670" s="18" t="s">
        <v>148</v>
      </c>
      <c r="M670" s="155"/>
      <c r="N670" s="17" t="s">
        <v>39</v>
      </c>
      <c r="O670" s="17" t="s">
        <v>722</v>
      </c>
      <c r="P670" s="22">
        <v>-86.011449999999996</v>
      </c>
      <c r="Q670" s="22">
        <v>-126.25897999999999</v>
      </c>
      <c r="R670" s="22"/>
      <c r="S670" s="22">
        <v>1657</v>
      </c>
      <c r="T670" s="17">
        <v>1585</v>
      </c>
      <c r="U670" s="23">
        <v>1200</v>
      </c>
      <c r="V670" s="23" t="s">
        <v>2107</v>
      </c>
      <c r="W670" s="44" t="s">
        <v>2430</v>
      </c>
      <c r="X670" s="22">
        <f t="shared" si="19"/>
        <v>72</v>
      </c>
      <c r="Y670" s="22">
        <v>5.5</v>
      </c>
      <c r="Z670" s="22">
        <v>2.65</v>
      </c>
      <c r="AA670" s="17" t="s">
        <v>73</v>
      </c>
      <c r="AB670" s="26">
        <v>5300</v>
      </c>
      <c r="AC670" s="26">
        <v>325</v>
      </c>
      <c r="AD670" s="26">
        <v>451</v>
      </c>
      <c r="AE670" s="27">
        <v>126079</v>
      </c>
      <c r="AF670" s="27">
        <v>7717</v>
      </c>
      <c r="AG670" s="28"/>
      <c r="AH670" s="28"/>
      <c r="AI670" s="17">
        <v>2004</v>
      </c>
      <c r="AJ670" s="17">
        <v>1</v>
      </c>
      <c r="AK670" s="17">
        <v>0</v>
      </c>
    </row>
    <row r="671" spans="1:37" ht="15.75" customHeight="1">
      <c r="A671" s="29" t="s">
        <v>787</v>
      </c>
      <c r="B671" s="19" t="s">
        <v>788</v>
      </c>
      <c r="C671" s="17">
        <v>67</v>
      </c>
      <c r="D671" s="19" t="s">
        <v>196</v>
      </c>
      <c r="E671" s="19">
        <v>0</v>
      </c>
      <c r="F671" s="19" t="s">
        <v>721</v>
      </c>
      <c r="G671" s="19" t="s">
        <v>677</v>
      </c>
      <c r="H671" s="19" t="s">
        <v>263</v>
      </c>
      <c r="I671" s="17" t="b">
        <v>1</v>
      </c>
      <c r="J671" s="17" t="s">
        <v>43</v>
      </c>
      <c r="K671" s="21" t="str">
        <f t="shared" si="18"/>
        <v>https://version2.ice-d.org/antarctica/sample/04-RDY-168-MIM/</v>
      </c>
      <c r="L671" s="29" t="s">
        <v>39</v>
      </c>
      <c r="M671" s="29" t="s">
        <v>44</v>
      </c>
      <c r="O671" s="28" t="s">
        <v>789</v>
      </c>
      <c r="P671" s="22">
        <v>-86.042500000000004</v>
      </c>
      <c r="Q671" s="22">
        <v>-125.74312999999999</v>
      </c>
      <c r="R671" s="22"/>
      <c r="S671" s="22">
        <v>1924</v>
      </c>
      <c r="T671" s="17">
        <v>1610</v>
      </c>
      <c r="U671" s="23">
        <v>1200</v>
      </c>
      <c r="V671" s="23" t="s">
        <v>2107</v>
      </c>
      <c r="W671" s="44" t="s">
        <v>2430</v>
      </c>
      <c r="X671" s="22">
        <f t="shared" si="19"/>
        <v>314</v>
      </c>
      <c r="Y671" s="22">
        <v>7.5</v>
      </c>
      <c r="Z671" s="22">
        <v>2.65</v>
      </c>
      <c r="AA671" s="17" t="s">
        <v>73</v>
      </c>
      <c r="AB671" s="26">
        <v>8717</v>
      </c>
      <c r="AC671" s="26">
        <v>424</v>
      </c>
      <c r="AD671" s="26">
        <v>668</v>
      </c>
      <c r="AE671" s="27">
        <v>254975</v>
      </c>
      <c r="AF671" s="27">
        <v>12390</v>
      </c>
      <c r="AG671" s="28"/>
      <c r="AH671" s="28"/>
      <c r="AI671" s="17">
        <v>2004</v>
      </c>
      <c r="AJ671" s="17">
        <v>1</v>
      </c>
      <c r="AK671" s="17">
        <v>0</v>
      </c>
    </row>
    <row r="672" spans="1:37" ht="15.75" customHeight="1">
      <c r="A672" s="29" t="s">
        <v>790</v>
      </c>
      <c r="B672" s="19" t="s">
        <v>788</v>
      </c>
      <c r="C672" s="17">
        <v>67</v>
      </c>
      <c r="D672" s="19" t="s">
        <v>196</v>
      </c>
      <c r="E672" s="19">
        <v>0</v>
      </c>
      <c r="F672" s="19" t="s">
        <v>721</v>
      </c>
      <c r="G672" s="19" t="s">
        <v>677</v>
      </c>
      <c r="H672" s="19" t="s">
        <v>263</v>
      </c>
      <c r="I672" s="17" t="b">
        <v>1</v>
      </c>
      <c r="J672" s="17" t="s">
        <v>43</v>
      </c>
      <c r="K672" s="21" t="str">
        <f t="shared" si="18"/>
        <v>https://version2.ice-d.org/antarctica/sample/04-RDY-169-MIM/</v>
      </c>
      <c r="L672" s="29" t="s">
        <v>39</v>
      </c>
      <c r="M672" s="29"/>
      <c r="O672" s="28" t="s">
        <v>789</v>
      </c>
      <c r="P672" s="22">
        <v>-86.042469999999994</v>
      </c>
      <c r="Q672" s="22">
        <v>-125.74424999999999</v>
      </c>
      <c r="R672" s="22"/>
      <c r="S672" s="22">
        <v>1923</v>
      </c>
      <c r="T672" s="17">
        <v>1610</v>
      </c>
      <c r="U672" s="23">
        <v>1200</v>
      </c>
      <c r="V672" s="23" t="s">
        <v>2107</v>
      </c>
      <c r="W672" s="44" t="s">
        <v>2430</v>
      </c>
      <c r="X672" s="22">
        <f t="shared" si="19"/>
        <v>313</v>
      </c>
      <c r="Y672" s="22">
        <v>3.5</v>
      </c>
      <c r="Z672" s="22">
        <v>2.65</v>
      </c>
      <c r="AA672" s="17" t="s">
        <v>73</v>
      </c>
      <c r="AB672" s="26">
        <v>8695</v>
      </c>
      <c r="AC672" s="26">
        <v>397</v>
      </c>
      <c r="AD672" s="26">
        <v>649</v>
      </c>
      <c r="AE672" s="27">
        <v>260766</v>
      </c>
      <c r="AF672" s="27">
        <v>11867</v>
      </c>
      <c r="AG672" s="28"/>
      <c r="AH672" s="28"/>
      <c r="AI672" s="17">
        <v>2004</v>
      </c>
      <c r="AJ672" s="17">
        <v>1</v>
      </c>
      <c r="AK672" s="17">
        <v>0</v>
      </c>
    </row>
    <row r="673" spans="1:38" ht="15.75" customHeight="1">
      <c r="A673" s="29" t="s">
        <v>791</v>
      </c>
      <c r="B673" s="19" t="s">
        <v>788</v>
      </c>
      <c r="C673" s="17">
        <v>67</v>
      </c>
      <c r="D673" s="19" t="s">
        <v>196</v>
      </c>
      <c r="E673" s="19">
        <v>0</v>
      </c>
      <c r="F673" s="19" t="s">
        <v>721</v>
      </c>
      <c r="G673" s="19" t="s">
        <v>677</v>
      </c>
      <c r="H673" s="19" t="s">
        <v>263</v>
      </c>
      <c r="I673" s="17" t="b">
        <v>1</v>
      </c>
      <c r="J673" s="17" t="s">
        <v>43</v>
      </c>
      <c r="K673" s="21" t="str">
        <f t="shared" si="18"/>
        <v>https://version2.ice-d.org/antarctica/sample/04-RDY-170-MIM/</v>
      </c>
      <c r="L673" s="29" t="s">
        <v>39</v>
      </c>
      <c r="M673" s="29"/>
      <c r="O673" s="28" t="s">
        <v>789</v>
      </c>
      <c r="P673" s="22">
        <v>-86.042370000000005</v>
      </c>
      <c r="Q673" s="22">
        <v>-125.74607</v>
      </c>
      <c r="R673" s="22"/>
      <c r="S673" s="22">
        <v>1917</v>
      </c>
      <c r="T673" s="17">
        <v>1610</v>
      </c>
      <c r="U673" s="23">
        <v>1200</v>
      </c>
      <c r="V673" s="23" t="s">
        <v>2107</v>
      </c>
      <c r="W673" s="44" t="s">
        <v>2430</v>
      </c>
      <c r="X673" s="22">
        <f t="shared" si="19"/>
        <v>307</v>
      </c>
      <c r="Y673" s="22">
        <v>8.5</v>
      </c>
      <c r="Z673" s="22">
        <v>2.65</v>
      </c>
      <c r="AA673" s="17" t="s">
        <v>73</v>
      </c>
      <c r="AB673" s="26">
        <v>8963</v>
      </c>
      <c r="AC673" s="26">
        <v>447</v>
      </c>
      <c r="AD673" s="26">
        <v>693</v>
      </c>
      <c r="AE673" s="27">
        <v>258466</v>
      </c>
      <c r="AF673" s="27">
        <v>12856</v>
      </c>
      <c r="AG673" s="28"/>
      <c r="AH673" s="28"/>
      <c r="AI673" s="17">
        <v>2004</v>
      </c>
      <c r="AJ673" s="17">
        <v>1</v>
      </c>
      <c r="AK673" s="17">
        <v>0</v>
      </c>
    </row>
    <row r="674" spans="1:38" ht="15.75" customHeight="1">
      <c r="A674" s="29" t="s">
        <v>792</v>
      </c>
      <c r="B674" s="19" t="s">
        <v>788</v>
      </c>
      <c r="C674" s="17">
        <v>67</v>
      </c>
      <c r="D674" s="19" t="s">
        <v>196</v>
      </c>
      <c r="E674" s="19">
        <v>0</v>
      </c>
      <c r="F674" s="19" t="s">
        <v>721</v>
      </c>
      <c r="G674" s="19" t="s">
        <v>677</v>
      </c>
      <c r="H674" s="19" t="s">
        <v>263</v>
      </c>
      <c r="I674" s="17" t="b">
        <v>1</v>
      </c>
      <c r="J674" s="17" t="s">
        <v>43</v>
      </c>
      <c r="K674" s="21" t="str">
        <f t="shared" si="18"/>
        <v>https://version2.ice-d.org/antarctica/sample/04-RDY-174-MIM/</v>
      </c>
      <c r="L674" s="29" t="s">
        <v>39</v>
      </c>
      <c r="M674" s="29"/>
      <c r="O674" s="28" t="s">
        <v>789</v>
      </c>
      <c r="P674" s="22">
        <v>-86.043859999999995</v>
      </c>
      <c r="Q674" s="22">
        <v>-125.70659999999999</v>
      </c>
      <c r="R674" s="22"/>
      <c r="S674" s="22">
        <v>1988</v>
      </c>
      <c r="T674" s="17">
        <v>1610</v>
      </c>
      <c r="U674" s="23">
        <v>1200</v>
      </c>
      <c r="V674" s="23" t="s">
        <v>2107</v>
      </c>
      <c r="W674" s="44" t="s">
        <v>2430</v>
      </c>
      <c r="X674" s="22">
        <f t="shared" si="19"/>
        <v>378</v>
      </c>
      <c r="Y674" s="22">
        <v>3.5</v>
      </c>
      <c r="Z674" s="22">
        <v>2.65</v>
      </c>
      <c r="AA674" s="17" t="s">
        <v>73</v>
      </c>
      <c r="AB674" s="26">
        <v>7987</v>
      </c>
      <c r="AC674" s="26">
        <v>191</v>
      </c>
      <c r="AD674" s="26">
        <v>509</v>
      </c>
      <c r="AE674" s="27">
        <v>258814</v>
      </c>
      <c r="AF674" s="27">
        <v>82669</v>
      </c>
      <c r="AG674" s="28"/>
      <c r="AH674" s="28"/>
      <c r="AI674" s="17">
        <v>2004</v>
      </c>
      <c r="AJ674" s="17">
        <v>1</v>
      </c>
      <c r="AK674" s="17">
        <v>0</v>
      </c>
    </row>
    <row r="675" spans="1:38" ht="15.75" customHeight="1">
      <c r="A675" s="29" t="s">
        <v>792</v>
      </c>
      <c r="B675" s="19" t="s">
        <v>788</v>
      </c>
      <c r="C675" s="17">
        <v>67</v>
      </c>
      <c r="D675" s="19" t="s">
        <v>196</v>
      </c>
      <c r="E675" s="19">
        <v>0</v>
      </c>
      <c r="F675" s="19" t="s">
        <v>721</v>
      </c>
      <c r="G675" s="19" t="s">
        <v>677</v>
      </c>
      <c r="H675" s="19" t="s">
        <v>263</v>
      </c>
      <c r="I675" s="17" t="b">
        <v>1</v>
      </c>
      <c r="J675" s="17" t="s">
        <v>43</v>
      </c>
      <c r="K675" s="21" t="str">
        <f t="shared" si="18"/>
        <v>https://version2.ice-d.org/antarctica/sample/04-RDY-174-MIM/</v>
      </c>
      <c r="L675" s="29" t="s">
        <v>39</v>
      </c>
      <c r="M675" s="29"/>
      <c r="O675" s="28" t="s">
        <v>789</v>
      </c>
      <c r="P675" s="22">
        <v>-86.043859999999995</v>
      </c>
      <c r="Q675" s="22">
        <v>-125.70659999999999</v>
      </c>
      <c r="R675" s="22"/>
      <c r="S675" s="22">
        <v>1988</v>
      </c>
      <c r="T675" s="17">
        <v>1610</v>
      </c>
      <c r="U675" s="23">
        <v>1200</v>
      </c>
      <c r="V675" s="23" t="s">
        <v>2107</v>
      </c>
      <c r="W675" s="44" t="s">
        <v>2430</v>
      </c>
      <c r="X675" s="22">
        <f t="shared" si="19"/>
        <v>378</v>
      </c>
      <c r="Y675" s="22">
        <v>3.5</v>
      </c>
      <c r="Z675" s="22">
        <v>2.65</v>
      </c>
      <c r="AA675" s="17" t="s">
        <v>73</v>
      </c>
      <c r="AB675" s="26">
        <v>8141</v>
      </c>
      <c r="AC675" s="26">
        <v>2606</v>
      </c>
      <c r="AD675" s="26">
        <v>2650</v>
      </c>
      <c r="AE675" s="27">
        <v>258814</v>
      </c>
      <c r="AF675" s="27">
        <v>82669</v>
      </c>
      <c r="AG675" s="28"/>
      <c r="AH675" s="28"/>
      <c r="AI675" s="17">
        <v>2004</v>
      </c>
      <c r="AJ675" s="17">
        <v>1</v>
      </c>
      <c r="AK675" s="17">
        <v>0</v>
      </c>
    </row>
    <row r="676" spans="1:38" ht="15.75" customHeight="1">
      <c r="A676" s="29" t="s">
        <v>793</v>
      </c>
      <c r="B676" s="19" t="s">
        <v>788</v>
      </c>
      <c r="C676" s="17">
        <v>67</v>
      </c>
      <c r="D676" s="19" t="s">
        <v>196</v>
      </c>
      <c r="E676" s="19">
        <v>0</v>
      </c>
      <c r="F676" s="19" t="s">
        <v>721</v>
      </c>
      <c r="G676" s="19" t="s">
        <v>677</v>
      </c>
      <c r="H676" s="19" t="s">
        <v>263</v>
      </c>
      <c r="I676" s="17" t="b">
        <v>1</v>
      </c>
      <c r="J676" s="17" t="s">
        <v>43</v>
      </c>
      <c r="K676" s="21" t="str">
        <f t="shared" si="18"/>
        <v>https://version2.ice-d.org/antarctica/sample/04-RDY-178-MIM/</v>
      </c>
      <c r="L676" s="29" t="s">
        <v>39</v>
      </c>
      <c r="M676" s="29"/>
      <c r="O676" s="17" t="s">
        <v>789</v>
      </c>
      <c r="P676" s="17">
        <v>-86.043949999999995</v>
      </c>
      <c r="Q676" s="17">
        <v>-125.71751999999999</v>
      </c>
      <c r="S676" s="17">
        <v>1966</v>
      </c>
      <c r="T676" s="17">
        <v>1610</v>
      </c>
      <c r="U676" s="23">
        <v>1200</v>
      </c>
      <c r="V676" s="23" t="s">
        <v>2107</v>
      </c>
      <c r="W676" s="44" t="s">
        <v>2430</v>
      </c>
      <c r="X676" s="22">
        <f t="shared" si="19"/>
        <v>356</v>
      </c>
      <c r="Y676" s="17">
        <v>5.5</v>
      </c>
      <c r="Z676" s="17">
        <v>2.65</v>
      </c>
      <c r="AA676" s="17" t="s">
        <v>73</v>
      </c>
      <c r="AB676" s="56">
        <v>7612</v>
      </c>
      <c r="AC676" s="56">
        <v>191</v>
      </c>
      <c r="AD676" s="56">
        <v>509</v>
      </c>
      <c r="AE676" s="28">
        <v>266992</v>
      </c>
      <c r="AF676" s="28">
        <v>93387</v>
      </c>
      <c r="AG676" s="28"/>
      <c r="AH676" s="28"/>
      <c r="AI676" s="17">
        <v>2004</v>
      </c>
      <c r="AJ676" s="17">
        <v>1</v>
      </c>
      <c r="AK676" s="17">
        <v>0</v>
      </c>
    </row>
    <row r="677" spans="1:38" ht="15.75" customHeight="1">
      <c r="A677" s="29" t="s">
        <v>793</v>
      </c>
      <c r="B677" s="19" t="s">
        <v>788</v>
      </c>
      <c r="C677" s="17">
        <v>67</v>
      </c>
      <c r="D677" s="19" t="s">
        <v>196</v>
      </c>
      <c r="E677" s="19">
        <v>0</v>
      </c>
      <c r="F677" s="19" t="s">
        <v>721</v>
      </c>
      <c r="G677" s="19" t="s">
        <v>677</v>
      </c>
      <c r="H677" s="19" t="s">
        <v>263</v>
      </c>
      <c r="I677" s="17" t="b">
        <v>1</v>
      </c>
      <c r="J677" s="17" t="s">
        <v>43</v>
      </c>
      <c r="K677" s="21" t="str">
        <f t="shared" si="18"/>
        <v>https://version2.ice-d.org/antarctica/sample/04-RDY-178-MIM/</v>
      </c>
      <c r="L677" s="29" t="s">
        <v>39</v>
      </c>
      <c r="M677" s="29"/>
      <c r="O677" s="28" t="s">
        <v>789</v>
      </c>
      <c r="P677" s="22">
        <v>-86.043949999999995</v>
      </c>
      <c r="Q677" s="22">
        <v>-125.71751999999999</v>
      </c>
      <c r="R677" s="22"/>
      <c r="S677" s="22">
        <v>1966</v>
      </c>
      <c r="T677" s="17">
        <v>1610</v>
      </c>
      <c r="U677" s="23">
        <v>1200</v>
      </c>
      <c r="V677" s="23" t="s">
        <v>2107</v>
      </c>
      <c r="W677" s="44" t="s">
        <v>2430</v>
      </c>
      <c r="X677" s="22">
        <f t="shared" si="19"/>
        <v>356</v>
      </c>
      <c r="Y677" s="22">
        <v>5.5</v>
      </c>
      <c r="Z677" s="22">
        <v>2.65</v>
      </c>
      <c r="AA677" s="17" t="s">
        <v>73</v>
      </c>
      <c r="AB677" s="26">
        <v>8742</v>
      </c>
      <c r="AC677" s="26">
        <v>3065</v>
      </c>
      <c r="AD677" s="26">
        <v>3108</v>
      </c>
      <c r="AE677" s="27">
        <v>266992</v>
      </c>
      <c r="AF677" s="27">
        <v>93387</v>
      </c>
      <c r="AG677" s="28"/>
      <c r="AH677" s="28"/>
      <c r="AI677" s="17">
        <v>2004</v>
      </c>
      <c r="AJ677" s="17">
        <v>1</v>
      </c>
      <c r="AK677" s="17">
        <v>0</v>
      </c>
    </row>
    <row r="678" spans="1:38" ht="15.75" customHeight="1">
      <c r="A678" s="29" t="s">
        <v>794</v>
      </c>
      <c r="B678" s="19" t="s">
        <v>788</v>
      </c>
      <c r="C678" s="17">
        <v>67</v>
      </c>
      <c r="D678" s="19" t="s">
        <v>196</v>
      </c>
      <c r="E678" s="19">
        <v>0</v>
      </c>
      <c r="F678" s="19" t="s">
        <v>721</v>
      </c>
      <c r="G678" s="19" t="s">
        <v>677</v>
      </c>
      <c r="H678" s="19" t="s">
        <v>263</v>
      </c>
      <c r="I678" s="17" t="b">
        <v>1</v>
      </c>
      <c r="J678" s="17" t="s">
        <v>43</v>
      </c>
      <c r="K678" s="21" t="str">
        <f t="shared" si="18"/>
        <v>https://version2.ice-d.org/antarctica/sample/04-RDY-179-MIM/</v>
      </c>
      <c r="L678" s="29" t="s">
        <v>39</v>
      </c>
      <c r="M678" s="29"/>
      <c r="O678" s="28" t="s">
        <v>789</v>
      </c>
      <c r="P678" s="22">
        <v>-86.044049999999999</v>
      </c>
      <c r="Q678" s="22">
        <v>-125.71328</v>
      </c>
      <c r="R678" s="22"/>
      <c r="S678" s="22">
        <v>1970</v>
      </c>
      <c r="T678" s="17">
        <v>1610</v>
      </c>
      <c r="U678" s="23">
        <v>1200</v>
      </c>
      <c r="V678" s="23" t="s">
        <v>2107</v>
      </c>
      <c r="W678" s="44" t="s">
        <v>2430</v>
      </c>
      <c r="X678" s="22">
        <f t="shared" si="19"/>
        <v>360</v>
      </c>
      <c r="Y678" s="22">
        <v>5.5</v>
      </c>
      <c r="Z678" s="22">
        <v>2.65</v>
      </c>
      <c r="AA678" s="17" t="s">
        <v>73</v>
      </c>
      <c r="AB678" s="26">
        <v>8744</v>
      </c>
      <c r="AC678" s="26">
        <v>274</v>
      </c>
      <c r="AD678" s="26">
        <v>585</v>
      </c>
      <c r="AE678" s="27">
        <v>268320</v>
      </c>
      <c r="AF678" s="27">
        <v>8393</v>
      </c>
      <c r="AG678" s="28"/>
      <c r="AH678" s="28"/>
      <c r="AI678" s="17">
        <v>2004</v>
      </c>
      <c r="AJ678" s="17">
        <v>1</v>
      </c>
      <c r="AK678" s="17">
        <v>0</v>
      </c>
    </row>
    <row r="679" spans="1:38" ht="15.75" customHeight="1">
      <c r="A679" s="29" t="s">
        <v>795</v>
      </c>
      <c r="B679" s="19" t="s">
        <v>788</v>
      </c>
      <c r="C679" s="17">
        <v>67</v>
      </c>
      <c r="D679" s="19" t="s">
        <v>196</v>
      </c>
      <c r="E679" s="19">
        <v>0</v>
      </c>
      <c r="F679" s="19" t="s">
        <v>721</v>
      </c>
      <c r="G679" s="19" t="s">
        <v>677</v>
      </c>
      <c r="H679" s="19" t="s">
        <v>263</v>
      </c>
      <c r="I679" s="17" t="b">
        <v>1</v>
      </c>
      <c r="J679" s="17" t="s">
        <v>43</v>
      </c>
      <c r="K679" s="21" t="str">
        <f t="shared" si="18"/>
        <v>https://version2.ice-d.org/antarctica/sample/04-RDY-181-MIM/</v>
      </c>
      <c r="L679" s="29" t="s">
        <v>39</v>
      </c>
      <c r="M679" s="29"/>
      <c r="O679" s="17" t="s">
        <v>722</v>
      </c>
      <c r="P679" s="22">
        <v>-86.042500000000004</v>
      </c>
      <c r="Q679" s="22">
        <v>-125.75834999999999</v>
      </c>
      <c r="R679" s="22"/>
      <c r="S679" s="22">
        <v>1895</v>
      </c>
      <c r="T679" s="17">
        <v>1610</v>
      </c>
      <c r="U679" s="23">
        <v>1200</v>
      </c>
      <c r="V679" s="23" t="s">
        <v>2107</v>
      </c>
      <c r="W679" s="44" t="s">
        <v>2430</v>
      </c>
      <c r="X679" s="22">
        <f t="shared" si="19"/>
        <v>285</v>
      </c>
      <c r="Y679" s="22">
        <v>9.5</v>
      </c>
      <c r="Z679" s="22">
        <v>2.65</v>
      </c>
      <c r="AA679" s="17" t="s">
        <v>73</v>
      </c>
      <c r="AB679" s="26">
        <v>7614</v>
      </c>
      <c r="AC679" s="26">
        <v>233</v>
      </c>
      <c r="AD679" s="26">
        <v>507</v>
      </c>
      <c r="AE679" s="27">
        <v>214811</v>
      </c>
      <c r="AF679" s="27">
        <v>6575</v>
      </c>
      <c r="AG679" s="28"/>
      <c r="AH679" s="28"/>
      <c r="AI679" s="17">
        <v>2004</v>
      </c>
      <c r="AJ679" s="17">
        <v>1</v>
      </c>
      <c r="AK679" s="17">
        <v>0</v>
      </c>
    </row>
    <row r="680" spans="1:38" ht="16.5" customHeight="1">
      <c r="A680" s="114" t="s">
        <v>796</v>
      </c>
      <c r="B680" s="19" t="s">
        <v>788</v>
      </c>
      <c r="C680" s="17">
        <v>67</v>
      </c>
      <c r="D680" s="19" t="s">
        <v>196</v>
      </c>
      <c r="E680" s="19">
        <v>0</v>
      </c>
      <c r="F680" s="19" t="s">
        <v>721</v>
      </c>
      <c r="G680" s="19" t="s">
        <v>677</v>
      </c>
      <c r="H680" s="19" t="s">
        <v>263</v>
      </c>
      <c r="I680" s="17" t="b">
        <v>1</v>
      </c>
      <c r="J680" s="17" t="s">
        <v>43</v>
      </c>
      <c r="K680" s="21" t="str">
        <f t="shared" si="18"/>
        <v>https://version2.ice-d.org/antarctica/sample/04-RDY-183-MIM/</v>
      </c>
      <c r="L680" s="42" t="s">
        <v>39</v>
      </c>
      <c r="M680" s="42" t="s">
        <v>44</v>
      </c>
      <c r="O680" s="17" t="s">
        <v>722</v>
      </c>
      <c r="P680" s="103">
        <v>-86.042619999999999</v>
      </c>
      <c r="Q680" s="103">
        <v>-125.75902000000001</v>
      </c>
      <c r="R680" s="22"/>
      <c r="S680" s="103">
        <v>1892</v>
      </c>
      <c r="T680" s="17">
        <v>1610</v>
      </c>
      <c r="U680" s="23">
        <v>1200</v>
      </c>
      <c r="V680" s="23" t="s">
        <v>2107</v>
      </c>
      <c r="W680" s="44" t="s">
        <v>2430</v>
      </c>
      <c r="X680" s="22">
        <f t="shared" si="19"/>
        <v>282</v>
      </c>
      <c r="Y680" s="22">
        <v>6.5</v>
      </c>
      <c r="Z680" s="22">
        <v>2.65</v>
      </c>
      <c r="AA680" s="17" t="s">
        <v>73</v>
      </c>
      <c r="AB680" s="104">
        <v>16560</v>
      </c>
      <c r="AC680" s="104">
        <v>527</v>
      </c>
      <c r="AD680" s="60">
        <v>1113</v>
      </c>
      <c r="AE680" s="27">
        <v>472063</v>
      </c>
      <c r="AF680" s="27">
        <v>14948</v>
      </c>
      <c r="AG680" s="28"/>
      <c r="AH680" s="28"/>
      <c r="AI680" s="17">
        <v>2004</v>
      </c>
      <c r="AJ680" s="17">
        <v>1</v>
      </c>
      <c r="AK680" s="17">
        <v>0</v>
      </c>
      <c r="AL680" s="17" t="s">
        <v>797</v>
      </c>
    </row>
    <row r="681" spans="1:38" ht="12.75" customHeight="1">
      <c r="A681" s="64" t="s">
        <v>798</v>
      </c>
      <c r="B681" s="19" t="s">
        <v>799</v>
      </c>
      <c r="C681" s="17">
        <v>68</v>
      </c>
      <c r="D681" s="20" t="s">
        <v>196</v>
      </c>
      <c r="E681" s="19">
        <v>5000</v>
      </c>
      <c r="F681" s="19" t="s">
        <v>452</v>
      </c>
      <c r="G681" s="19" t="s">
        <v>473</v>
      </c>
      <c r="H681" s="19" t="s">
        <v>263</v>
      </c>
      <c r="I681" s="17" t="b">
        <v>1</v>
      </c>
      <c r="J681" s="17" t="s">
        <v>128</v>
      </c>
      <c r="K681" s="21" t="str">
        <f t="shared" si="18"/>
        <v>https://version2.ice-d.org/antarctica/sample/14-TUG-013-SKF/</v>
      </c>
      <c r="L681" s="64" t="s">
        <v>800</v>
      </c>
      <c r="M681" s="198" t="s">
        <v>801</v>
      </c>
      <c r="N681" s="17" t="s">
        <v>39</v>
      </c>
      <c r="O681" s="17" t="s">
        <v>474</v>
      </c>
      <c r="P681" s="22">
        <v>-72.682919999999996</v>
      </c>
      <c r="Q681" s="22">
        <v>169.54806600000001</v>
      </c>
      <c r="R681" s="22"/>
      <c r="S681" s="22">
        <v>64.400000000000006</v>
      </c>
      <c r="T681" s="22">
        <v>13</v>
      </c>
      <c r="U681" s="23">
        <v>350</v>
      </c>
      <c r="V681" s="115" t="s">
        <v>2344</v>
      </c>
      <c r="W681" s="44" t="s">
        <v>2455</v>
      </c>
      <c r="X681" s="22">
        <f t="shared" si="19"/>
        <v>51.400000000000006</v>
      </c>
      <c r="Y681" s="22">
        <v>3</v>
      </c>
      <c r="Z681" s="22">
        <v>2.7</v>
      </c>
      <c r="AA681" s="17" t="s">
        <v>51</v>
      </c>
      <c r="AB681" s="26">
        <v>10972</v>
      </c>
      <c r="AC681" s="26">
        <v>1596</v>
      </c>
      <c r="AD681" s="26"/>
      <c r="AE681" s="27">
        <v>126952</v>
      </c>
      <c r="AF681" s="27">
        <v>2477</v>
      </c>
      <c r="AG681" s="28"/>
      <c r="AH681" s="28"/>
      <c r="AI681" s="17">
        <v>2014</v>
      </c>
      <c r="AJ681" s="17">
        <v>1</v>
      </c>
      <c r="AK681" s="17">
        <v>1</v>
      </c>
      <c r="AL681" s="17" t="s">
        <v>802</v>
      </c>
    </row>
    <row r="682" spans="1:38" ht="12.75" customHeight="1">
      <c r="A682" s="64" t="s">
        <v>798</v>
      </c>
      <c r="B682" s="19" t="s">
        <v>799</v>
      </c>
      <c r="C682" s="17">
        <v>68</v>
      </c>
      <c r="D682" s="20" t="s">
        <v>196</v>
      </c>
      <c r="E682" s="19">
        <v>5000</v>
      </c>
      <c r="F682" s="19" t="s">
        <v>452</v>
      </c>
      <c r="G682" s="19" t="s">
        <v>473</v>
      </c>
      <c r="H682" s="19" t="s">
        <v>263</v>
      </c>
      <c r="I682" s="17" t="b">
        <v>1</v>
      </c>
      <c r="J682" s="17" t="s">
        <v>128</v>
      </c>
      <c r="K682" s="21" t="str">
        <f t="shared" si="18"/>
        <v>https://version2.ice-d.org/antarctica/sample/14-TUG-013-SKF/</v>
      </c>
      <c r="L682" s="64" t="s">
        <v>800</v>
      </c>
      <c r="M682" s="155"/>
      <c r="N682" s="17" t="s">
        <v>39</v>
      </c>
      <c r="O682" s="17" t="s">
        <v>474</v>
      </c>
      <c r="P682" s="22">
        <v>-72.682919999999996</v>
      </c>
      <c r="Q682" s="22">
        <v>169.54806600000001</v>
      </c>
      <c r="R682" s="22"/>
      <c r="S682" s="22">
        <v>64.400000000000006</v>
      </c>
      <c r="T682" s="22">
        <v>13</v>
      </c>
      <c r="U682" s="23">
        <v>350</v>
      </c>
      <c r="V682" s="115" t="s">
        <v>2344</v>
      </c>
      <c r="W682" s="44" t="s">
        <v>2455</v>
      </c>
      <c r="X682" s="22">
        <f t="shared" si="19"/>
        <v>51.400000000000006</v>
      </c>
      <c r="Y682" s="22">
        <v>3</v>
      </c>
      <c r="Z682" s="22">
        <v>2.7</v>
      </c>
      <c r="AA682" s="17" t="s">
        <v>51</v>
      </c>
      <c r="AB682" s="26">
        <v>13848</v>
      </c>
      <c r="AC682" s="26">
        <v>1878</v>
      </c>
      <c r="AD682" s="26"/>
      <c r="AE682" s="27">
        <v>126952</v>
      </c>
      <c r="AF682" s="27">
        <v>2477</v>
      </c>
      <c r="AG682" s="28"/>
      <c r="AH682" s="28"/>
      <c r="AI682" s="17">
        <v>2014</v>
      </c>
      <c r="AJ682" s="17">
        <v>1</v>
      </c>
      <c r="AK682" s="17">
        <v>1</v>
      </c>
      <c r="AL682" s="17" t="s">
        <v>802</v>
      </c>
    </row>
    <row r="683" spans="1:38" ht="12.75" customHeight="1">
      <c r="A683" s="64" t="s">
        <v>803</v>
      </c>
      <c r="B683" s="19" t="s">
        <v>799</v>
      </c>
      <c r="C683" s="17">
        <v>68</v>
      </c>
      <c r="D683" s="20" t="s">
        <v>196</v>
      </c>
      <c r="E683" s="19">
        <v>5000</v>
      </c>
      <c r="F683" s="19" t="s">
        <v>452</v>
      </c>
      <c r="G683" s="19" t="s">
        <v>473</v>
      </c>
      <c r="H683" s="19" t="s">
        <v>263</v>
      </c>
      <c r="I683" s="17" t="b">
        <v>1</v>
      </c>
      <c r="J683" s="17" t="s">
        <v>128</v>
      </c>
      <c r="K683" s="21" t="str">
        <f t="shared" si="18"/>
        <v>https://version2.ice-d.org/antarctica/sample/14-TUG-019-SKF/</v>
      </c>
      <c r="L683" s="64" t="s">
        <v>800</v>
      </c>
      <c r="M683" s="155"/>
      <c r="N683" s="17" t="s">
        <v>39</v>
      </c>
      <c r="O683" s="17" t="s">
        <v>474</v>
      </c>
      <c r="P683" s="22">
        <v>-72.688030999999995</v>
      </c>
      <c r="Q683" s="22">
        <v>169.554418</v>
      </c>
      <c r="R683" s="22"/>
      <c r="S683" s="22">
        <v>158</v>
      </c>
      <c r="T683" s="22">
        <v>13</v>
      </c>
      <c r="U683" s="23">
        <v>350</v>
      </c>
      <c r="V683" s="115" t="s">
        <v>2344</v>
      </c>
      <c r="W683" s="44" t="s">
        <v>2455</v>
      </c>
      <c r="X683" s="22">
        <f t="shared" si="19"/>
        <v>145</v>
      </c>
      <c r="Y683" s="22">
        <v>2.5</v>
      </c>
      <c r="Z683" s="22">
        <v>2.7</v>
      </c>
      <c r="AA683" s="17" t="s">
        <v>51</v>
      </c>
      <c r="AB683" s="26">
        <v>15693</v>
      </c>
      <c r="AC683" s="26">
        <v>1372</v>
      </c>
      <c r="AD683" s="26"/>
      <c r="AE683" s="27">
        <v>140068</v>
      </c>
      <c r="AF683" s="27">
        <v>2727</v>
      </c>
      <c r="AG683" s="28"/>
      <c r="AH683" s="28"/>
      <c r="AI683" s="17">
        <v>2014</v>
      </c>
      <c r="AJ683" s="17">
        <v>1</v>
      </c>
      <c r="AK683" s="17">
        <v>1</v>
      </c>
      <c r="AL683" s="17" t="s">
        <v>802</v>
      </c>
    </row>
    <row r="684" spans="1:38" ht="12.75" customHeight="1">
      <c r="A684" s="64" t="s">
        <v>803</v>
      </c>
      <c r="B684" s="19" t="s">
        <v>799</v>
      </c>
      <c r="C684" s="17">
        <v>68</v>
      </c>
      <c r="D684" s="20" t="s">
        <v>196</v>
      </c>
      <c r="E684" s="19">
        <v>5000</v>
      </c>
      <c r="F684" s="19" t="s">
        <v>452</v>
      </c>
      <c r="G684" s="19" t="s">
        <v>473</v>
      </c>
      <c r="H684" s="19" t="s">
        <v>263</v>
      </c>
      <c r="I684" s="17" t="b">
        <v>1</v>
      </c>
      <c r="J684" s="17" t="s">
        <v>128</v>
      </c>
      <c r="K684" s="21" t="str">
        <f t="shared" si="18"/>
        <v>https://version2.ice-d.org/antarctica/sample/14-TUG-019-SKF/</v>
      </c>
      <c r="L684" s="64" t="s">
        <v>800</v>
      </c>
      <c r="M684" s="155"/>
      <c r="N684" s="17" t="s">
        <v>39</v>
      </c>
      <c r="O684" s="17" t="s">
        <v>474</v>
      </c>
      <c r="P684" s="22">
        <v>-72.688030999999995</v>
      </c>
      <c r="Q684" s="22">
        <v>169.554418</v>
      </c>
      <c r="R684" s="22"/>
      <c r="S684" s="22">
        <v>158</v>
      </c>
      <c r="T684" s="22">
        <v>13</v>
      </c>
      <c r="U684" s="23">
        <v>350</v>
      </c>
      <c r="V684" s="115" t="s">
        <v>2344</v>
      </c>
      <c r="W684" s="44" t="s">
        <v>2455</v>
      </c>
      <c r="X684" s="22">
        <f t="shared" si="19"/>
        <v>145</v>
      </c>
      <c r="Y684" s="22">
        <v>2.5</v>
      </c>
      <c r="Z684" s="22">
        <v>2.7</v>
      </c>
      <c r="AA684" s="17" t="s">
        <v>51</v>
      </c>
      <c r="AB684" s="26">
        <v>17893</v>
      </c>
      <c r="AC684" s="26">
        <v>1492</v>
      </c>
      <c r="AD684" s="26"/>
      <c r="AE684" s="27">
        <v>140068</v>
      </c>
      <c r="AF684" s="27">
        <v>2727</v>
      </c>
      <c r="AG684" s="28"/>
      <c r="AH684" s="28"/>
      <c r="AI684" s="17">
        <v>2014</v>
      </c>
      <c r="AJ684" s="17">
        <v>1</v>
      </c>
      <c r="AK684" s="17">
        <v>1</v>
      </c>
      <c r="AL684" s="17" t="s">
        <v>802</v>
      </c>
    </row>
    <row r="685" spans="1:38" ht="12.75" customHeight="1">
      <c r="A685" s="64" t="s">
        <v>804</v>
      </c>
      <c r="B685" s="19" t="s">
        <v>799</v>
      </c>
      <c r="C685" s="17">
        <v>68</v>
      </c>
      <c r="D685" s="20" t="s">
        <v>196</v>
      </c>
      <c r="E685" s="19">
        <v>5000</v>
      </c>
      <c r="F685" s="19" t="s">
        <v>452</v>
      </c>
      <c r="G685" s="19" t="s">
        <v>473</v>
      </c>
      <c r="H685" s="19" t="s">
        <v>263</v>
      </c>
      <c r="I685" s="17" t="b">
        <v>1</v>
      </c>
      <c r="J685" s="17" t="s">
        <v>128</v>
      </c>
      <c r="K685" s="21" t="str">
        <f t="shared" si="18"/>
        <v>https://version2.ice-d.org/antarctica/sample/14-TUG-020-SKF/</v>
      </c>
      <c r="L685" s="64" t="s">
        <v>800</v>
      </c>
      <c r="M685" s="155"/>
      <c r="N685" s="17" t="s">
        <v>39</v>
      </c>
      <c r="O685" s="17" t="s">
        <v>474</v>
      </c>
      <c r="P685" s="22">
        <v>-72.689162999999994</v>
      </c>
      <c r="Q685" s="22">
        <v>169.554179</v>
      </c>
      <c r="R685" s="22"/>
      <c r="S685" s="22">
        <v>164.9</v>
      </c>
      <c r="T685" s="22">
        <v>13</v>
      </c>
      <c r="U685" s="23">
        <v>350</v>
      </c>
      <c r="V685" s="115" t="s">
        <v>2344</v>
      </c>
      <c r="W685" s="44" t="s">
        <v>2455</v>
      </c>
      <c r="X685" s="22">
        <f t="shared" si="19"/>
        <v>151.9</v>
      </c>
      <c r="Y685" s="22">
        <v>1.5</v>
      </c>
      <c r="Z685" s="22">
        <v>2.7</v>
      </c>
      <c r="AA685" s="17" t="s">
        <v>51</v>
      </c>
      <c r="AB685" s="26">
        <v>4067</v>
      </c>
      <c r="AC685" s="26">
        <v>1262</v>
      </c>
      <c r="AD685" s="26"/>
      <c r="AE685" s="27">
        <v>152491</v>
      </c>
      <c r="AF685" s="27">
        <v>3183</v>
      </c>
      <c r="AG685" s="28"/>
      <c r="AH685" s="28"/>
      <c r="AI685" s="17">
        <v>2014</v>
      </c>
      <c r="AJ685" s="17">
        <v>1</v>
      </c>
      <c r="AK685" s="17">
        <v>1</v>
      </c>
      <c r="AL685" s="17" t="s">
        <v>802</v>
      </c>
    </row>
    <row r="686" spans="1:38" ht="12.75" customHeight="1">
      <c r="A686" s="64" t="s">
        <v>804</v>
      </c>
      <c r="B686" s="19" t="s">
        <v>799</v>
      </c>
      <c r="C686" s="17">
        <v>68</v>
      </c>
      <c r="D686" s="20" t="s">
        <v>196</v>
      </c>
      <c r="E686" s="19">
        <v>5000</v>
      </c>
      <c r="F686" s="19" t="s">
        <v>452</v>
      </c>
      <c r="G686" s="19" t="s">
        <v>473</v>
      </c>
      <c r="H686" s="19" t="s">
        <v>263</v>
      </c>
      <c r="I686" s="17" t="b">
        <v>1</v>
      </c>
      <c r="J686" s="17" t="s">
        <v>128</v>
      </c>
      <c r="K686" s="21" t="str">
        <f t="shared" si="18"/>
        <v>https://version2.ice-d.org/antarctica/sample/14-TUG-020-SKF/</v>
      </c>
      <c r="L686" s="64" t="s">
        <v>800</v>
      </c>
      <c r="M686" s="155"/>
      <c r="N686" s="17" t="s">
        <v>39</v>
      </c>
      <c r="O686" s="17" t="s">
        <v>474</v>
      </c>
      <c r="P686" s="22">
        <v>-72.689162999999994</v>
      </c>
      <c r="Q686" s="22">
        <v>169.554179</v>
      </c>
      <c r="R686" s="22"/>
      <c r="S686" s="22">
        <v>164.9</v>
      </c>
      <c r="T686" s="22">
        <v>13</v>
      </c>
      <c r="U686" s="23">
        <v>350</v>
      </c>
      <c r="V686" s="115" t="s">
        <v>2344</v>
      </c>
      <c r="W686" s="44" t="s">
        <v>2455</v>
      </c>
      <c r="X686" s="22">
        <f t="shared" si="19"/>
        <v>151.9</v>
      </c>
      <c r="Y686" s="22">
        <v>1.5</v>
      </c>
      <c r="Z686" s="22">
        <v>2.7</v>
      </c>
      <c r="AA686" s="17" t="s">
        <v>51</v>
      </c>
      <c r="AB686" s="26">
        <v>7248</v>
      </c>
      <c r="AC686" s="26">
        <v>1353</v>
      </c>
      <c r="AD686" s="26"/>
      <c r="AE686" s="27">
        <v>152491</v>
      </c>
      <c r="AF686" s="27">
        <v>3183</v>
      </c>
      <c r="AG686" s="28"/>
      <c r="AH686" s="28"/>
      <c r="AI686" s="17">
        <v>2014</v>
      </c>
      <c r="AJ686" s="17">
        <v>1</v>
      </c>
      <c r="AK686" s="17">
        <v>1</v>
      </c>
      <c r="AL686" s="17" t="s">
        <v>802</v>
      </c>
    </row>
    <row r="687" spans="1:38" ht="12.75" customHeight="1">
      <c r="A687" s="64" t="s">
        <v>805</v>
      </c>
      <c r="B687" s="19" t="s">
        <v>799</v>
      </c>
      <c r="C687" s="17">
        <v>68</v>
      </c>
      <c r="D687" s="20" t="s">
        <v>196</v>
      </c>
      <c r="E687" s="19">
        <v>5000</v>
      </c>
      <c r="F687" s="19" t="s">
        <v>452</v>
      </c>
      <c r="G687" s="19" t="s">
        <v>473</v>
      </c>
      <c r="H687" s="19" t="s">
        <v>263</v>
      </c>
      <c r="I687" s="17" t="b">
        <v>1</v>
      </c>
      <c r="J687" s="17" t="s">
        <v>128</v>
      </c>
      <c r="K687" s="21" t="str">
        <f t="shared" si="18"/>
        <v>https://version2.ice-d.org/antarctica/sample/14-TUG-022-SKF/</v>
      </c>
      <c r="L687" s="64" t="s">
        <v>800</v>
      </c>
      <c r="M687" s="155"/>
      <c r="N687" s="17" t="s">
        <v>39</v>
      </c>
      <c r="O687" s="17" t="s">
        <v>474</v>
      </c>
      <c r="P687" s="22">
        <v>-72.690567999999999</v>
      </c>
      <c r="Q687" s="22">
        <v>169.552188</v>
      </c>
      <c r="R687" s="22"/>
      <c r="S687" s="22">
        <v>173</v>
      </c>
      <c r="T687" s="22">
        <v>13</v>
      </c>
      <c r="U687" s="23">
        <v>350</v>
      </c>
      <c r="V687" s="115" t="s">
        <v>2344</v>
      </c>
      <c r="W687" s="44" t="s">
        <v>2455</v>
      </c>
      <c r="X687" s="22">
        <f t="shared" si="19"/>
        <v>160</v>
      </c>
      <c r="Y687" s="22">
        <v>4</v>
      </c>
      <c r="Z687" s="22">
        <v>2.7</v>
      </c>
      <c r="AA687" s="17" t="s">
        <v>51</v>
      </c>
      <c r="AB687" s="26">
        <v>16073</v>
      </c>
      <c r="AC687" s="26">
        <v>1527</v>
      </c>
      <c r="AD687" s="26"/>
      <c r="AE687" s="27">
        <v>128625</v>
      </c>
      <c r="AF687" s="27">
        <v>2372</v>
      </c>
      <c r="AG687" s="28"/>
      <c r="AH687" s="28"/>
      <c r="AI687" s="17">
        <v>2014</v>
      </c>
      <c r="AJ687" s="17">
        <v>1</v>
      </c>
      <c r="AK687" s="17">
        <v>1</v>
      </c>
      <c r="AL687" s="17" t="s">
        <v>802</v>
      </c>
    </row>
    <row r="688" spans="1:38" ht="12.75" customHeight="1">
      <c r="A688" s="64" t="s">
        <v>805</v>
      </c>
      <c r="B688" s="19" t="s">
        <v>799</v>
      </c>
      <c r="C688" s="17">
        <v>68</v>
      </c>
      <c r="D688" s="20" t="s">
        <v>196</v>
      </c>
      <c r="E688" s="19">
        <v>5000</v>
      </c>
      <c r="F688" s="19" t="s">
        <v>452</v>
      </c>
      <c r="G688" s="19" t="s">
        <v>473</v>
      </c>
      <c r="H688" s="19" t="s">
        <v>263</v>
      </c>
      <c r="I688" s="17" t="b">
        <v>1</v>
      </c>
      <c r="J688" s="17" t="s">
        <v>128</v>
      </c>
      <c r="K688" s="21" t="str">
        <f t="shared" si="18"/>
        <v>https://version2.ice-d.org/antarctica/sample/14-TUG-022-SKF/</v>
      </c>
      <c r="L688" s="64" t="s">
        <v>800</v>
      </c>
      <c r="M688" s="155"/>
      <c r="N688" s="17" t="s">
        <v>39</v>
      </c>
      <c r="O688" s="17" t="s">
        <v>474</v>
      </c>
      <c r="P688" s="22">
        <v>-72.690567999999999</v>
      </c>
      <c r="Q688" s="22">
        <v>169.552188</v>
      </c>
      <c r="R688" s="22"/>
      <c r="S688" s="22">
        <v>173</v>
      </c>
      <c r="T688" s="22">
        <v>13</v>
      </c>
      <c r="U688" s="23">
        <v>350</v>
      </c>
      <c r="V688" s="115" t="s">
        <v>2344</v>
      </c>
      <c r="W688" s="44" t="s">
        <v>2455</v>
      </c>
      <c r="X688" s="22">
        <f t="shared" si="19"/>
        <v>160</v>
      </c>
      <c r="Y688" s="22">
        <v>4</v>
      </c>
      <c r="Z688" s="22">
        <v>2.7</v>
      </c>
      <c r="AA688" s="17" t="s">
        <v>51</v>
      </c>
      <c r="AB688" s="26">
        <v>16163</v>
      </c>
      <c r="AC688" s="26">
        <v>1707</v>
      </c>
      <c r="AD688" s="26"/>
      <c r="AE688" s="27">
        <v>128625</v>
      </c>
      <c r="AF688" s="27">
        <v>2372</v>
      </c>
      <c r="AG688" s="28"/>
      <c r="AH688" s="28"/>
      <c r="AI688" s="17">
        <v>2014</v>
      </c>
      <c r="AJ688" s="17">
        <v>1</v>
      </c>
      <c r="AK688" s="17">
        <v>1</v>
      </c>
      <c r="AL688" s="17" t="s">
        <v>802</v>
      </c>
    </row>
    <row r="689" spans="1:38" ht="12.75" customHeight="1">
      <c r="A689" s="64" t="s">
        <v>806</v>
      </c>
      <c r="B689" s="19" t="s">
        <v>799</v>
      </c>
      <c r="C689" s="17">
        <v>68</v>
      </c>
      <c r="D689" s="20" t="s">
        <v>196</v>
      </c>
      <c r="E689" s="19">
        <v>5000</v>
      </c>
      <c r="F689" s="19" t="s">
        <v>452</v>
      </c>
      <c r="G689" s="19" t="s">
        <v>473</v>
      </c>
      <c r="H689" s="19" t="s">
        <v>263</v>
      </c>
      <c r="I689" s="17" t="b">
        <v>1</v>
      </c>
      <c r="J689" s="17" t="s">
        <v>128</v>
      </c>
      <c r="K689" s="21" t="str">
        <f t="shared" si="18"/>
        <v>https://version2.ice-d.org/antarctica/sample/14-TUG-024-SKF/</v>
      </c>
      <c r="L689" s="64" t="s">
        <v>800</v>
      </c>
      <c r="M689" s="155"/>
      <c r="N689" s="17" t="s">
        <v>39</v>
      </c>
      <c r="O689" s="17" t="s">
        <v>474</v>
      </c>
      <c r="P689" s="22">
        <v>-72.690428999999995</v>
      </c>
      <c r="Q689" s="22">
        <v>169.550138</v>
      </c>
      <c r="R689" s="22"/>
      <c r="S689" s="22">
        <v>141.6</v>
      </c>
      <c r="T689" s="22">
        <v>13</v>
      </c>
      <c r="U689" s="23">
        <v>350</v>
      </c>
      <c r="V689" s="115" t="s">
        <v>2344</v>
      </c>
      <c r="W689" s="44" t="s">
        <v>2455</v>
      </c>
      <c r="X689" s="22">
        <f t="shared" si="19"/>
        <v>128.6</v>
      </c>
      <c r="Y689" s="22">
        <v>1.5</v>
      </c>
      <c r="Z689" s="22">
        <v>2.7</v>
      </c>
      <c r="AA689" s="17" t="s">
        <v>51</v>
      </c>
      <c r="AB689" s="26">
        <v>16502</v>
      </c>
      <c r="AC689" s="26">
        <v>1560</v>
      </c>
      <c r="AD689" s="26"/>
      <c r="AE689" s="27">
        <v>121496</v>
      </c>
      <c r="AF689" s="27">
        <v>2998</v>
      </c>
      <c r="AG689" s="28"/>
      <c r="AH689" s="28"/>
      <c r="AI689" s="17">
        <v>2014</v>
      </c>
      <c r="AJ689" s="17">
        <v>1</v>
      </c>
      <c r="AK689" s="17">
        <v>1</v>
      </c>
      <c r="AL689" s="17" t="s">
        <v>802</v>
      </c>
    </row>
    <row r="690" spans="1:38" ht="12.75" customHeight="1">
      <c r="A690" s="64" t="s">
        <v>806</v>
      </c>
      <c r="B690" s="19" t="s">
        <v>799</v>
      </c>
      <c r="C690" s="17">
        <v>68</v>
      </c>
      <c r="D690" s="20" t="s">
        <v>196</v>
      </c>
      <c r="E690" s="19">
        <v>5000</v>
      </c>
      <c r="F690" s="19" t="s">
        <v>452</v>
      </c>
      <c r="G690" s="19" t="s">
        <v>473</v>
      </c>
      <c r="H690" s="19" t="s">
        <v>263</v>
      </c>
      <c r="I690" s="17" t="b">
        <v>1</v>
      </c>
      <c r="J690" s="17" t="s">
        <v>128</v>
      </c>
      <c r="K690" s="21" t="str">
        <f t="shared" si="18"/>
        <v>https://version2.ice-d.org/antarctica/sample/14-TUG-024-SKF/</v>
      </c>
      <c r="L690" s="64" t="s">
        <v>800</v>
      </c>
      <c r="M690" s="155"/>
      <c r="N690" s="17" t="s">
        <v>39</v>
      </c>
      <c r="O690" s="17" t="s">
        <v>474</v>
      </c>
      <c r="P690" s="22">
        <v>-72.690428999999995</v>
      </c>
      <c r="Q690" s="22">
        <v>169.550138</v>
      </c>
      <c r="R690" s="22"/>
      <c r="S690" s="22">
        <v>141.6</v>
      </c>
      <c r="T690" s="22">
        <v>13</v>
      </c>
      <c r="U690" s="23">
        <v>350</v>
      </c>
      <c r="V690" s="115" t="s">
        <v>2344</v>
      </c>
      <c r="W690" s="44" t="s">
        <v>2455</v>
      </c>
      <c r="X690" s="22">
        <f t="shared" si="19"/>
        <v>128.6</v>
      </c>
      <c r="Y690" s="22">
        <v>1.5</v>
      </c>
      <c r="Z690" s="22">
        <v>2.7</v>
      </c>
      <c r="AA690" s="17" t="s">
        <v>51</v>
      </c>
      <c r="AB690" s="26">
        <v>20515</v>
      </c>
      <c r="AC690" s="26">
        <v>1512</v>
      </c>
      <c r="AD690" s="26"/>
      <c r="AE690" s="27">
        <v>121496</v>
      </c>
      <c r="AF690" s="27">
        <v>2998</v>
      </c>
      <c r="AG690" s="28"/>
      <c r="AH690" s="28"/>
      <c r="AI690" s="17">
        <v>2014</v>
      </c>
      <c r="AJ690" s="17">
        <v>1</v>
      </c>
      <c r="AK690" s="17">
        <v>1</v>
      </c>
      <c r="AL690" s="17" t="s">
        <v>802</v>
      </c>
    </row>
    <row r="691" spans="1:38" ht="12.75" customHeight="1">
      <c r="A691" s="64" t="s">
        <v>807</v>
      </c>
      <c r="B691" s="19" t="s">
        <v>799</v>
      </c>
      <c r="C691" s="17">
        <v>68</v>
      </c>
      <c r="D691" s="20" t="s">
        <v>196</v>
      </c>
      <c r="E691" s="19">
        <v>5000</v>
      </c>
      <c r="F691" s="19" t="s">
        <v>452</v>
      </c>
      <c r="G691" s="19" t="s">
        <v>473</v>
      </c>
      <c r="H691" s="19" t="s">
        <v>263</v>
      </c>
      <c r="I691" s="17" t="b">
        <v>1</v>
      </c>
      <c r="J691" s="17" t="s">
        <v>128</v>
      </c>
      <c r="K691" s="21" t="str">
        <f t="shared" si="18"/>
        <v>https://version2.ice-d.org/antarctica/sample/14-TUG-025-SKF/</v>
      </c>
      <c r="L691" s="64" t="s">
        <v>800</v>
      </c>
      <c r="M691" s="155"/>
      <c r="N691" s="17" t="s">
        <v>39</v>
      </c>
      <c r="O691" s="17" t="s">
        <v>474</v>
      </c>
      <c r="P691" s="22">
        <v>-72.688074999999998</v>
      </c>
      <c r="Q691" s="22">
        <v>169.54624999999999</v>
      </c>
      <c r="R691" s="22"/>
      <c r="S691" s="22">
        <v>96.1</v>
      </c>
      <c r="T691" s="22">
        <v>13</v>
      </c>
      <c r="U691" s="23">
        <v>350</v>
      </c>
      <c r="V691" s="115" t="s">
        <v>2344</v>
      </c>
      <c r="W691" s="44" t="s">
        <v>2455</v>
      </c>
      <c r="X691" s="22">
        <f t="shared" si="19"/>
        <v>83.1</v>
      </c>
      <c r="Y691" s="22">
        <v>4</v>
      </c>
      <c r="Z691" s="22">
        <v>2.7</v>
      </c>
      <c r="AA691" s="17" t="s">
        <v>51</v>
      </c>
      <c r="AB691" s="26">
        <v>7125</v>
      </c>
      <c r="AC691" s="26">
        <v>1370</v>
      </c>
      <c r="AD691" s="26"/>
      <c r="AE691" s="27">
        <v>232173</v>
      </c>
      <c r="AF691" s="27">
        <v>4475</v>
      </c>
      <c r="AG691" s="28"/>
      <c r="AH691" s="28"/>
      <c r="AI691" s="17">
        <v>2014</v>
      </c>
      <c r="AJ691" s="17">
        <v>1</v>
      </c>
      <c r="AK691" s="17">
        <v>1</v>
      </c>
      <c r="AL691" s="17" t="s">
        <v>802</v>
      </c>
    </row>
    <row r="692" spans="1:38" ht="12.75" customHeight="1">
      <c r="A692" s="64" t="s">
        <v>807</v>
      </c>
      <c r="B692" s="19" t="s">
        <v>799</v>
      </c>
      <c r="C692" s="17">
        <v>68</v>
      </c>
      <c r="D692" s="20" t="s">
        <v>196</v>
      </c>
      <c r="E692" s="19">
        <v>5000</v>
      </c>
      <c r="F692" s="19" t="s">
        <v>452</v>
      </c>
      <c r="G692" s="19" t="s">
        <v>473</v>
      </c>
      <c r="H692" s="19" t="s">
        <v>263</v>
      </c>
      <c r="I692" s="17" t="b">
        <v>1</v>
      </c>
      <c r="J692" s="17" t="s">
        <v>128</v>
      </c>
      <c r="K692" s="21" t="str">
        <f t="shared" si="18"/>
        <v>https://version2.ice-d.org/antarctica/sample/14-TUG-025-SKF/</v>
      </c>
      <c r="L692" s="64" t="s">
        <v>800</v>
      </c>
      <c r="M692" s="155"/>
      <c r="N692" s="17" t="s">
        <v>39</v>
      </c>
      <c r="O692" s="17" t="s">
        <v>474</v>
      </c>
      <c r="P692" s="22">
        <v>-72.688074999999998</v>
      </c>
      <c r="Q692" s="22">
        <v>169.54624999999999</v>
      </c>
      <c r="R692" s="22"/>
      <c r="S692" s="22">
        <v>96.1</v>
      </c>
      <c r="T692" s="22">
        <v>13</v>
      </c>
      <c r="U692" s="23">
        <v>350</v>
      </c>
      <c r="V692" s="115" t="s">
        <v>2344</v>
      </c>
      <c r="W692" s="44" t="s">
        <v>2455</v>
      </c>
      <c r="X692" s="22">
        <f t="shared" si="19"/>
        <v>83.1</v>
      </c>
      <c r="Y692" s="22">
        <v>4</v>
      </c>
      <c r="Z692" s="22">
        <v>2.7</v>
      </c>
      <c r="AA692" s="17" t="s">
        <v>51</v>
      </c>
      <c r="AB692" s="26">
        <v>11476</v>
      </c>
      <c r="AC692" s="26">
        <v>1587</v>
      </c>
      <c r="AD692" s="26"/>
      <c r="AE692" s="27">
        <v>232173</v>
      </c>
      <c r="AF692" s="27">
        <v>4475</v>
      </c>
      <c r="AG692" s="28"/>
      <c r="AH692" s="28"/>
      <c r="AI692" s="17">
        <v>2014</v>
      </c>
      <c r="AJ692" s="17">
        <v>1</v>
      </c>
      <c r="AK692" s="17">
        <v>1</v>
      </c>
      <c r="AL692" s="17" t="s">
        <v>802</v>
      </c>
    </row>
    <row r="693" spans="1:38" ht="12.75" customHeight="1">
      <c r="A693" s="64" t="s">
        <v>808</v>
      </c>
      <c r="B693" s="19" t="s">
        <v>799</v>
      </c>
      <c r="C693" s="17">
        <v>68</v>
      </c>
      <c r="D693" s="20" t="s">
        <v>196</v>
      </c>
      <c r="E693" s="19">
        <v>5000</v>
      </c>
      <c r="F693" s="19" t="s">
        <v>452</v>
      </c>
      <c r="G693" s="19" t="s">
        <v>473</v>
      </c>
      <c r="H693" s="19" t="s">
        <v>263</v>
      </c>
      <c r="I693" s="17" t="b">
        <v>1</v>
      </c>
      <c r="J693" s="17" t="s">
        <v>128</v>
      </c>
      <c r="K693" s="21" t="str">
        <f t="shared" si="18"/>
        <v>https://version2.ice-d.org/antarctica/sample/14-TUG-026-SKF/</v>
      </c>
      <c r="L693" s="64" t="s">
        <v>800</v>
      </c>
      <c r="M693" s="155"/>
      <c r="N693" s="17" t="s">
        <v>39</v>
      </c>
      <c r="O693" s="17" t="s">
        <v>474</v>
      </c>
      <c r="P693" s="22">
        <v>-72.690224000000001</v>
      </c>
      <c r="Q693" s="22">
        <v>169.53985900000001</v>
      </c>
      <c r="R693" s="22"/>
      <c r="S693" s="22">
        <v>70.3</v>
      </c>
      <c r="T693" s="22">
        <v>13</v>
      </c>
      <c r="U693" s="23">
        <v>350</v>
      </c>
      <c r="V693" s="115" t="s">
        <v>2344</v>
      </c>
      <c r="W693" s="44" t="s">
        <v>2455</v>
      </c>
      <c r="X693" s="22">
        <f t="shared" si="19"/>
        <v>57.3</v>
      </c>
      <c r="Y693" s="22">
        <v>3</v>
      </c>
      <c r="Z693" s="22">
        <v>2.7</v>
      </c>
      <c r="AA693" s="17" t="s">
        <v>51</v>
      </c>
      <c r="AB693" s="26">
        <v>7946</v>
      </c>
      <c r="AC693" s="26">
        <v>1433</v>
      </c>
      <c r="AD693" s="26"/>
      <c r="AE693" s="27">
        <v>166709</v>
      </c>
      <c r="AF693" s="27">
        <v>3251</v>
      </c>
      <c r="AG693" s="28"/>
      <c r="AH693" s="28"/>
      <c r="AI693" s="17">
        <v>2014</v>
      </c>
      <c r="AJ693" s="17">
        <v>1</v>
      </c>
      <c r="AK693" s="17">
        <v>1</v>
      </c>
      <c r="AL693" s="17" t="s">
        <v>802</v>
      </c>
    </row>
    <row r="694" spans="1:38" ht="12.75" customHeight="1">
      <c r="A694" s="64" t="s">
        <v>808</v>
      </c>
      <c r="B694" s="19" t="s">
        <v>799</v>
      </c>
      <c r="C694" s="17">
        <v>68</v>
      </c>
      <c r="D694" s="20" t="s">
        <v>196</v>
      </c>
      <c r="E694" s="19">
        <v>5000</v>
      </c>
      <c r="F694" s="19" t="s">
        <v>452</v>
      </c>
      <c r="G694" s="19" t="s">
        <v>473</v>
      </c>
      <c r="H694" s="19" t="s">
        <v>263</v>
      </c>
      <c r="I694" s="17" t="b">
        <v>1</v>
      </c>
      <c r="J694" s="17" t="s">
        <v>128</v>
      </c>
      <c r="K694" s="21" t="str">
        <f t="shared" si="18"/>
        <v>https://version2.ice-d.org/antarctica/sample/14-TUG-026-SKF/</v>
      </c>
      <c r="L694" s="64" t="s">
        <v>800</v>
      </c>
      <c r="M694" s="155"/>
      <c r="N694" s="17" t="s">
        <v>39</v>
      </c>
      <c r="O694" s="17" t="s">
        <v>474</v>
      </c>
      <c r="P694" s="22">
        <v>-72.690224000000001</v>
      </c>
      <c r="Q694" s="22">
        <v>169.53985900000001</v>
      </c>
      <c r="R694" s="22"/>
      <c r="S694" s="22">
        <v>70.3</v>
      </c>
      <c r="T694" s="22">
        <v>13</v>
      </c>
      <c r="U694" s="23">
        <v>350</v>
      </c>
      <c r="V694" s="115" t="s">
        <v>2344</v>
      </c>
      <c r="W694" s="44" t="s">
        <v>2455</v>
      </c>
      <c r="X694" s="22">
        <f t="shared" si="19"/>
        <v>57.3</v>
      </c>
      <c r="Y694" s="22">
        <v>3</v>
      </c>
      <c r="Z694" s="22">
        <v>2.7</v>
      </c>
      <c r="AA694" s="17" t="s">
        <v>51</v>
      </c>
      <c r="AB694" s="26">
        <v>14170</v>
      </c>
      <c r="AC694" s="26">
        <v>1619</v>
      </c>
      <c r="AD694" s="26"/>
      <c r="AE694" s="27">
        <v>166709</v>
      </c>
      <c r="AF694" s="27">
        <v>3251</v>
      </c>
      <c r="AG694" s="28"/>
      <c r="AH694" s="28"/>
      <c r="AI694" s="17">
        <v>2014</v>
      </c>
      <c r="AJ694" s="17">
        <v>1</v>
      </c>
      <c r="AK694" s="17">
        <v>1</v>
      </c>
      <c r="AL694" s="17" t="s">
        <v>802</v>
      </c>
    </row>
    <row r="695" spans="1:38" ht="12.75" customHeight="1">
      <c r="A695" s="64" t="s">
        <v>809</v>
      </c>
      <c r="B695" s="19" t="s">
        <v>799</v>
      </c>
      <c r="C695" s="17">
        <v>68</v>
      </c>
      <c r="D695" s="20" t="s">
        <v>196</v>
      </c>
      <c r="E695" s="19">
        <v>5000</v>
      </c>
      <c r="F695" s="19" t="s">
        <v>452</v>
      </c>
      <c r="G695" s="19" t="s">
        <v>473</v>
      </c>
      <c r="H695" s="19" t="s">
        <v>263</v>
      </c>
      <c r="I695" s="17" t="b">
        <v>1</v>
      </c>
      <c r="J695" s="17" t="s">
        <v>128</v>
      </c>
      <c r="K695" s="21" t="str">
        <f t="shared" si="18"/>
        <v>https://version2.ice-d.org/antarctica/sample/14-TUG-028-SKF/</v>
      </c>
      <c r="L695" s="64" t="s">
        <v>800</v>
      </c>
      <c r="M695" s="155"/>
      <c r="N695" s="17" t="s">
        <v>39</v>
      </c>
      <c r="O695" s="17" t="s">
        <v>474</v>
      </c>
      <c r="P695" s="22">
        <v>-72.690472</v>
      </c>
      <c r="Q695" s="22">
        <v>169.53526600000001</v>
      </c>
      <c r="R695" s="22"/>
      <c r="S695" s="22">
        <v>28.6</v>
      </c>
      <c r="T695" s="22">
        <v>13</v>
      </c>
      <c r="U695" s="23">
        <v>350</v>
      </c>
      <c r="V695" s="115" t="s">
        <v>2344</v>
      </c>
      <c r="W695" s="44" t="s">
        <v>2455</v>
      </c>
      <c r="X695" s="22">
        <f t="shared" si="19"/>
        <v>15.600000000000001</v>
      </c>
      <c r="Y695" s="22">
        <v>1</v>
      </c>
      <c r="Z695" s="22">
        <v>2.7</v>
      </c>
      <c r="AA695" s="17" t="s">
        <v>51</v>
      </c>
      <c r="AB695" s="26">
        <v>6278</v>
      </c>
      <c r="AC695" s="26">
        <v>2422</v>
      </c>
      <c r="AD695" s="26"/>
      <c r="AE695" s="27">
        <v>65761</v>
      </c>
      <c r="AF695" s="27">
        <v>1893</v>
      </c>
      <c r="AG695" s="28"/>
      <c r="AH695" s="28"/>
      <c r="AI695" s="17">
        <v>2014</v>
      </c>
      <c r="AJ695" s="17">
        <v>1</v>
      </c>
      <c r="AK695" s="17">
        <v>1</v>
      </c>
      <c r="AL695" s="17" t="s">
        <v>802</v>
      </c>
    </row>
    <row r="696" spans="1:38" ht="12.75" customHeight="1">
      <c r="A696" s="64" t="s">
        <v>809</v>
      </c>
      <c r="B696" s="19" t="s">
        <v>799</v>
      </c>
      <c r="C696" s="17">
        <v>68</v>
      </c>
      <c r="D696" s="20" t="s">
        <v>196</v>
      </c>
      <c r="E696" s="19">
        <v>5000</v>
      </c>
      <c r="F696" s="19" t="s">
        <v>452</v>
      </c>
      <c r="G696" s="19" t="s">
        <v>473</v>
      </c>
      <c r="H696" s="19" t="s">
        <v>263</v>
      </c>
      <c r="I696" s="17" t="b">
        <v>1</v>
      </c>
      <c r="J696" s="17" t="s">
        <v>128</v>
      </c>
      <c r="K696" s="21" t="str">
        <f t="shared" si="18"/>
        <v>https://version2.ice-d.org/antarctica/sample/14-TUG-028-SKF/</v>
      </c>
      <c r="L696" s="64" t="s">
        <v>800</v>
      </c>
      <c r="M696" s="155"/>
      <c r="N696" s="17" t="s">
        <v>39</v>
      </c>
      <c r="O696" s="17" t="s">
        <v>474</v>
      </c>
      <c r="P696" s="22">
        <v>-72.690472</v>
      </c>
      <c r="Q696" s="22">
        <v>169.53526600000001</v>
      </c>
      <c r="R696" s="22"/>
      <c r="S696" s="22">
        <v>28.6</v>
      </c>
      <c r="T696" s="22">
        <v>13</v>
      </c>
      <c r="U696" s="23">
        <v>350</v>
      </c>
      <c r="V696" s="115" t="s">
        <v>2344</v>
      </c>
      <c r="W696" s="44" t="s">
        <v>2455</v>
      </c>
      <c r="X696" s="22">
        <f t="shared" si="19"/>
        <v>15.600000000000001</v>
      </c>
      <c r="Y696" s="22">
        <v>1</v>
      </c>
      <c r="Z696" s="22">
        <v>2.7</v>
      </c>
      <c r="AA696" s="17" t="s">
        <v>51</v>
      </c>
      <c r="AB696" s="26">
        <v>10811</v>
      </c>
      <c r="AC696" s="26">
        <v>1755</v>
      </c>
      <c r="AD696" s="26"/>
      <c r="AE696" s="27">
        <v>65761</v>
      </c>
      <c r="AF696" s="27">
        <v>1893</v>
      </c>
      <c r="AG696" s="28"/>
      <c r="AH696" s="28"/>
      <c r="AI696" s="17">
        <v>2014</v>
      </c>
      <c r="AJ696" s="17">
        <v>1</v>
      </c>
      <c r="AK696" s="17">
        <v>1</v>
      </c>
      <c r="AL696" s="17" t="s">
        <v>802</v>
      </c>
    </row>
    <row r="697" spans="1:38" ht="12.75" customHeight="1">
      <c r="A697" s="64" t="s">
        <v>810</v>
      </c>
      <c r="B697" s="19" t="s">
        <v>799</v>
      </c>
      <c r="C697" s="17">
        <v>68</v>
      </c>
      <c r="D697" s="20" t="s">
        <v>196</v>
      </c>
      <c r="E697" s="19">
        <v>5000</v>
      </c>
      <c r="F697" s="19" t="s">
        <v>452</v>
      </c>
      <c r="G697" s="19" t="s">
        <v>473</v>
      </c>
      <c r="H697" s="19" t="s">
        <v>263</v>
      </c>
      <c r="I697" s="17" t="b">
        <v>1</v>
      </c>
      <c r="J697" s="17" t="s">
        <v>128</v>
      </c>
      <c r="K697" s="21" t="str">
        <f t="shared" si="18"/>
        <v>https://version2.ice-d.org/antarctica/sample/14-TUG-029-SKF/</v>
      </c>
      <c r="L697" s="64" t="s">
        <v>800</v>
      </c>
      <c r="M697" s="155"/>
      <c r="N697" s="17" t="s">
        <v>39</v>
      </c>
      <c r="O697" s="17" t="s">
        <v>474</v>
      </c>
      <c r="P697" s="22">
        <v>-72.688471000000007</v>
      </c>
      <c r="Q697" s="22">
        <v>169.53559200000001</v>
      </c>
      <c r="R697" s="22"/>
      <c r="S697" s="22">
        <v>14.8</v>
      </c>
      <c r="T697" s="22">
        <v>13</v>
      </c>
      <c r="U697" s="23">
        <v>350</v>
      </c>
      <c r="V697" s="115" t="s">
        <v>2344</v>
      </c>
      <c r="W697" s="44" t="s">
        <v>2455</v>
      </c>
      <c r="X697" s="22">
        <f t="shared" si="19"/>
        <v>1.8000000000000007</v>
      </c>
      <c r="Y697" s="22">
        <v>5</v>
      </c>
      <c r="Z697" s="22">
        <v>2.7</v>
      </c>
      <c r="AA697" s="17" t="s">
        <v>51</v>
      </c>
      <c r="AB697" s="26">
        <v>5793</v>
      </c>
      <c r="AC697" s="26">
        <v>1987</v>
      </c>
      <c r="AD697" s="26"/>
      <c r="AE697" s="27">
        <v>26878</v>
      </c>
      <c r="AF697" s="27">
        <v>1061</v>
      </c>
      <c r="AG697" s="28"/>
      <c r="AH697" s="28"/>
      <c r="AI697" s="17">
        <v>2014</v>
      </c>
      <c r="AJ697" s="17">
        <v>1</v>
      </c>
      <c r="AK697" s="17">
        <v>1</v>
      </c>
      <c r="AL697" s="17" t="s">
        <v>802</v>
      </c>
    </row>
    <row r="698" spans="1:38" ht="12.75" customHeight="1">
      <c r="A698" s="64" t="s">
        <v>810</v>
      </c>
      <c r="B698" s="19" t="s">
        <v>799</v>
      </c>
      <c r="C698" s="17">
        <v>68</v>
      </c>
      <c r="D698" s="20" t="s">
        <v>196</v>
      </c>
      <c r="E698" s="19">
        <v>5000</v>
      </c>
      <c r="F698" s="19" t="s">
        <v>452</v>
      </c>
      <c r="G698" s="19" t="s">
        <v>473</v>
      </c>
      <c r="H698" s="19" t="s">
        <v>263</v>
      </c>
      <c r="I698" s="17" t="b">
        <v>1</v>
      </c>
      <c r="J698" s="17" t="s">
        <v>128</v>
      </c>
      <c r="K698" s="21" t="str">
        <f t="shared" si="18"/>
        <v>https://version2.ice-d.org/antarctica/sample/14-TUG-029-SKF/</v>
      </c>
      <c r="L698" s="64" t="s">
        <v>800</v>
      </c>
      <c r="M698" s="155"/>
      <c r="N698" s="17" t="s">
        <v>39</v>
      </c>
      <c r="O698" s="17" t="s">
        <v>474</v>
      </c>
      <c r="P698" s="22">
        <v>-72.688471000000007</v>
      </c>
      <c r="Q698" s="22">
        <v>169.53559200000001</v>
      </c>
      <c r="R698" s="22"/>
      <c r="S698" s="22">
        <v>14.8</v>
      </c>
      <c r="T698" s="22">
        <v>13</v>
      </c>
      <c r="U698" s="23">
        <v>350</v>
      </c>
      <c r="V698" s="115" t="s">
        <v>2344</v>
      </c>
      <c r="W698" s="44" t="s">
        <v>2455</v>
      </c>
      <c r="X698" s="22">
        <f t="shared" si="19"/>
        <v>1.8000000000000007</v>
      </c>
      <c r="Y698" s="22">
        <v>5</v>
      </c>
      <c r="Z698" s="22">
        <v>2.7</v>
      </c>
      <c r="AA698" s="17" t="s">
        <v>51</v>
      </c>
      <c r="AB698" s="26">
        <v>5977</v>
      </c>
      <c r="AC698" s="26">
        <v>1761</v>
      </c>
      <c r="AD698" s="26"/>
      <c r="AE698" s="27">
        <v>26878</v>
      </c>
      <c r="AF698" s="27">
        <v>1061</v>
      </c>
      <c r="AG698" s="28"/>
      <c r="AH698" s="28"/>
      <c r="AI698" s="17">
        <v>2014</v>
      </c>
      <c r="AJ698" s="17">
        <v>1</v>
      </c>
      <c r="AK698" s="17">
        <v>1</v>
      </c>
      <c r="AL698" s="17" t="s">
        <v>802</v>
      </c>
    </row>
    <row r="699" spans="1:38" ht="12.75" customHeight="1">
      <c r="A699" s="64" t="s">
        <v>798</v>
      </c>
      <c r="B699" s="19" t="s">
        <v>799</v>
      </c>
      <c r="C699" s="17">
        <v>68</v>
      </c>
      <c r="D699" s="20" t="s">
        <v>196</v>
      </c>
      <c r="E699" s="19">
        <v>5000</v>
      </c>
      <c r="F699" s="19" t="s">
        <v>452</v>
      </c>
      <c r="G699" s="19" t="s">
        <v>473</v>
      </c>
      <c r="H699" s="19" t="s">
        <v>263</v>
      </c>
      <c r="I699" s="17" t="b">
        <v>1</v>
      </c>
      <c r="J699" s="17" t="s">
        <v>247</v>
      </c>
      <c r="K699" s="21" t="str">
        <f t="shared" si="18"/>
        <v>https://version2.ice-d.org/antarctica/sample/14-TUG-013-SKF/</v>
      </c>
      <c r="L699" s="64" t="s">
        <v>800</v>
      </c>
      <c r="M699" s="155"/>
      <c r="N699" s="17" t="s">
        <v>39</v>
      </c>
      <c r="O699" s="17" t="s">
        <v>474</v>
      </c>
      <c r="P699" s="22">
        <v>-72.682919999999996</v>
      </c>
      <c r="Q699" s="22">
        <v>169.54806600000001</v>
      </c>
      <c r="R699" s="22"/>
      <c r="S699" s="22">
        <v>64.400000000000006</v>
      </c>
      <c r="T699" s="22">
        <v>13</v>
      </c>
      <c r="U699" s="23">
        <v>350</v>
      </c>
      <c r="V699" s="115" t="s">
        <v>2344</v>
      </c>
      <c r="W699" s="44" t="s">
        <v>2455</v>
      </c>
      <c r="X699" s="22">
        <f t="shared" si="19"/>
        <v>51.400000000000006</v>
      </c>
      <c r="Y699" s="22">
        <v>3</v>
      </c>
      <c r="Z699" s="22">
        <v>2.7</v>
      </c>
      <c r="AA699" s="17" t="s">
        <v>51</v>
      </c>
      <c r="AB699" s="26">
        <v>14886</v>
      </c>
      <c r="AC699" s="26">
        <v>603</v>
      </c>
      <c r="AD699" s="26">
        <v>2174</v>
      </c>
      <c r="AE699" s="27">
        <v>126952</v>
      </c>
      <c r="AF699" s="27">
        <v>2477</v>
      </c>
      <c r="AG699" s="28"/>
      <c r="AH699" s="28"/>
      <c r="AI699" s="17">
        <v>2014</v>
      </c>
      <c r="AJ699" s="17">
        <v>1</v>
      </c>
      <c r="AK699" s="17">
        <v>0</v>
      </c>
    </row>
    <row r="700" spans="1:38" ht="12.75" customHeight="1">
      <c r="A700" s="64" t="s">
        <v>811</v>
      </c>
      <c r="B700" s="19" t="s">
        <v>799</v>
      </c>
      <c r="C700" s="17">
        <v>68</v>
      </c>
      <c r="D700" s="20" t="s">
        <v>196</v>
      </c>
      <c r="E700" s="19">
        <v>5000</v>
      </c>
      <c r="F700" s="19" t="s">
        <v>452</v>
      </c>
      <c r="G700" s="19" t="s">
        <v>473</v>
      </c>
      <c r="H700" s="19" t="s">
        <v>263</v>
      </c>
      <c r="I700" s="17" t="b">
        <v>1</v>
      </c>
      <c r="J700" s="17" t="s">
        <v>247</v>
      </c>
      <c r="K700" s="21" t="str">
        <f t="shared" si="18"/>
        <v>https://version2.ice-d.org/antarctica/sample/14-TUG-014-SKF/</v>
      </c>
      <c r="L700" s="64" t="s">
        <v>800</v>
      </c>
      <c r="M700" s="155"/>
      <c r="N700" s="17" t="s">
        <v>39</v>
      </c>
      <c r="O700" s="17" t="s">
        <v>474</v>
      </c>
      <c r="P700" s="22">
        <v>-72.682478000000003</v>
      </c>
      <c r="Q700" s="22">
        <v>169.549206</v>
      </c>
      <c r="R700" s="22"/>
      <c r="S700" s="22">
        <v>64.099999999999994</v>
      </c>
      <c r="T700" s="22">
        <v>13</v>
      </c>
      <c r="U700" s="23">
        <v>350</v>
      </c>
      <c r="V700" s="115" t="s">
        <v>2344</v>
      </c>
      <c r="W700" s="44" t="s">
        <v>2455</v>
      </c>
      <c r="X700" s="22">
        <f t="shared" si="19"/>
        <v>51.099999999999994</v>
      </c>
      <c r="Y700" s="22">
        <v>4</v>
      </c>
      <c r="Z700" s="22">
        <v>2.7</v>
      </c>
      <c r="AA700" s="17" t="s">
        <v>51</v>
      </c>
      <c r="AB700" s="26">
        <v>17181</v>
      </c>
      <c r="AC700" s="26">
        <v>827</v>
      </c>
      <c r="AD700" s="26">
        <v>3006</v>
      </c>
      <c r="AE700" s="27">
        <v>384528</v>
      </c>
      <c r="AF700" s="27">
        <v>8796</v>
      </c>
      <c r="AG700" s="28"/>
      <c r="AH700" s="28"/>
      <c r="AI700" s="17">
        <v>2014</v>
      </c>
      <c r="AJ700" s="17">
        <v>1</v>
      </c>
      <c r="AK700" s="17">
        <v>0</v>
      </c>
    </row>
    <row r="701" spans="1:38" ht="15.75" customHeight="1">
      <c r="A701" s="64" t="s">
        <v>804</v>
      </c>
      <c r="B701" s="19" t="s">
        <v>799</v>
      </c>
      <c r="C701" s="17">
        <v>68</v>
      </c>
      <c r="D701" s="20" t="s">
        <v>196</v>
      </c>
      <c r="E701" s="19">
        <v>5000</v>
      </c>
      <c r="F701" s="19" t="s">
        <v>452</v>
      </c>
      <c r="G701" s="19" t="s">
        <v>473</v>
      </c>
      <c r="H701" s="19" t="s">
        <v>263</v>
      </c>
      <c r="I701" s="17" t="b">
        <v>1</v>
      </c>
      <c r="J701" s="17" t="s">
        <v>247</v>
      </c>
      <c r="K701" s="21" t="str">
        <f t="shared" si="18"/>
        <v>https://version2.ice-d.org/antarctica/sample/14-TUG-020-SKF/</v>
      </c>
      <c r="L701" s="64" t="s">
        <v>800</v>
      </c>
      <c r="M701" s="155"/>
      <c r="N701" s="17" t="s">
        <v>39</v>
      </c>
      <c r="O701" s="17" t="s">
        <v>474</v>
      </c>
      <c r="P701" s="22">
        <v>-72.689162999999994</v>
      </c>
      <c r="Q701" s="22">
        <v>169.554179</v>
      </c>
      <c r="R701" s="22"/>
      <c r="S701" s="22">
        <v>164.9</v>
      </c>
      <c r="T701" s="22">
        <v>13</v>
      </c>
      <c r="U701" s="23">
        <v>350</v>
      </c>
      <c r="V701" s="115" t="s">
        <v>2344</v>
      </c>
      <c r="W701" s="44" t="s">
        <v>2455</v>
      </c>
      <c r="X701" s="22">
        <f t="shared" si="19"/>
        <v>151.9</v>
      </c>
      <c r="Y701" s="22">
        <v>1.5</v>
      </c>
      <c r="Z701" s="22">
        <v>2.7</v>
      </c>
      <c r="AA701" s="17" t="s">
        <v>51</v>
      </c>
      <c r="AB701" s="26">
        <v>13954</v>
      </c>
      <c r="AC701" s="26">
        <v>519</v>
      </c>
      <c r="AD701" s="26">
        <v>1895</v>
      </c>
      <c r="AE701" s="27">
        <v>152491</v>
      </c>
      <c r="AF701" s="27">
        <v>3183</v>
      </c>
      <c r="AG701" s="28"/>
      <c r="AH701" s="28"/>
      <c r="AI701" s="17">
        <v>2014</v>
      </c>
      <c r="AJ701" s="17">
        <v>1</v>
      </c>
      <c r="AK701" s="17">
        <v>0</v>
      </c>
    </row>
    <row r="702" spans="1:38" ht="15.75" customHeight="1">
      <c r="A702" s="64" t="s">
        <v>812</v>
      </c>
      <c r="B702" s="19" t="s">
        <v>799</v>
      </c>
      <c r="C702" s="17">
        <v>68</v>
      </c>
      <c r="D702" s="20" t="s">
        <v>196</v>
      </c>
      <c r="E702" s="19">
        <v>5000</v>
      </c>
      <c r="F702" s="19" t="s">
        <v>452</v>
      </c>
      <c r="G702" s="19" t="s">
        <v>473</v>
      </c>
      <c r="H702" s="19" t="s">
        <v>263</v>
      </c>
      <c r="I702" s="17" t="b">
        <v>1</v>
      </c>
      <c r="J702" s="17" t="s">
        <v>247</v>
      </c>
      <c r="K702" s="21" t="str">
        <f t="shared" si="18"/>
        <v>https://version2.ice-d.org/antarctica/sample/14-TUG-021-SKF/</v>
      </c>
      <c r="L702" s="64" t="s">
        <v>800</v>
      </c>
      <c r="M702" s="155"/>
      <c r="N702" s="17" t="s">
        <v>39</v>
      </c>
      <c r="O702" s="17" t="s">
        <v>474</v>
      </c>
      <c r="P702" s="22">
        <v>-72.688519999999997</v>
      </c>
      <c r="Q702" s="22">
        <v>169.55279999999999</v>
      </c>
      <c r="R702" s="22"/>
      <c r="S702" s="22">
        <v>143.30000000000001</v>
      </c>
      <c r="T702" s="22">
        <v>13</v>
      </c>
      <c r="U702" s="23">
        <v>350</v>
      </c>
      <c r="V702" s="115" t="s">
        <v>2344</v>
      </c>
      <c r="W702" s="44" t="s">
        <v>2455</v>
      </c>
      <c r="X702" s="22">
        <f t="shared" si="19"/>
        <v>130.30000000000001</v>
      </c>
      <c r="Y702" s="22">
        <v>5</v>
      </c>
      <c r="Z702" s="22">
        <v>2.7</v>
      </c>
      <c r="AA702" s="17" t="s">
        <v>51</v>
      </c>
      <c r="AB702" s="26">
        <v>17301</v>
      </c>
      <c r="AC702" s="26">
        <v>1142</v>
      </c>
      <c r="AD702" s="26">
        <v>3152</v>
      </c>
      <c r="AE702" s="27">
        <v>148290</v>
      </c>
      <c r="AF702" s="27">
        <v>3739</v>
      </c>
      <c r="AG702" s="28"/>
      <c r="AH702" s="28"/>
      <c r="AI702" s="17">
        <v>2014</v>
      </c>
      <c r="AJ702" s="17">
        <v>1</v>
      </c>
      <c r="AK702" s="17">
        <v>0</v>
      </c>
    </row>
    <row r="703" spans="1:38" ht="15.75" customHeight="1">
      <c r="A703" s="64" t="s">
        <v>805</v>
      </c>
      <c r="B703" s="19" t="s">
        <v>799</v>
      </c>
      <c r="C703" s="17">
        <v>68</v>
      </c>
      <c r="D703" s="20" t="s">
        <v>196</v>
      </c>
      <c r="E703" s="19">
        <v>5000</v>
      </c>
      <c r="F703" s="19" t="s">
        <v>452</v>
      </c>
      <c r="G703" s="19" t="s">
        <v>473</v>
      </c>
      <c r="H703" s="19" t="s">
        <v>263</v>
      </c>
      <c r="I703" s="17" t="b">
        <v>1</v>
      </c>
      <c r="J703" s="17" t="s">
        <v>247</v>
      </c>
      <c r="K703" s="21" t="str">
        <f t="shared" si="18"/>
        <v>https://version2.ice-d.org/antarctica/sample/14-TUG-022-SKF/</v>
      </c>
      <c r="L703" s="64" t="s">
        <v>800</v>
      </c>
      <c r="M703" s="155"/>
      <c r="N703" s="17" t="s">
        <v>39</v>
      </c>
      <c r="O703" s="17" t="s">
        <v>474</v>
      </c>
      <c r="P703" s="22">
        <v>-72.690567999999999</v>
      </c>
      <c r="Q703" s="22">
        <v>169.552188</v>
      </c>
      <c r="R703" s="22"/>
      <c r="S703" s="22">
        <v>173</v>
      </c>
      <c r="T703" s="22">
        <v>13</v>
      </c>
      <c r="U703" s="23">
        <v>350</v>
      </c>
      <c r="V703" s="115" t="s">
        <v>2344</v>
      </c>
      <c r="W703" s="44" t="s">
        <v>2455</v>
      </c>
      <c r="X703" s="22">
        <f t="shared" si="19"/>
        <v>160</v>
      </c>
      <c r="Y703" s="22">
        <v>4</v>
      </c>
      <c r="Z703" s="22">
        <v>2.7</v>
      </c>
      <c r="AA703" s="17" t="s">
        <v>51</v>
      </c>
      <c r="AB703" s="26">
        <v>20153</v>
      </c>
      <c r="AC703" s="26">
        <v>1612</v>
      </c>
      <c r="AD703" s="26">
        <v>4609</v>
      </c>
      <c r="AE703" s="27">
        <v>128625</v>
      </c>
      <c r="AF703" s="27">
        <v>2372</v>
      </c>
      <c r="AG703" s="28"/>
      <c r="AH703" s="28"/>
      <c r="AI703" s="17">
        <v>2014</v>
      </c>
      <c r="AJ703" s="17">
        <v>1</v>
      </c>
      <c r="AK703" s="17">
        <v>0</v>
      </c>
    </row>
    <row r="704" spans="1:38" ht="15.75" customHeight="1">
      <c r="A704" s="64" t="s">
        <v>806</v>
      </c>
      <c r="B704" s="19" t="s">
        <v>799</v>
      </c>
      <c r="C704" s="17">
        <v>68</v>
      </c>
      <c r="D704" s="20" t="s">
        <v>196</v>
      </c>
      <c r="E704" s="19">
        <v>5000</v>
      </c>
      <c r="F704" s="19" t="s">
        <v>452</v>
      </c>
      <c r="G704" s="19" t="s">
        <v>473</v>
      </c>
      <c r="H704" s="19" t="s">
        <v>263</v>
      </c>
      <c r="I704" s="17" t="b">
        <v>1</v>
      </c>
      <c r="J704" s="17" t="s">
        <v>247</v>
      </c>
      <c r="K704" s="21" t="str">
        <f t="shared" si="18"/>
        <v>https://version2.ice-d.org/antarctica/sample/14-TUG-024-SKF/</v>
      </c>
      <c r="L704" s="64" t="s">
        <v>800</v>
      </c>
      <c r="M704" s="155"/>
      <c r="N704" s="17" t="s">
        <v>39</v>
      </c>
      <c r="O704" s="17" t="s">
        <v>474</v>
      </c>
      <c r="P704" s="22">
        <v>-72.690428999999995</v>
      </c>
      <c r="Q704" s="22">
        <v>169.550138</v>
      </c>
      <c r="R704" s="22"/>
      <c r="S704" s="22">
        <v>141.6</v>
      </c>
      <c r="T704" s="22">
        <v>13</v>
      </c>
      <c r="U704" s="23">
        <v>350</v>
      </c>
      <c r="V704" s="115" t="s">
        <v>2344</v>
      </c>
      <c r="W704" s="44" t="s">
        <v>2455</v>
      </c>
      <c r="X704" s="22">
        <f t="shared" si="19"/>
        <v>128.6</v>
      </c>
      <c r="Y704" s="22">
        <v>1.5</v>
      </c>
      <c r="Z704" s="22">
        <v>2.7</v>
      </c>
      <c r="AA704" s="17" t="s">
        <v>51</v>
      </c>
      <c r="AB704" s="26">
        <v>9489</v>
      </c>
      <c r="AC704" s="26">
        <v>263</v>
      </c>
      <c r="AD704" s="26">
        <v>927</v>
      </c>
      <c r="AE704" s="27">
        <v>121496</v>
      </c>
      <c r="AF704" s="27">
        <v>2998</v>
      </c>
      <c r="AG704" s="28"/>
      <c r="AH704" s="28"/>
      <c r="AI704" s="17">
        <v>2014</v>
      </c>
      <c r="AJ704" s="17">
        <v>1</v>
      </c>
      <c r="AK704" s="17">
        <v>0</v>
      </c>
    </row>
    <row r="705" spans="1:39" ht="15.75" customHeight="1">
      <c r="A705" s="64" t="s">
        <v>807</v>
      </c>
      <c r="B705" s="19" t="s">
        <v>799</v>
      </c>
      <c r="C705" s="17">
        <v>68</v>
      </c>
      <c r="D705" s="20" t="s">
        <v>196</v>
      </c>
      <c r="E705" s="19">
        <v>5000</v>
      </c>
      <c r="F705" s="19" t="s">
        <v>452</v>
      </c>
      <c r="G705" s="19" t="s">
        <v>473</v>
      </c>
      <c r="H705" s="19" t="s">
        <v>263</v>
      </c>
      <c r="I705" s="17" t="b">
        <v>1</v>
      </c>
      <c r="J705" s="17" t="s">
        <v>247</v>
      </c>
      <c r="K705" s="21" t="str">
        <f t="shared" si="18"/>
        <v>https://version2.ice-d.org/antarctica/sample/14-TUG-025-SKF/</v>
      </c>
      <c r="L705" s="64" t="s">
        <v>800</v>
      </c>
      <c r="M705" s="155"/>
      <c r="N705" s="17" t="s">
        <v>39</v>
      </c>
      <c r="O705" s="17" t="s">
        <v>474</v>
      </c>
      <c r="P705" s="22">
        <v>-72.688074999999998</v>
      </c>
      <c r="Q705" s="22">
        <v>169.54624999999999</v>
      </c>
      <c r="R705" s="22"/>
      <c r="S705" s="22">
        <v>96.1</v>
      </c>
      <c r="T705" s="22">
        <v>13</v>
      </c>
      <c r="U705" s="23">
        <v>350</v>
      </c>
      <c r="V705" s="115" t="s">
        <v>2344</v>
      </c>
      <c r="W705" s="44" t="s">
        <v>2455</v>
      </c>
      <c r="X705" s="22">
        <f t="shared" si="19"/>
        <v>83.1</v>
      </c>
      <c r="Y705" s="22">
        <v>4</v>
      </c>
      <c r="Z705" s="22">
        <v>2.7</v>
      </c>
      <c r="AA705" s="17" t="s">
        <v>51</v>
      </c>
      <c r="AB705" s="26">
        <v>12189</v>
      </c>
      <c r="AC705" s="26">
        <v>405</v>
      </c>
      <c r="AD705" s="26">
        <v>1450</v>
      </c>
      <c r="AE705" s="27">
        <v>232173</v>
      </c>
      <c r="AF705" s="27">
        <v>4475</v>
      </c>
      <c r="AG705" s="28"/>
      <c r="AH705" s="28"/>
      <c r="AI705" s="17">
        <v>2014</v>
      </c>
      <c r="AJ705" s="17">
        <v>1</v>
      </c>
      <c r="AK705" s="17">
        <v>0</v>
      </c>
    </row>
    <row r="706" spans="1:39" ht="15.75" customHeight="1">
      <c r="A706" s="64" t="s">
        <v>808</v>
      </c>
      <c r="B706" s="19" t="s">
        <v>799</v>
      </c>
      <c r="C706" s="17">
        <v>68</v>
      </c>
      <c r="D706" s="20" t="s">
        <v>196</v>
      </c>
      <c r="E706" s="19">
        <v>5000</v>
      </c>
      <c r="F706" s="19" t="s">
        <v>452</v>
      </c>
      <c r="G706" s="19" t="s">
        <v>473</v>
      </c>
      <c r="H706" s="19" t="s">
        <v>263</v>
      </c>
      <c r="I706" s="17" t="b">
        <v>1</v>
      </c>
      <c r="J706" s="17" t="s">
        <v>247</v>
      </c>
      <c r="K706" s="21" t="str">
        <f t="shared" si="18"/>
        <v>https://version2.ice-d.org/antarctica/sample/14-TUG-026-SKF/</v>
      </c>
      <c r="L706" s="64" t="s">
        <v>800</v>
      </c>
      <c r="M706" s="155"/>
      <c r="N706" s="17" t="s">
        <v>39</v>
      </c>
      <c r="O706" s="17" t="s">
        <v>474</v>
      </c>
      <c r="P706" s="22">
        <v>-72.690224000000001</v>
      </c>
      <c r="Q706" s="22">
        <v>169.53985900000001</v>
      </c>
      <c r="R706" s="22"/>
      <c r="S706" s="22">
        <v>70.3</v>
      </c>
      <c r="T706" s="22">
        <v>13</v>
      </c>
      <c r="U706" s="23">
        <v>350</v>
      </c>
      <c r="V706" s="115" t="s">
        <v>2344</v>
      </c>
      <c r="W706" s="44" t="s">
        <v>2455</v>
      </c>
      <c r="X706" s="22">
        <f t="shared" si="19"/>
        <v>57.3</v>
      </c>
      <c r="Y706" s="22">
        <v>3</v>
      </c>
      <c r="Z706" s="22">
        <v>2.7</v>
      </c>
      <c r="AA706" s="17" t="s">
        <v>51</v>
      </c>
      <c r="AB706" s="26">
        <v>10651</v>
      </c>
      <c r="AC706" s="26">
        <v>321</v>
      </c>
      <c r="AD706" s="26">
        <v>1133</v>
      </c>
      <c r="AE706" s="27">
        <v>166709</v>
      </c>
      <c r="AF706" s="27">
        <v>3251</v>
      </c>
      <c r="AG706" s="28"/>
      <c r="AH706" s="28"/>
      <c r="AI706" s="17">
        <v>2014</v>
      </c>
      <c r="AJ706" s="17">
        <v>1</v>
      </c>
      <c r="AK706" s="17">
        <v>0</v>
      </c>
    </row>
    <row r="707" spans="1:39" ht="12.75" customHeight="1">
      <c r="A707" s="64" t="s">
        <v>809</v>
      </c>
      <c r="B707" s="19" t="s">
        <v>799</v>
      </c>
      <c r="C707" s="17">
        <v>68</v>
      </c>
      <c r="D707" s="20" t="s">
        <v>196</v>
      </c>
      <c r="E707" s="19">
        <v>5000</v>
      </c>
      <c r="F707" s="19" t="s">
        <v>452</v>
      </c>
      <c r="G707" s="19" t="s">
        <v>473</v>
      </c>
      <c r="H707" s="19" t="s">
        <v>263</v>
      </c>
      <c r="I707" s="17" t="b">
        <v>1</v>
      </c>
      <c r="J707" s="17" t="s">
        <v>43</v>
      </c>
      <c r="K707" s="21" t="str">
        <f t="shared" si="18"/>
        <v>https://version2.ice-d.org/antarctica/sample/14-TUG-028-SKF/</v>
      </c>
      <c r="L707" s="64" t="s">
        <v>800</v>
      </c>
      <c r="M707" s="155"/>
      <c r="N707" s="17" t="s">
        <v>39</v>
      </c>
      <c r="O707" s="17" t="s">
        <v>474</v>
      </c>
      <c r="P707" s="22">
        <v>-72.690472</v>
      </c>
      <c r="Q707" s="22">
        <v>169.53526600000001</v>
      </c>
      <c r="R707" s="22"/>
      <c r="S707" s="22">
        <v>28.6</v>
      </c>
      <c r="T707" s="22">
        <v>13</v>
      </c>
      <c r="U707" s="23">
        <v>350</v>
      </c>
      <c r="V707" s="115" t="s">
        <v>2344</v>
      </c>
      <c r="W707" s="44" t="s">
        <v>2455</v>
      </c>
      <c r="X707" s="22">
        <f t="shared" si="19"/>
        <v>15.600000000000001</v>
      </c>
      <c r="Y707" s="22">
        <v>1</v>
      </c>
      <c r="Z707" s="22">
        <v>2.7</v>
      </c>
      <c r="AA707" s="17" t="s">
        <v>51</v>
      </c>
      <c r="AB707" s="26">
        <v>11841</v>
      </c>
      <c r="AC707" s="26">
        <v>342</v>
      </c>
      <c r="AD707" s="26">
        <v>780</v>
      </c>
      <c r="AE707" s="27">
        <v>65761</v>
      </c>
      <c r="AF707" s="27">
        <v>1893</v>
      </c>
      <c r="AG707" s="28"/>
      <c r="AH707" s="28"/>
      <c r="AI707" s="17">
        <v>2014</v>
      </c>
      <c r="AJ707" s="17">
        <v>1</v>
      </c>
      <c r="AK707" s="17">
        <v>0</v>
      </c>
    </row>
    <row r="708" spans="1:39" ht="15.75" customHeight="1">
      <c r="A708" s="64" t="s">
        <v>810</v>
      </c>
      <c r="B708" s="19" t="s">
        <v>799</v>
      </c>
      <c r="C708" s="17">
        <v>68</v>
      </c>
      <c r="D708" s="20" t="s">
        <v>196</v>
      </c>
      <c r="E708" s="19">
        <v>5000</v>
      </c>
      <c r="F708" s="19" t="s">
        <v>452</v>
      </c>
      <c r="G708" s="19" t="s">
        <v>473</v>
      </c>
      <c r="H708" s="19" t="s">
        <v>263</v>
      </c>
      <c r="I708" s="17" t="b">
        <v>1</v>
      </c>
      <c r="J708" s="17" t="s">
        <v>43</v>
      </c>
      <c r="K708" s="21" t="str">
        <f t="shared" si="18"/>
        <v>https://version2.ice-d.org/antarctica/sample/14-TUG-029-SKF/</v>
      </c>
      <c r="L708" s="64" t="s">
        <v>800</v>
      </c>
      <c r="M708" s="155"/>
      <c r="N708" s="17" t="s">
        <v>39</v>
      </c>
      <c r="O708" s="17" t="s">
        <v>474</v>
      </c>
      <c r="P708" s="22">
        <v>-72.688471000000007</v>
      </c>
      <c r="Q708" s="22">
        <v>169.53559200000001</v>
      </c>
      <c r="R708" s="22"/>
      <c r="S708" s="22">
        <v>14.8</v>
      </c>
      <c r="T708" s="22">
        <v>13</v>
      </c>
      <c r="U708" s="23">
        <v>350</v>
      </c>
      <c r="V708" s="115" t="s">
        <v>2344</v>
      </c>
      <c r="W708" s="44" t="s">
        <v>2455</v>
      </c>
      <c r="X708" s="22">
        <f t="shared" si="19"/>
        <v>1.8000000000000007</v>
      </c>
      <c r="Y708" s="22">
        <v>5</v>
      </c>
      <c r="Z708" s="22">
        <v>2.7</v>
      </c>
      <c r="AA708" s="17" t="s">
        <v>51</v>
      </c>
      <c r="AB708" s="26">
        <v>5067</v>
      </c>
      <c r="AC708" s="26">
        <v>200</v>
      </c>
      <c r="AD708" s="26">
        <v>360</v>
      </c>
      <c r="AE708" s="27">
        <v>26878</v>
      </c>
      <c r="AF708" s="27">
        <v>1061</v>
      </c>
      <c r="AG708" s="28"/>
      <c r="AH708" s="28"/>
      <c r="AI708" s="17">
        <v>2014</v>
      </c>
      <c r="AJ708" s="17">
        <v>1</v>
      </c>
      <c r="AK708" s="17">
        <v>0</v>
      </c>
    </row>
    <row r="709" spans="1:39" ht="12.75" customHeight="1">
      <c r="A709" s="48" t="s">
        <v>813</v>
      </c>
      <c r="B709" s="33" t="s">
        <v>814</v>
      </c>
      <c r="C709" s="17">
        <v>69</v>
      </c>
      <c r="D709" s="19" t="s">
        <v>196</v>
      </c>
      <c r="E709" s="19">
        <v>5000</v>
      </c>
      <c r="F709" s="33" t="s">
        <v>452</v>
      </c>
      <c r="G709" s="33" t="s">
        <v>473</v>
      </c>
      <c r="H709" s="19" t="s">
        <v>263</v>
      </c>
      <c r="I709" s="17" t="b">
        <v>1</v>
      </c>
      <c r="J709" s="17" t="s">
        <v>247</v>
      </c>
      <c r="K709" s="21" t="str">
        <f t="shared" si="18"/>
        <v>https://version2.ice-d.org/antarctica/sample/14-TUG-010-SKB/</v>
      </c>
      <c r="L709" s="48" t="s">
        <v>39</v>
      </c>
      <c r="M709" s="48" t="s">
        <v>44</v>
      </c>
      <c r="O709" s="17" t="s">
        <v>474</v>
      </c>
      <c r="P709" s="17">
        <v>-72.631349999999998</v>
      </c>
      <c r="Q709" s="17">
        <v>169.38033999999999</v>
      </c>
      <c r="S709" s="17">
        <v>181.2</v>
      </c>
      <c r="T709" s="22">
        <v>11</v>
      </c>
      <c r="U709" s="67">
        <f t="shared" ref="U709:U711" si="20">390-T709</f>
        <v>379</v>
      </c>
      <c r="V709" s="116" t="s">
        <v>2344</v>
      </c>
      <c r="W709" s="69" t="s">
        <v>2455</v>
      </c>
      <c r="X709" s="22">
        <f t="shared" si="19"/>
        <v>170.2</v>
      </c>
      <c r="Y709" s="22"/>
      <c r="Z709" s="22"/>
      <c r="AB709" s="36">
        <v>8239</v>
      </c>
      <c r="AC709" s="36">
        <v>227</v>
      </c>
      <c r="AD709" s="60">
        <v>742</v>
      </c>
      <c r="AE709" s="27"/>
      <c r="AF709" s="27"/>
      <c r="AG709" s="28"/>
      <c r="AH709" s="28"/>
      <c r="AK709" s="17">
        <v>0</v>
      </c>
      <c r="AL709" s="17" t="s">
        <v>815</v>
      </c>
    </row>
    <row r="710" spans="1:39" ht="15.75" customHeight="1">
      <c r="A710" s="117" t="s">
        <v>816</v>
      </c>
      <c r="B710" s="33" t="s">
        <v>814</v>
      </c>
      <c r="C710" s="17">
        <v>69</v>
      </c>
      <c r="D710" s="19" t="s">
        <v>196</v>
      </c>
      <c r="E710" s="19">
        <v>5000</v>
      </c>
      <c r="F710" s="33" t="s">
        <v>452</v>
      </c>
      <c r="G710" s="33" t="s">
        <v>473</v>
      </c>
      <c r="H710" s="19" t="s">
        <v>263</v>
      </c>
      <c r="I710" s="17" t="b">
        <v>1</v>
      </c>
      <c r="J710" s="17" t="s">
        <v>247</v>
      </c>
      <c r="K710" s="21" t="str">
        <f t="shared" si="18"/>
        <v>https://version2.ice-d.org/antarctica/sample/14-TUG-011-SKB/</v>
      </c>
      <c r="L710" s="48" t="s">
        <v>817</v>
      </c>
      <c r="M710" s="48"/>
      <c r="O710" s="17" t="s">
        <v>474</v>
      </c>
      <c r="P710" s="17">
        <v>-72.633600000000001</v>
      </c>
      <c r="Q710" s="17">
        <v>169.36153999999999</v>
      </c>
      <c r="S710" s="17">
        <v>326.39999999999998</v>
      </c>
      <c r="T710" s="22">
        <v>11</v>
      </c>
      <c r="U710" s="67">
        <f t="shared" si="20"/>
        <v>379</v>
      </c>
      <c r="V710" s="116" t="s">
        <v>2344</v>
      </c>
      <c r="W710" s="69" t="s">
        <v>2455</v>
      </c>
      <c r="X710" s="22">
        <f t="shared" si="19"/>
        <v>315.39999999999998</v>
      </c>
      <c r="Y710" s="22"/>
      <c r="Z710" s="22"/>
      <c r="AB710" s="36">
        <v>10254</v>
      </c>
      <c r="AC710" s="36">
        <v>307</v>
      </c>
      <c r="AD710" s="60">
        <v>1061</v>
      </c>
      <c r="AE710" s="27"/>
      <c r="AF710" s="27"/>
      <c r="AG710" s="28"/>
      <c r="AH710" s="28"/>
      <c r="AK710" s="17">
        <v>0</v>
      </c>
      <c r="AL710" s="17" t="s">
        <v>815</v>
      </c>
    </row>
    <row r="711" spans="1:39" ht="15.75" customHeight="1">
      <c r="A711" s="72" t="s">
        <v>818</v>
      </c>
      <c r="B711" s="33" t="s">
        <v>814</v>
      </c>
      <c r="C711" s="17">
        <v>69</v>
      </c>
      <c r="D711" s="19" t="s">
        <v>196</v>
      </c>
      <c r="E711" s="19">
        <v>5000</v>
      </c>
      <c r="F711" s="33" t="s">
        <v>452</v>
      </c>
      <c r="G711" s="33" t="s">
        <v>473</v>
      </c>
      <c r="H711" s="19" t="s">
        <v>263</v>
      </c>
      <c r="I711" s="17" t="b">
        <v>1</v>
      </c>
      <c r="J711" s="17" t="s">
        <v>247</v>
      </c>
      <c r="K711" s="21" t="str">
        <f t="shared" si="18"/>
        <v>https://version2.ice-d.org/antarctica/sample/14-TUG-040-SKB/</v>
      </c>
      <c r="L711" s="70" t="s">
        <v>817</v>
      </c>
      <c r="M711" s="48"/>
      <c r="O711" s="17" t="s">
        <v>474</v>
      </c>
      <c r="P711" s="17">
        <v>-72.630539999999996</v>
      </c>
      <c r="Q711" s="17">
        <v>169.33722</v>
      </c>
      <c r="R711" s="22"/>
      <c r="S711" s="17">
        <v>516.9</v>
      </c>
      <c r="T711" s="22">
        <v>11</v>
      </c>
      <c r="U711" s="67">
        <f t="shared" si="20"/>
        <v>379</v>
      </c>
      <c r="V711" s="116" t="s">
        <v>2344</v>
      </c>
      <c r="W711" s="69" t="s">
        <v>2455</v>
      </c>
      <c r="X711" s="22">
        <f t="shared" si="19"/>
        <v>505.9</v>
      </c>
      <c r="Y711" s="22"/>
      <c r="Z711" s="22">
        <v>2.7</v>
      </c>
      <c r="AA711" s="17" t="s">
        <v>58</v>
      </c>
      <c r="AB711" s="35">
        <v>17609</v>
      </c>
      <c r="AC711" s="81">
        <v>927</v>
      </c>
      <c r="AD711" s="81">
        <v>3202</v>
      </c>
      <c r="AE711" s="27"/>
      <c r="AF711" s="27"/>
      <c r="AG711" s="28"/>
      <c r="AH711" s="28"/>
      <c r="AI711" s="17">
        <v>2015</v>
      </c>
      <c r="AJ711" s="17">
        <v>1</v>
      </c>
      <c r="AK711" s="17">
        <v>1</v>
      </c>
      <c r="AL711" s="17" t="s">
        <v>819</v>
      </c>
    </row>
    <row r="712" spans="1:39" ht="15.75" customHeight="1">
      <c r="A712" s="57" t="s">
        <v>820</v>
      </c>
      <c r="B712" s="33" t="s">
        <v>821</v>
      </c>
      <c r="C712" s="17">
        <v>70</v>
      </c>
      <c r="D712" s="19" t="s">
        <v>196</v>
      </c>
      <c r="E712" s="19">
        <v>4000</v>
      </c>
      <c r="F712" s="33" t="s">
        <v>452</v>
      </c>
      <c r="G712" s="86" t="s">
        <v>466</v>
      </c>
      <c r="H712" s="19" t="s">
        <v>263</v>
      </c>
      <c r="I712" s="17" t="b">
        <v>1</v>
      </c>
      <c r="J712" s="17" t="s">
        <v>247</v>
      </c>
      <c r="K712" s="21" t="str">
        <f t="shared" si="18"/>
        <v>https://version2.ice-d.org/antarctica/sample/14-TUG-033-CCR/</v>
      </c>
      <c r="L712" s="57" t="s">
        <v>39</v>
      </c>
      <c r="M712" s="203" t="s">
        <v>44</v>
      </c>
      <c r="O712" s="28" t="s">
        <v>822</v>
      </c>
      <c r="P712" s="22">
        <v>-72.600599000000003</v>
      </c>
      <c r="Q712" s="22">
        <v>169.34786600000001</v>
      </c>
      <c r="R712" s="22"/>
      <c r="S712" s="22">
        <v>78.900000000000006</v>
      </c>
      <c r="T712" s="17">
        <v>40</v>
      </c>
      <c r="U712" s="67">
        <f t="shared" ref="U712:U724" si="21">300 - 40</f>
        <v>260</v>
      </c>
      <c r="V712" s="116" t="s">
        <v>2344</v>
      </c>
      <c r="W712" s="69" t="s">
        <v>2455</v>
      </c>
      <c r="X712" s="22">
        <f t="shared" si="19"/>
        <v>38.900000000000006</v>
      </c>
      <c r="Y712" s="22">
        <v>4.5</v>
      </c>
      <c r="Z712" s="22">
        <v>2.7</v>
      </c>
      <c r="AA712" s="17" t="s">
        <v>58</v>
      </c>
      <c r="AB712" s="26">
        <v>5089</v>
      </c>
      <c r="AC712" s="26">
        <v>578</v>
      </c>
      <c r="AD712" s="26">
        <v>677</v>
      </c>
      <c r="AE712" s="27">
        <v>214174</v>
      </c>
      <c r="AF712" s="27">
        <v>6171</v>
      </c>
      <c r="AG712" s="27">
        <v>1205000</v>
      </c>
      <c r="AH712" s="27">
        <v>50400</v>
      </c>
      <c r="AI712" s="17">
        <v>2014</v>
      </c>
      <c r="AJ712" s="17">
        <v>1</v>
      </c>
      <c r="AK712" s="17">
        <v>0</v>
      </c>
      <c r="AL712" s="17" t="s">
        <v>823</v>
      </c>
      <c r="AM712" s="17" t="s">
        <v>824</v>
      </c>
    </row>
    <row r="713" spans="1:39" ht="15.75" customHeight="1">
      <c r="A713" s="57" t="s">
        <v>820</v>
      </c>
      <c r="B713" s="33" t="s">
        <v>821</v>
      </c>
      <c r="C713" s="17">
        <v>70</v>
      </c>
      <c r="D713" s="19" t="s">
        <v>196</v>
      </c>
      <c r="E713" s="19">
        <v>4000</v>
      </c>
      <c r="F713" s="33" t="s">
        <v>452</v>
      </c>
      <c r="G713" s="86" t="s">
        <v>466</v>
      </c>
      <c r="H713" s="19" t="s">
        <v>263</v>
      </c>
      <c r="I713" s="17" t="b">
        <v>1</v>
      </c>
      <c r="J713" s="17" t="s">
        <v>128</v>
      </c>
      <c r="K713" s="21" t="str">
        <f t="shared" si="18"/>
        <v>https://version2.ice-d.org/antarctica/sample/14-TUG-033-CCR/</v>
      </c>
      <c r="L713" s="57" t="s">
        <v>39</v>
      </c>
      <c r="M713" s="155"/>
      <c r="O713" s="28" t="s">
        <v>822</v>
      </c>
      <c r="P713" s="22">
        <v>-72.600599000000003</v>
      </c>
      <c r="Q713" s="22">
        <v>169.34786600000001</v>
      </c>
      <c r="R713" s="22"/>
      <c r="S713" s="22">
        <v>78.900000000000006</v>
      </c>
      <c r="T713" s="17">
        <v>40</v>
      </c>
      <c r="U713" s="67">
        <f t="shared" si="21"/>
        <v>260</v>
      </c>
      <c r="V713" s="116" t="s">
        <v>2344</v>
      </c>
      <c r="W713" s="69" t="s">
        <v>2455</v>
      </c>
      <c r="X713" s="22">
        <f t="shared" si="19"/>
        <v>38.900000000000006</v>
      </c>
      <c r="Y713" s="22">
        <v>4.5</v>
      </c>
      <c r="Z713" s="22">
        <v>2.7</v>
      </c>
      <c r="AA713" s="17" t="s">
        <v>58</v>
      </c>
      <c r="AB713" s="26">
        <v>14456</v>
      </c>
      <c r="AC713" s="26">
        <v>1895</v>
      </c>
      <c r="AD713" s="26">
        <v>2383</v>
      </c>
      <c r="AE713" s="27">
        <v>214174</v>
      </c>
      <c r="AF713" s="27">
        <v>6171</v>
      </c>
      <c r="AG713" s="27">
        <v>1205000</v>
      </c>
      <c r="AH713" s="27">
        <v>50400</v>
      </c>
      <c r="AI713" s="17">
        <v>2014</v>
      </c>
      <c r="AJ713" s="17">
        <v>1</v>
      </c>
      <c r="AK713" s="17">
        <v>0</v>
      </c>
      <c r="AL713" s="17" t="s">
        <v>823</v>
      </c>
      <c r="AM713" s="17" t="s">
        <v>824</v>
      </c>
    </row>
    <row r="714" spans="1:39" ht="12.75" customHeight="1">
      <c r="A714" s="57" t="s">
        <v>820</v>
      </c>
      <c r="B714" s="33" t="s">
        <v>821</v>
      </c>
      <c r="C714" s="17">
        <v>70</v>
      </c>
      <c r="D714" s="19" t="s">
        <v>196</v>
      </c>
      <c r="E714" s="19">
        <v>4000</v>
      </c>
      <c r="F714" s="33" t="s">
        <v>452</v>
      </c>
      <c r="G714" s="86" t="s">
        <v>466</v>
      </c>
      <c r="H714" s="19" t="s">
        <v>263</v>
      </c>
      <c r="I714" s="17" t="b">
        <v>1</v>
      </c>
      <c r="J714" s="17" t="s">
        <v>128</v>
      </c>
      <c r="K714" s="21" t="str">
        <f t="shared" si="18"/>
        <v>https://version2.ice-d.org/antarctica/sample/14-TUG-033-CCR/</v>
      </c>
      <c r="L714" s="57" t="s">
        <v>39</v>
      </c>
      <c r="M714" s="155"/>
      <c r="O714" s="28" t="s">
        <v>822</v>
      </c>
      <c r="P714" s="22">
        <v>-72.600599000000003</v>
      </c>
      <c r="Q714" s="22">
        <v>169.34786600000001</v>
      </c>
      <c r="R714" s="22"/>
      <c r="S714" s="22">
        <v>78.900000000000006</v>
      </c>
      <c r="T714" s="17">
        <v>40</v>
      </c>
      <c r="U714" s="67">
        <f t="shared" si="21"/>
        <v>260</v>
      </c>
      <c r="V714" s="116" t="s">
        <v>2344</v>
      </c>
      <c r="W714" s="69" t="s">
        <v>2455</v>
      </c>
      <c r="X714" s="22">
        <f t="shared" si="19"/>
        <v>38.900000000000006</v>
      </c>
      <c r="Y714" s="22">
        <v>4.5</v>
      </c>
      <c r="Z714" s="22">
        <v>2.7</v>
      </c>
      <c r="AA714" s="17" t="s">
        <v>58</v>
      </c>
      <c r="AB714" s="26">
        <v>15592</v>
      </c>
      <c r="AC714" s="26">
        <v>1792</v>
      </c>
      <c r="AD714" s="26">
        <v>2375</v>
      </c>
      <c r="AE714" s="27">
        <v>214174</v>
      </c>
      <c r="AF714" s="27">
        <v>6171</v>
      </c>
      <c r="AG714" s="27">
        <v>1205000</v>
      </c>
      <c r="AH714" s="27">
        <v>50400</v>
      </c>
      <c r="AI714" s="17">
        <v>2014</v>
      </c>
      <c r="AJ714" s="17">
        <v>1</v>
      </c>
      <c r="AK714" s="17">
        <v>0</v>
      </c>
      <c r="AL714" s="17" t="s">
        <v>823</v>
      </c>
      <c r="AM714" s="17" t="s">
        <v>824</v>
      </c>
    </row>
    <row r="715" spans="1:39" ht="12.75" customHeight="1">
      <c r="A715" s="57" t="s">
        <v>825</v>
      </c>
      <c r="B715" s="33" t="s">
        <v>821</v>
      </c>
      <c r="C715" s="17">
        <v>70</v>
      </c>
      <c r="D715" s="19" t="s">
        <v>196</v>
      </c>
      <c r="E715" s="19">
        <v>4000</v>
      </c>
      <c r="F715" s="33" t="s">
        <v>452</v>
      </c>
      <c r="G715" s="86" t="s">
        <v>466</v>
      </c>
      <c r="H715" s="19" t="s">
        <v>263</v>
      </c>
      <c r="I715" s="17" t="b">
        <v>1</v>
      </c>
      <c r="J715" s="17" t="s">
        <v>247</v>
      </c>
      <c r="K715" s="21" t="str">
        <f t="shared" si="18"/>
        <v>https://version2.ice-d.org/antarctica/sample/14-TUG-034-CCR/</v>
      </c>
      <c r="L715" s="57" t="s">
        <v>39</v>
      </c>
      <c r="M715" s="155"/>
      <c r="O715" s="28" t="s">
        <v>822</v>
      </c>
      <c r="P715" s="22">
        <v>-72.601313000000005</v>
      </c>
      <c r="Q715" s="22">
        <v>169.347703</v>
      </c>
      <c r="R715" s="22"/>
      <c r="S715" s="22">
        <v>109.6</v>
      </c>
      <c r="T715" s="17">
        <v>40</v>
      </c>
      <c r="U715" s="67">
        <f t="shared" si="21"/>
        <v>260</v>
      </c>
      <c r="V715" s="116" t="s">
        <v>2344</v>
      </c>
      <c r="W715" s="69" t="s">
        <v>2455</v>
      </c>
      <c r="X715" s="22">
        <f t="shared" si="19"/>
        <v>69.599999999999994</v>
      </c>
      <c r="Y715" s="22">
        <v>5</v>
      </c>
      <c r="Z715" s="22">
        <v>2.7</v>
      </c>
      <c r="AA715" s="17" t="s">
        <v>58</v>
      </c>
      <c r="AB715" s="26">
        <v>6736</v>
      </c>
      <c r="AC715" s="26">
        <v>766</v>
      </c>
      <c r="AD715" s="26">
        <v>926</v>
      </c>
      <c r="AE715" s="27">
        <v>510255</v>
      </c>
      <c r="AF715" s="27">
        <v>9867</v>
      </c>
      <c r="AG715" s="27">
        <v>2756000</v>
      </c>
      <c r="AH715" s="27">
        <v>79000</v>
      </c>
      <c r="AI715" s="17">
        <v>2014</v>
      </c>
      <c r="AJ715" s="17">
        <v>1</v>
      </c>
      <c r="AK715" s="17">
        <v>0</v>
      </c>
      <c r="AL715" s="17" t="s">
        <v>823</v>
      </c>
      <c r="AM715" s="17" t="s">
        <v>824</v>
      </c>
    </row>
    <row r="716" spans="1:39" ht="12.75" customHeight="1">
      <c r="A716" s="57" t="s">
        <v>825</v>
      </c>
      <c r="B716" s="33" t="s">
        <v>821</v>
      </c>
      <c r="C716" s="17">
        <v>70</v>
      </c>
      <c r="D716" s="19" t="s">
        <v>196</v>
      </c>
      <c r="E716" s="19">
        <v>4000</v>
      </c>
      <c r="F716" s="33" t="s">
        <v>452</v>
      </c>
      <c r="G716" s="86" t="s">
        <v>466</v>
      </c>
      <c r="H716" s="19" t="s">
        <v>263</v>
      </c>
      <c r="I716" s="17" t="b">
        <v>1</v>
      </c>
      <c r="J716" s="17" t="s">
        <v>128</v>
      </c>
      <c r="K716" s="21" t="str">
        <f t="shared" si="18"/>
        <v>https://version2.ice-d.org/antarctica/sample/14-TUG-034-CCR/</v>
      </c>
      <c r="L716" s="57" t="s">
        <v>39</v>
      </c>
      <c r="M716" s="155"/>
      <c r="O716" s="28" t="s">
        <v>822</v>
      </c>
      <c r="P716" s="22">
        <v>-72.601313000000005</v>
      </c>
      <c r="Q716" s="22">
        <v>169.347703</v>
      </c>
      <c r="R716" s="22"/>
      <c r="S716" s="22">
        <v>109.6</v>
      </c>
      <c r="T716" s="17">
        <v>40</v>
      </c>
      <c r="U716" s="67">
        <f t="shared" si="21"/>
        <v>260</v>
      </c>
      <c r="V716" s="116" t="s">
        <v>2344</v>
      </c>
      <c r="W716" s="69" t="s">
        <v>2455</v>
      </c>
      <c r="X716" s="22">
        <f t="shared" si="19"/>
        <v>69.599999999999994</v>
      </c>
      <c r="Y716" s="22">
        <v>5</v>
      </c>
      <c r="Z716" s="22">
        <v>2.7</v>
      </c>
      <c r="AA716" s="17" t="s">
        <v>58</v>
      </c>
      <c r="AB716" s="26">
        <v>13846</v>
      </c>
      <c r="AC716" s="26">
        <v>1961</v>
      </c>
      <c r="AD716" s="26">
        <v>2401</v>
      </c>
      <c r="AE716" s="27">
        <v>510255</v>
      </c>
      <c r="AF716" s="27">
        <v>9867</v>
      </c>
      <c r="AG716" s="27">
        <v>2756000</v>
      </c>
      <c r="AH716" s="27">
        <v>79000</v>
      </c>
      <c r="AI716" s="17">
        <v>2014</v>
      </c>
      <c r="AJ716" s="17">
        <v>1</v>
      </c>
      <c r="AK716" s="17">
        <v>0</v>
      </c>
      <c r="AL716" s="17" t="s">
        <v>823</v>
      </c>
      <c r="AM716" s="17" t="s">
        <v>824</v>
      </c>
    </row>
    <row r="717" spans="1:39" ht="12.75" customHeight="1">
      <c r="A717" s="57" t="s">
        <v>825</v>
      </c>
      <c r="B717" s="33" t="s">
        <v>821</v>
      </c>
      <c r="C717" s="17">
        <v>70</v>
      </c>
      <c r="D717" s="19" t="s">
        <v>196</v>
      </c>
      <c r="E717" s="19">
        <v>4000</v>
      </c>
      <c r="F717" s="33" t="s">
        <v>452</v>
      </c>
      <c r="G717" s="86" t="s">
        <v>466</v>
      </c>
      <c r="H717" s="19" t="s">
        <v>263</v>
      </c>
      <c r="I717" s="17" t="b">
        <v>1</v>
      </c>
      <c r="J717" s="17" t="s">
        <v>128</v>
      </c>
      <c r="K717" s="21" t="str">
        <f t="shared" si="18"/>
        <v>https://version2.ice-d.org/antarctica/sample/14-TUG-034-CCR/</v>
      </c>
      <c r="L717" s="57" t="s">
        <v>39</v>
      </c>
      <c r="M717" s="155"/>
      <c r="O717" s="28" t="s">
        <v>822</v>
      </c>
      <c r="P717" s="22">
        <v>-72.601313000000005</v>
      </c>
      <c r="Q717" s="22">
        <v>169.347703</v>
      </c>
      <c r="R717" s="22"/>
      <c r="S717" s="22">
        <v>109.6</v>
      </c>
      <c r="T717" s="17">
        <v>40</v>
      </c>
      <c r="U717" s="67">
        <f t="shared" si="21"/>
        <v>260</v>
      </c>
      <c r="V717" s="116" t="s">
        <v>2344</v>
      </c>
      <c r="W717" s="69" t="s">
        <v>2455</v>
      </c>
      <c r="X717" s="22">
        <f t="shared" si="19"/>
        <v>69.599999999999994</v>
      </c>
      <c r="Y717" s="22">
        <v>5</v>
      </c>
      <c r="Z717" s="22">
        <v>2.7</v>
      </c>
      <c r="AA717" s="17" t="s">
        <v>58</v>
      </c>
      <c r="AB717" s="26">
        <v>13905</v>
      </c>
      <c r="AC717" s="26">
        <v>1727</v>
      </c>
      <c r="AD717" s="26">
        <v>2217</v>
      </c>
      <c r="AE717" s="27">
        <v>510255</v>
      </c>
      <c r="AF717" s="27">
        <v>9867</v>
      </c>
      <c r="AG717" s="27">
        <v>2756000</v>
      </c>
      <c r="AH717" s="27">
        <v>79000</v>
      </c>
      <c r="AI717" s="17">
        <v>2014</v>
      </c>
      <c r="AJ717" s="17">
        <v>1</v>
      </c>
      <c r="AK717" s="17">
        <v>0</v>
      </c>
      <c r="AL717" s="17" t="s">
        <v>823</v>
      </c>
      <c r="AM717" s="17" t="s">
        <v>824</v>
      </c>
    </row>
    <row r="718" spans="1:39" ht="12.75" customHeight="1">
      <c r="A718" s="118" t="s">
        <v>826</v>
      </c>
      <c r="B718" s="33" t="s">
        <v>821</v>
      </c>
      <c r="C718" s="17">
        <v>70</v>
      </c>
      <c r="D718" s="19" t="s">
        <v>196</v>
      </c>
      <c r="E718" s="19">
        <v>4000</v>
      </c>
      <c r="F718" s="19" t="s">
        <v>452</v>
      </c>
      <c r="G718" s="19" t="s">
        <v>473</v>
      </c>
      <c r="H718" s="19" t="s">
        <v>263</v>
      </c>
      <c r="I718" s="17" t="b">
        <v>1</v>
      </c>
      <c r="J718" s="17" t="s">
        <v>247</v>
      </c>
      <c r="K718" s="21" t="str">
        <f t="shared" si="18"/>
        <v>https://version2.ice-d.org/antarctica/sample/14-TUG-035-CCR/</v>
      </c>
      <c r="L718" s="57" t="s">
        <v>39</v>
      </c>
      <c r="M718" s="155"/>
      <c r="O718" s="28" t="s">
        <v>827</v>
      </c>
      <c r="P718" s="17">
        <v>-72.602090000000004</v>
      </c>
      <c r="Q718" s="17">
        <v>169.35051000000001</v>
      </c>
      <c r="S718" s="17">
        <v>131.6</v>
      </c>
      <c r="T718" s="17">
        <v>40</v>
      </c>
      <c r="U718" s="67">
        <f t="shared" si="21"/>
        <v>260</v>
      </c>
      <c r="V718" s="116" t="s">
        <v>2344</v>
      </c>
      <c r="W718" s="69" t="s">
        <v>2455</v>
      </c>
      <c r="X718" s="22">
        <f t="shared" si="19"/>
        <v>91.6</v>
      </c>
      <c r="Y718" s="22"/>
      <c r="Z718" s="22"/>
      <c r="AB718" s="36">
        <v>10574</v>
      </c>
      <c r="AC718" s="36">
        <v>1411</v>
      </c>
      <c r="AD718" s="60">
        <v>1772</v>
      </c>
      <c r="AE718" s="27"/>
      <c r="AF718" s="27"/>
      <c r="AG718" s="28"/>
      <c r="AH718" s="28"/>
      <c r="AI718" s="17">
        <v>2014</v>
      </c>
      <c r="AK718" s="17">
        <v>0</v>
      </c>
      <c r="AL718" s="17" t="s">
        <v>823</v>
      </c>
      <c r="AM718" s="17" t="s">
        <v>824</v>
      </c>
    </row>
    <row r="719" spans="1:39" ht="12.75" customHeight="1">
      <c r="A719" s="118" t="s">
        <v>828</v>
      </c>
      <c r="B719" s="33" t="s">
        <v>821</v>
      </c>
      <c r="C719" s="17">
        <v>70</v>
      </c>
      <c r="D719" s="19" t="s">
        <v>196</v>
      </c>
      <c r="E719" s="19">
        <v>4000</v>
      </c>
      <c r="F719" s="19" t="s">
        <v>452</v>
      </c>
      <c r="G719" s="19" t="s">
        <v>473</v>
      </c>
      <c r="H719" s="19" t="s">
        <v>263</v>
      </c>
      <c r="I719" s="17" t="b">
        <v>1</v>
      </c>
      <c r="J719" s="17" t="s">
        <v>247</v>
      </c>
      <c r="K719" s="21" t="str">
        <f t="shared" si="18"/>
        <v>https://version2.ice-d.org/antarctica/sample/14-TUG-036-CCR/</v>
      </c>
      <c r="L719" s="57" t="s">
        <v>39</v>
      </c>
      <c r="M719" s="155"/>
      <c r="O719" s="28" t="s">
        <v>829</v>
      </c>
      <c r="P719" s="17">
        <v>-72.603920000000002</v>
      </c>
      <c r="Q719" s="17">
        <v>169.35345000000001</v>
      </c>
      <c r="S719" s="17">
        <v>180.1</v>
      </c>
      <c r="T719" s="17">
        <v>40</v>
      </c>
      <c r="U719" s="67">
        <f t="shared" si="21"/>
        <v>260</v>
      </c>
      <c r="V719" s="116" t="s">
        <v>2344</v>
      </c>
      <c r="W719" s="69" t="s">
        <v>2455</v>
      </c>
      <c r="X719" s="22">
        <f t="shared" si="19"/>
        <v>140.1</v>
      </c>
      <c r="Y719" s="22"/>
      <c r="Z719" s="22"/>
      <c r="AB719" s="36">
        <v>15905</v>
      </c>
      <c r="AC719" s="36">
        <v>2925</v>
      </c>
      <c r="AD719" s="60">
        <v>3795</v>
      </c>
      <c r="AE719" s="27"/>
      <c r="AF719" s="27"/>
      <c r="AG719" s="28"/>
      <c r="AH719" s="28"/>
      <c r="AI719" s="17">
        <v>2014</v>
      </c>
      <c r="AK719" s="17">
        <v>0</v>
      </c>
      <c r="AL719" s="17" t="s">
        <v>823</v>
      </c>
      <c r="AM719" s="17" t="s">
        <v>824</v>
      </c>
    </row>
    <row r="720" spans="1:39" ht="12.75" customHeight="1">
      <c r="A720" s="118" t="s">
        <v>828</v>
      </c>
      <c r="B720" s="33" t="s">
        <v>821</v>
      </c>
      <c r="C720" s="17">
        <v>70</v>
      </c>
      <c r="D720" s="19" t="s">
        <v>196</v>
      </c>
      <c r="E720" s="19">
        <v>4000</v>
      </c>
      <c r="F720" s="19" t="s">
        <v>452</v>
      </c>
      <c r="G720" s="19" t="s">
        <v>473</v>
      </c>
      <c r="H720" s="19" t="s">
        <v>263</v>
      </c>
      <c r="I720" s="17" t="b">
        <v>1</v>
      </c>
      <c r="J720" s="17" t="s">
        <v>247</v>
      </c>
      <c r="K720" s="21" t="str">
        <f t="shared" si="18"/>
        <v>https://version2.ice-d.org/antarctica/sample/14-TUG-036-CCR/</v>
      </c>
      <c r="L720" s="57" t="s">
        <v>39</v>
      </c>
      <c r="M720" s="155"/>
      <c r="O720" s="28" t="s">
        <v>830</v>
      </c>
      <c r="P720" s="17">
        <v>-72.603920000000002</v>
      </c>
      <c r="Q720" s="17">
        <v>169.35345000000001</v>
      </c>
      <c r="S720" s="17">
        <v>180.1</v>
      </c>
      <c r="T720" s="17">
        <v>40</v>
      </c>
      <c r="U720" s="67">
        <f t="shared" si="21"/>
        <v>260</v>
      </c>
      <c r="V720" s="116" t="s">
        <v>2344</v>
      </c>
      <c r="W720" s="69" t="s">
        <v>2455</v>
      </c>
      <c r="X720" s="22">
        <f t="shared" si="19"/>
        <v>140.1</v>
      </c>
      <c r="Y720" s="22"/>
      <c r="Z720" s="22"/>
      <c r="AB720" s="36">
        <v>10490</v>
      </c>
      <c r="AC720" s="36">
        <v>307</v>
      </c>
      <c r="AD720" s="60">
        <v>1101</v>
      </c>
      <c r="AE720" s="27"/>
      <c r="AF720" s="27"/>
      <c r="AG720" s="28"/>
      <c r="AH720" s="28"/>
      <c r="AI720" s="17">
        <v>2014</v>
      </c>
      <c r="AK720" s="17">
        <v>0</v>
      </c>
      <c r="AL720" s="17" t="s">
        <v>823</v>
      </c>
      <c r="AM720" s="17" t="s">
        <v>824</v>
      </c>
    </row>
    <row r="721" spans="1:39" ht="13" customHeight="1">
      <c r="A721" s="118" t="s">
        <v>828</v>
      </c>
      <c r="B721" s="33" t="s">
        <v>821</v>
      </c>
      <c r="C721" s="17">
        <v>70</v>
      </c>
      <c r="D721" s="19" t="s">
        <v>196</v>
      </c>
      <c r="E721" s="19">
        <v>4000</v>
      </c>
      <c r="F721" s="19" t="s">
        <v>452</v>
      </c>
      <c r="G721" s="19" t="s">
        <v>473</v>
      </c>
      <c r="H721" s="19" t="s">
        <v>263</v>
      </c>
      <c r="I721" s="17" t="b">
        <v>1</v>
      </c>
      <c r="J721" s="17" t="s">
        <v>247</v>
      </c>
      <c r="K721" s="21" t="str">
        <f t="shared" si="18"/>
        <v>https://version2.ice-d.org/antarctica/sample/14-TUG-036-CCR/</v>
      </c>
      <c r="L721" s="57" t="s">
        <v>39</v>
      </c>
      <c r="M721" s="155"/>
      <c r="O721" s="28" t="s">
        <v>831</v>
      </c>
      <c r="P721" s="17">
        <v>-72.603920000000002</v>
      </c>
      <c r="Q721" s="17">
        <v>169.35345000000001</v>
      </c>
      <c r="S721" s="17">
        <v>180.1</v>
      </c>
      <c r="T721" s="17">
        <v>40</v>
      </c>
      <c r="U721" s="67">
        <f t="shared" si="21"/>
        <v>260</v>
      </c>
      <c r="V721" s="116" t="s">
        <v>2344</v>
      </c>
      <c r="W721" s="69" t="s">
        <v>2455</v>
      </c>
      <c r="X721" s="22">
        <f t="shared" si="19"/>
        <v>140.1</v>
      </c>
      <c r="Y721" s="22"/>
      <c r="Z721" s="22"/>
      <c r="AB721" s="36">
        <v>12150</v>
      </c>
      <c r="AC721" s="36">
        <v>472</v>
      </c>
      <c r="AD721" s="60">
        <v>1462</v>
      </c>
      <c r="AE721" s="27"/>
      <c r="AF721" s="27"/>
      <c r="AG721" s="28"/>
      <c r="AH721" s="28"/>
      <c r="AI721" s="17">
        <v>2014</v>
      </c>
      <c r="AK721" s="17">
        <v>0</v>
      </c>
      <c r="AL721" s="17" t="s">
        <v>823</v>
      </c>
      <c r="AM721" s="17" t="s">
        <v>824</v>
      </c>
    </row>
    <row r="722" spans="1:39" ht="12.75" customHeight="1">
      <c r="A722" s="118" t="s">
        <v>832</v>
      </c>
      <c r="B722" s="33" t="s">
        <v>821</v>
      </c>
      <c r="C722" s="17">
        <v>70</v>
      </c>
      <c r="D722" s="19" t="s">
        <v>196</v>
      </c>
      <c r="E722" s="19">
        <v>4000</v>
      </c>
      <c r="F722" s="19" t="s">
        <v>452</v>
      </c>
      <c r="G722" s="19" t="s">
        <v>473</v>
      </c>
      <c r="H722" s="19" t="s">
        <v>263</v>
      </c>
      <c r="I722" s="17" t="b">
        <v>1</v>
      </c>
      <c r="J722" s="17" t="s">
        <v>247</v>
      </c>
      <c r="K722" s="21" t="str">
        <f t="shared" si="18"/>
        <v>https://version2.ice-d.org/antarctica/sample/14-TUG-037-CCR/</v>
      </c>
      <c r="L722" s="57" t="s">
        <v>39</v>
      </c>
      <c r="M722" s="155"/>
      <c r="O722" s="28" t="s">
        <v>833</v>
      </c>
      <c r="P722" s="17">
        <v>-72.60624</v>
      </c>
      <c r="Q722" s="17">
        <v>169.35390000000001</v>
      </c>
      <c r="S722" s="17">
        <v>274.60000000000002</v>
      </c>
      <c r="T722" s="22">
        <v>40</v>
      </c>
      <c r="U722" s="67">
        <f t="shared" si="21"/>
        <v>260</v>
      </c>
      <c r="V722" s="116" t="s">
        <v>2344</v>
      </c>
      <c r="W722" s="69" t="s">
        <v>2455</v>
      </c>
      <c r="X722" s="22">
        <f t="shared" si="19"/>
        <v>234.60000000000002</v>
      </c>
      <c r="Y722" s="22"/>
      <c r="Z722" s="22"/>
      <c r="AB722" s="36">
        <v>13711</v>
      </c>
      <c r="AC722" s="36">
        <v>2109</v>
      </c>
      <c r="AD722" s="60">
        <v>2745</v>
      </c>
      <c r="AE722" s="27"/>
      <c r="AF722" s="27"/>
      <c r="AG722" s="28"/>
      <c r="AH722" s="28"/>
      <c r="AI722" s="17">
        <v>2014</v>
      </c>
      <c r="AK722" s="17">
        <v>0</v>
      </c>
      <c r="AL722" s="17" t="s">
        <v>823</v>
      </c>
      <c r="AM722" s="17" t="s">
        <v>824</v>
      </c>
    </row>
    <row r="723" spans="1:39" ht="12.75" customHeight="1">
      <c r="A723" s="118" t="s">
        <v>834</v>
      </c>
      <c r="B723" s="33" t="s">
        <v>821</v>
      </c>
      <c r="C723" s="17">
        <v>70</v>
      </c>
      <c r="D723" s="19" t="s">
        <v>196</v>
      </c>
      <c r="E723" s="19">
        <v>4000</v>
      </c>
      <c r="F723" s="19" t="s">
        <v>452</v>
      </c>
      <c r="G723" s="19" t="s">
        <v>473</v>
      </c>
      <c r="H723" s="19" t="s">
        <v>263</v>
      </c>
      <c r="I723" s="17" t="b">
        <v>1</v>
      </c>
      <c r="J723" s="17" t="s">
        <v>247</v>
      </c>
      <c r="K723" s="21" t="str">
        <f t="shared" si="18"/>
        <v>https://version2.ice-d.org/antarctica/sample/14-TUG-038-CCR/</v>
      </c>
      <c r="L723" s="57" t="s">
        <v>39</v>
      </c>
      <c r="M723" s="155"/>
      <c r="O723" s="28" t="s">
        <v>835</v>
      </c>
      <c r="P723" s="17">
        <v>-72.606729999999999</v>
      </c>
      <c r="Q723" s="17">
        <v>169.35230000000001</v>
      </c>
      <c r="S723" s="17">
        <v>298.5</v>
      </c>
      <c r="T723" s="22">
        <v>40</v>
      </c>
      <c r="U723" s="67">
        <f t="shared" si="21"/>
        <v>260</v>
      </c>
      <c r="V723" s="116" t="s">
        <v>2344</v>
      </c>
      <c r="W723" s="69" t="s">
        <v>2455</v>
      </c>
      <c r="X723" s="22">
        <f t="shared" si="19"/>
        <v>258.5</v>
      </c>
      <c r="Y723" s="22"/>
      <c r="Z723" s="22"/>
      <c r="AB723" s="36">
        <v>12490</v>
      </c>
      <c r="AC723" s="36">
        <v>418</v>
      </c>
      <c r="AD723" s="60">
        <v>1518</v>
      </c>
      <c r="AE723" s="27"/>
      <c r="AF723" s="27"/>
      <c r="AG723" s="28"/>
      <c r="AH723" s="28"/>
      <c r="AI723" s="17">
        <v>2014</v>
      </c>
      <c r="AK723" s="17">
        <v>0</v>
      </c>
      <c r="AL723" s="17" t="s">
        <v>823</v>
      </c>
      <c r="AM723" s="17" t="s">
        <v>824</v>
      </c>
    </row>
    <row r="724" spans="1:39" ht="12.75" customHeight="1">
      <c r="A724" s="76" t="s">
        <v>836</v>
      </c>
      <c r="B724" s="19"/>
      <c r="C724" s="17">
        <v>71</v>
      </c>
      <c r="D724" s="19"/>
      <c r="E724" s="19"/>
      <c r="F724" s="19" t="s">
        <v>837</v>
      </c>
      <c r="G724" s="19" t="s">
        <v>459</v>
      </c>
      <c r="H724" s="19" t="s">
        <v>263</v>
      </c>
      <c r="I724" s="17" t="b">
        <v>1</v>
      </c>
      <c r="J724" s="17" t="s">
        <v>43</v>
      </c>
      <c r="K724" s="21" t="str">
        <f t="shared" si="18"/>
        <v>https://version2.ice-d.org/antarctica/sample/J2008-T5-31-3/</v>
      </c>
      <c r="L724" s="76" t="s">
        <v>39</v>
      </c>
      <c r="M724" s="76" t="s">
        <v>44</v>
      </c>
      <c r="O724" s="17" t="s">
        <v>838</v>
      </c>
      <c r="P724" s="22">
        <v>-71.300233000000006</v>
      </c>
      <c r="Q724" s="22">
        <v>170.23333299999999</v>
      </c>
      <c r="R724" s="22"/>
      <c r="S724" s="22">
        <v>343</v>
      </c>
      <c r="T724" s="22">
        <v>0</v>
      </c>
      <c r="U724" s="67">
        <f t="shared" si="21"/>
        <v>260</v>
      </c>
      <c r="V724" s="116" t="s">
        <v>2344</v>
      </c>
      <c r="W724" s="69" t="s">
        <v>2455</v>
      </c>
      <c r="X724" s="22">
        <v>343</v>
      </c>
      <c r="Y724" s="22">
        <v>5</v>
      </c>
      <c r="Z724" s="22">
        <v>2.5</v>
      </c>
      <c r="AA724" s="17" t="s">
        <v>51</v>
      </c>
      <c r="AB724" s="26">
        <v>17072</v>
      </c>
      <c r="AC724" s="26">
        <v>1403</v>
      </c>
      <c r="AD724" s="26">
        <v>1730</v>
      </c>
      <c r="AE724" s="27">
        <v>139219</v>
      </c>
      <c r="AF724" s="27">
        <v>11392</v>
      </c>
      <c r="AG724" s="28"/>
      <c r="AH724" s="28"/>
      <c r="AI724" s="17">
        <v>2006</v>
      </c>
      <c r="AJ724" s="17">
        <v>1</v>
      </c>
      <c r="AK724" s="17">
        <v>0</v>
      </c>
    </row>
    <row r="725" spans="1:39" ht="15.75" customHeight="1">
      <c r="A725" s="49" t="s">
        <v>839</v>
      </c>
      <c r="B725" s="19" t="s">
        <v>840</v>
      </c>
      <c r="C725" s="17">
        <v>72</v>
      </c>
      <c r="D725" s="19" t="s">
        <v>196</v>
      </c>
      <c r="E725" s="19">
        <v>0</v>
      </c>
      <c r="F725" s="19" t="s">
        <v>452</v>
      </c>
      <c r="G725" s="19" t="s">
        <v>286</v>
      </c>
      <c r="H725" s="19" t="s">
        <v>263</v>
      </c>
      <c r="I725" s="17" t="b">
        <v>1</v>
      </c>
      <c r="J725" s="17" t="s">
        <v>64</v>
      </c>
      <c r="K725" s="21" t="str">
        <f t="shared" si="18"/>
        <v>https://version2.ice-d.org/antarctica/sample/R2021-DVD025/</v>
      </c>
      <c r="L725" s="49" t="s">
        <v>39</v>
      </c>
      <c r="M725" s="174" t="s">
        <v>44</v>
      </c>
      <c r="O725" s="17" t="s">
        <v>841</v>
      </c>
      <c r="P725" s="22">
        <v>-75.248320000000007</v>
      </c>
      <c r="Q725" s="22">
        <v>162.01814999999999</v>
      </c>
      <c r="R725" s="22"/>
      <c r="S725" s="22">
        <v>222.3</v>
      </c>
      <c r="T725" s="17">
        <v>70</v>
      </c>
      <c r="U725" s="67">
        <v>152.30000000000001</v>
      </c>
      <c r="V725" s="67"/>
      <c r="W725" s="69"/>
      <c r="X725" s="22">
        <f t="shared" ref="X725:X729" si="22">S725-T725</f>
        <v>152.30000000000001</v>
      </c>
      <c r="Y725" s="22">
        <v>3.9</v>
      </c>
      <c r="Z725" s="22">
        <v>2.7</v>
      </c>
      <c r="AA725" s="17" t="s">
        <v>46</v>
      </c>
      <c r="AB725" s="26">
        <v>14173</v>
      </c>
      <c r="AC725" s="26">
        <v>2130</v>
      </c>
      <c r="AD725" s="26">
        <v>2458</v>
      </c>
      <c r="AE725" s="27">
        <v>462000</v>
      </c>
      <c r="AF725" s="27">
        <v>20000</v>
      </c>
      <c r="AG725" s="27">
        <v>670000</v>
      </c>
      <c r="AH725" s="27">
        <v>100000</v>
      </c>
      <c r="AI725" s="17">
        <v>2018</v>
      </c>
      <c r="AJ725" s="17">
        <v>1</v>
      </c>
      <c r="AK725" s="17">
        <v>1</v>
      </c>
      <c r="AL725" s="17" t="s">
        <v>842</v>
      </c>
    </row>
    <row r="726" spans="1:39" ht="15.75" customHeight="1">
      <c r="A726" s="49" t="s">
        <v>843</v>
      </c>
      <c r="B726" s="19" t="s">
        <v>840</v>
      </c>
      <c r="C726" s="17">
        <v>72</v>
      </c>
      <c r="D726" s="19" t="s">
        <v>196</v>
      </c>
      <c r="E726" s="19">
        <v>0</v>
      </c>
      <c r="F726" s="19" t="s">
        <v>452</v>
      </c>
      <c r="G726" s="19" t="s">
        <v>286</v>
      </c>
      <c r="H726" s="19" t="s">
        <v>263</v>
      </c>
      <c r="I726" s="17" t="b">
        <v>1</v>
      </c>
      <c r="J726" s="17" t="s">
        <v>43</v>
      </c>
      <c r="K726" s="21" t="str">
        <f t="shared" si="18"/>
        <v>https://version2.ice-d.org/antarctica/sample/R2021-DVD030/</v>
      </c>
      <c r="L726" s="49" t="s">
        <v>39</v>
      </c>
      <c r="M726" s="155"/>
      <c r="O726" s="17" t="s">
        <v>841</v>
      </c>
      <c r="P726" s="22">
        <v>-75.248159999999999</v>
      </c>
      <c r="Q726" s="22">
        <v>162.01818</v>
      </c>
      <c r="R726" s="22"/>
      <c r="S726" s="22">
        <v>223.5</v>
      </c>
      <c r="T726" s="17">
        <v>70</v>
      </c>
      <c r="U726" s="67">
        <v>152.30000000000001</v>
      </c>
      <c r="V726" s="67"/>
      <c r="W726" s="69"/>
      <c r="X726" s="22">
        <f t="shared" si="22"/>
        <v>153.5</v>
      </c>
      <c r="Y726" s="22">
        <v>5.5</v>
      </c>
      <c r="Z726" s="22">
        <v>2.7</v>
      </c>
      <c r="AA726" s="17" t="s">
        <v>46</v>
      </c>
      <c r="AB726" s="26">
        <v>3291</v>
      </c>
      <c r="AC726" s="26">
        <v>299</v>
      </c>
      <c r="AD726" s="26">
        <v>357</v>
      </c>
      <c r="AE726" s="27">
        <v>22000</v>
      </c>
      <c r="AF726" s="27">
        <v>2000</v>
      </c>
      <c r="AG726" s="28"/>
      <c r="AH726" s="28"/>
      <c r="AI726" s="17">
        <v>2018</v>
      </c>
      <c r="AJ726" s="17">
        <v>1</v>
      </c>
      <c r="AK726" s="17">
        <v>0</v>
      </c>
    </row>
    <row r="727" spans="1:39" ht="15.75" customHeight="1">
      <c r="A727" s="49" t="s">
        <v>844</v>
      </c>
      <c r="B727" s="19" t="s">
        <v>840</v>
      </c>
      <c r="C727" s="17">
        <v>72</v>
      </c>
      <c r="D727" s="19" t="s">
        <v>196</v>
      </c>
      <c r="E727" s="19">
        <v>0</v>
      </c>
      <c r="F727" s="19" t="s">
        <v>452</v>
      </c>
      <c r="G727" s="19" t="s">
        <v>286</v>
      </c>
      <c r="H727" s="19" t="s">
        <v>263</v>
      </c>
      <c r="I727" s="17" t="b">
        <v>1</v>
      </c>
      <c r="J727" s="17" t="s">
        <v>43</v>
      </c>
      <c r="K727" s="21" t="str">
        <f t="shared" si="18"/>
        <v>https://version2.ice-d.org/antarctica/sample/R2021-DVD033/</v>
      </c>
      <c r="L727" s="49" t="s">
        <v>39</v>
      </c>
      <c r="M727" s="155"/>
      <c r="O727" s="17" t="s">
        <v>841</v>
      </c>
      <c r="P727" s="22">
        <v>-75.248369999999994</v>
      </c>
      <c r="Q727" s="22">
        <v>162.02072000000001</v>
      </c>
      <c r="R727" s="22"/>
      <c r="S727" s="22">
        <v>221.1</v>
      </c>
      <c r="T727" s="17">
        <v>70</v>
      </c>
      <c r="U727" s="67">
        <v>152.30000000000001</v>
      </c>
      <c r="V727" s="67"/>
      <c r="W727" s="69"/>
      <c r="X727" s="22">
        <f t="shared" si="22"/>
        <v>151.1</v>
      </c>
      <c r="Y727" s="22">
        <v>5.8</v>
      </c>
      <c r="Z727" s="22">
        <v>2.7</v>
      </c>
      <c r="AA727" s="17" t="s">
        <v>46</v>
      </c>
      <c r="AB727" s="26">
        <v>2998</v>
      </c>
      <c r="AC727" s="26">
        <v>300</v>
      </c>
      <c r="AD727" s="26">
        <v>348</v>
      </c>
      <c r="AE727" s="27">
        <v>20000</v>
      </c>
      <c r="AF727" s="27">
        <v>2000</v>
      </c>
      <c r="AG727" s="28"/>
      <c r="AH727" s="28"/>
      <c r="AI727" s="17">
        <v>2018</v>
      </c>
      <c r="AJ727" s="17">
        <v>1</v>
      </c>
      <c r="AK727" s="17">
        <v>0</v>
      </c>
    </row>
    <row r="728" spans="1:39" ht="15.75" customHeight="1">
      <c r="A728" s="49" t="s">
        <v>845</v>
      </c>
      <c r="B728" s="19" t="s">
        <v>840</v>
      </c>
      <c r="C728" s="17">
        <v>72</v>
      </c>
      <c r="D728" s="19" t="s">
        <v>196</v>
      </c>
      <c r="E728" s="19">
        <v>0</v>
      </c>
      <c r="F728" s="19" t="s">
        <v>452</v>
      </c>
      <c r="G728" s="19" t="s">
        <v>286</v>
      </c>
      <c r="H728" s="19" t="s">
        <v>263</v>
      </c>
      <c r="I728" s="17" t="b">
        <v>1</v>
      </c>
      <c r="J728" s="17" t="s">
        <v>43</v>
      </c>
      <c r="K728" s="21" t="str">
        <f t="shared" si="18"/>
        <v>https://version2.ice-d.org/antarctica/sample/R2021-DVD034/</v>
      </c>
      <c r="L728" s="49" t="s">
        <v>39</v>
      </c>
      <c r="M728" s="155"/>
      <c r="O728" s="17" t="s">
        <v>841</v>
      </c>
      <c r="P728" s="22">
        <v>-75.248249999999999</v>
      </c>
      <c r="Q728" s="22">
        <v>162.02135000000001</v>
      </c>
      <c r="R728" s="22"/>
      <c r="S728" s="22">
        <v>221.4</v>
      </c>
      <c r="T728" s="17">
        <v>70</v>
      </c>
      <c r="U728" s="67">
        <v>152.30000000000001</v>
      </c>
      <c r="V728" s="67"/>
      <c r="W728" s="69"/>
      <c r="X728" s="22">
        <f t="shared" si="22"/>
        <v>151.4</v>
      </c>
      <c r="Y728" s="22">
        <v>7.8</v>
      </c>
      <c r="Z728" s="22">
        <v>2.7</v>
      </c>
      <c r="AA728" s="17" t="s">
        <v>46</v>
      </c>
      <c r="AB728" s="26">
        <v>1796</v>
      </c>
      <c r="AC728" s="26">
        <v>299</v>
      </c>
      <c r="AD728" s="26">
        <v>318</v>
      </c>
      <c r="AE728" s="27">
        <v>12000</v>
      </c>
      <c r="AF728" s="27">
        <v>2000</v>
      </c>
      <c r="AG728" s="28"/>
      <c r="AH728" s="28"/>
      <c r="AI728" s="17">
        <v>2018</v>
      </c>
      <c r="AJ728" s="17">
        <v>1</v>
      </c>
      <c r="AK728" s="17">
        <v>0</v>
      </c>
    </row>
    <row r="729" spans="1:39" ht="15.75" customHeight="1">
      <c r="A729" s="49" t="s">
        <v>846</v>
      </c>
      <c r="B729" s="19" t="s">
        <v>840</v>
      </c>
      <c r="C729" s="17">
        <v>72</v>
      </c>
      <c r="D729" s="19" t="s">
        <v>196</v>
      </c>
      <c r="E729" s="19">
        <v>0</v>
      </c>
      <c r="F729" s="19" t="s">
        <v>452</v>
      </c>
      <c r="G729" s="19" t="s">
        <v>286</v>
      </c>
      <c r="H729" s="19" t="s">
        <v>263</v>
      </c>
      <c r="I729" s="17" t="b">
        <v>1</v>
      </c>
      <c r="J729" s="17" t="s">
        <v>43</v>
      </c>
      <c r="K729" s="21" t="str">
        <f t="shared" si="18"/>
        <v>https://version2.ice-d.org/antarctica/sample/R2021-DVD036/</v>
      </c>
      <c r="L729" s="49" t="s">
        <v>39</v>
      </c>
      <c r="M729" s="155"/>
      <c r="O729" s="17" t="s">
        <v>841</v>
      </c>
      <c r="P729" s="22">
        <v>-75.248639999999995</v>
      </c>
      <c r="Q729" s="22">
        <v>162.01956999999999</v>
      </c>
      <c r="R729" s="22"/>
      <c r="S729" s="22">
        <v>218.9</v>
      </c>
      <c r="T729" s="17">
        <v>70</v>
      </c>
      <c r="U729" s="67">
        <v>152.30000000000001</v>
      </c>
      <c r="V729" s="67"/>
      <c r="W729" s="69"/>
      <c r="X729" s="22">
        <f t="shared" si="22"/>
        <v>148.9</v>
      </c>
      <c r="Y729" s="22">
        <v>6.5</v>
      </c>
      <c r="Z729" s="22">
        <v>2.7</v>
      </c>
      <c r="AA729" s="17" t="s">
        <v>46</v>
      </c>
      <c r="AB729" s="26">
        <v>1934</v>
      </c>
      <c r="AC729" s="26">
        <v>298</v>
      </c>
      <c r="AD729" s="26">
        <v>319</v>
      </c>
      <c r="AE729" s="27">
        <v>13000</v>
      </c>
      <c r="AF729" s="27">
        <v>2000</v>
      </c>
      <c r="AG729" s="28"/>
      <c r="AH729" s="28"/>
      <c r="AI729" s="17">
        <v>2018</v>
      </c>
      <c r="AJ729" s="17">
        <v>1</v>
      </c>
      <c r="AK729" s="17">
        <v>0</v>
      </c>
    </row>
    <row r="730" spans="1:39" ht="12.75" customHeight="1">
      <c r="A730" s="31" t="s">
        <v>847</v>
      </c>
      <c r="B730" s="33" t="s">
        <v>848</v>
      </c>
      <c r="C730" s="17">
        <v>75</v>
      </c>
      <c r="D730" s="19" t="s">
        <v>196</v>
      </c>
      <c r="E730" s="19">
        <v>0</v>
      </c>
      <c r="F730" s="33" t="s">
        <v>849</v>
      </c>
      <c r="G730" s="19" t="s">
        <v>483</v>
      </c>
      <c r="H730" s="19" t="s">
        <v>263</v>
      </c>
      <c r="I730" s="17" t="b">
        <v>1</v>
      </c>
      <c r="J730" s="17" t="s">
        <v>43</v>
      </c>
      <c r="K730" s="21" t="str">
        <f t="shared" si="18"/>
        <v>https://version2.ice-d.org/antarctica/sample/14-HAT-012-DH/</v>
      </c>
      <c r="L730" s="31" t="s">
        <v>39</v>
      </c>
      <c r="M730" s="170" t="s">
        <v>44</v>
      </c>
      <c r="O730" s="17" t="s">
        <v>850</v>
      </c>
      <c r="P730" s="22">
        <v>-79.899069999999995</v>
      </c>
      <c r="Q730" s="22">
        <v>159.13856000000001</v>
      </c>
      <c r="R730" s="22"/>
      <c r="S730" s="22">
        <v>341.4</v>
      </c>
      <c r="T730" s="17">
        <v>279</v>
      </c>
      <c r="U730" s="23">
        <v>500</v>
      </c>
      <c r="V730" s="8" t="s">
        <v>2001</v>
      </c>
      <c r="W730" s="44" t="s">
        <v>2428</v>
      </c>
      <c r="X730" s="22">
        <f t="shared" ref="X730:X964" si="23">S730-T730</f>
        <v>62.399999999999977</v>
      </c>
      <c r="Y730" s="22">
        <v>7</v>
      </c>
      <c r="Z730" s="22">
        <v>2.63</v>
      </c>
      <c r="AA730" s="17" t="s">
        <v>84</v>
      </c>
      <c r="AB730" s="26">
        <v>3915</v>
      </c>
      <c r="AC730" s="26">
        <v>98</v>
      </c>
      <c r="AD730" s="26">
        <v>251</v>
      </c>
      <c r="AE730" s="27">
        <v>28817.599999999999</v>
      </c>
      <c r="AF730" s="27">
        <v>720.65499999999997</v>
      </c>
      <c r="AG730" s="28"/>
      <c r="AH730" s="28"/>
      <c r="AI730" s="17">
        <v>2014</v>
      </c>
      <c r="AJ730" s="17">
        <v>1</v>
      </c>
      <c r="AK730" s="17">
        <v>0</v>
      </c>
    </row>
    <row r="731" spans="1:39" ht="12.75" customHeight="1">
      <c r="A731" s="31" t="s">
        <v>851</v>
      </c>
      <c r="B731" s="33" t="s">
        <v>848</v>
      </c>
      <c r="C731" s="17">
        <v>75</v>
      </c>
      <c r="D731" s="19" t="s">
        <v>196</v>
      </c>
      <c r="E731" s="19">
        <v>0</v>
      </c>
      <c r="F731" s="33" t="s">
        <v>849</v>
      </c>
      <c r="G731" s="19" t="s">
        <v>483</v>
      </c>
      <c r="H731" s="19" t="s">
        <v>263</v>
      </c>
      <c r="I731" s="17" t="b">
        <v>1</v>
      </c>
      <c r="J731" s="17" t="s">
        <v>43</v>
      </c>
      <c r="K731" s="21" t="str">
        <f t="shared" si="18"/>
        <v>https://version2.ice-d.org/antarctica/sample/14-HAT-014-DH/</v>
      </c>
      <c r="L731" s="31" t="s">
        <v>39</v>
      </c>
      <c r="M731" s="155"/>
      <c r="O731" s="17" t="s">
        <v>850</v>
      </c>
      <c r="P731" s="22">
        <v>-79.899140000000003</v>
      </c>
      <c r="Q731" s="22">
        <v>159.13362000000001</v>
      </c>
      <c r="R731" s="22"/>
      <c r="S731" s="22">
        <v>333.8</v>
      </c>
      <c r="T731" s="17">
        <v>279</v>
      </c>
      <c r="U731" s="23">
        <v>500</v>
      </c>
      <c r="V731" s="8" t="s">
        <v>2001</v>
      </c>
      <c r="W731" s="44" t="s">
        <v>2428</v>
      </c>
      <c r="X731" s="22">
        <f t="shared" si="23"/>
        <v>54.800000000000011</v>
      </c>
      <c r="Y731" s="22">
        <v>6</v>
      </c>
      <c r="Z731" s="22">
        <v>2.76</v>
      </c>
      <c r="AA731" s="17" t="s">
        <v>84</v>
      </c>
      <c r="AB731" s="26">
        <v>3351</v>
      </c>
      <c r="AC731" s="26">
        <v>97</v>
      </c>
      <c r="AD731" s="26">
        <v>220</v>
      </c>
      <c r="AE731" s="27">
        <v>24815.9</v>
      </c>
      <c r="AF731" s="27">
        <v>720.30799999999999</v>
      </c>
      <c r="AG731" s="28"/>
      <c r="AH731" s="28"/>
      <c r="AI731" s="17">
        <v>2014</v>
      </c>
      <c r="AJ731" s="17">
        <v>1</v>
      </c>
      <c r="AK731" s="17">
        <v>0</v>
      </c>
    </row>
    <row r="732" spans="1:39" ht="12.75" customHeight="1">
      <c r="A732" s="31" t="s">
        <v>852</v>
      </c>
      <c r="B732" s="33" t="s">
        <v>848</v>
      </c>
      <c r="C732" s="17">
        <v>75</v>
      </c>
      <c r="D732" s="19" t="s">
        <v>196</v>
      </c>
      <c r="E732" s="19">
        <v>0</v>
      </c>
      <c r="F732" s="33" t="s">
        <v>849</v>
      </c>
      <c r="G732" s="19" t="s">
        <v>483</v>
      </c>
      <c r="H732" s="19" t="s">
        <v>263</v>
      </c>
      <c r="I732" s="17" t="b">
        <v>1</v>
      </c>
      <c r="J732" s="17" t="s">
        <v>43</v>
      </c>
      <c r="K732" s="21" t="str">
        <f t="shared" si="18"/>
        <v>https://version2.ice-d.org/antarctica/sample/14-HAT-015-DH/</v>
      </c>
      <c r="L732" s="31" t="s">
        <v>39</v>
      </c>
      <c r="M732" s="155"/>
      <c r="O732" s="17" t="s">
        <v>850</v>
      </c>
      <c r="P732" s="22">
        <v>-79.89931</v>
      </c>
      <c r="Q732" s="22">
        <v>159.13301999999999</v>
      </c>
      <c r="R732" s="22"/>
      <c r="S732" s="22">
        <v>327.3</v>
      </c>
      <c r="T732" s="17">
        <v>279</v>
      </c>
      <c r="U732" s="23">
        <v>500</v>
      </c>
      <c r="V732" s="8" t="s">
        <v>2001</v>
      </c>
      <c r="W732" s="44" t="s">
        <v>2428</v>
      </c>
      <c r="X732" s="22">
        <f t="shared" si="23"/>
        <v>48.300000000000011</v>
      </c>
      <c r="Y732" s="22">
        <v>5.5</v>
      </c>
      <c r="Z732" s="22">
        <v>2.69</v>
      </c>
      <c r="AA732" s="17" t="s">
        <v>84</v>
      </c>
      <c r="AB732" s="26">
        <v>3361</v>
      </c>
      <c r="AC732" s="26">
        <v>96</v>
      </c>
      <c r="AD732" s="26">
        <v>221</v>
      </c>
      <c r="AE732" s="27">
        <v>24741.1</v>
      </c>
      <c r="AF732" s="27">
        <v>708.25199999999995</v>
      </c>
      <c r="AG732" s="28"/>
      <c r="AH732" s="28"/>
      <c r="AI732" s="17">
        <v>2014</v>
      </c>
      <c r="AJ732" s="17">
        <v>1</v>
      </c>
      <c r="AK732" s="17">
        <v>0</v>
      </c>
    </row>
    <row r="733" spans="1:39" ht="12.75" customHeight="1">
      <c r="A733" s="31" t="s">
        <v>853</v>
      </c>
      <c r="B733" s="33" t="s">
        <v>848</v>
      </c>
      <c r="C733" s="17">
        <v>75</v>
      </c>
      <c r="D733" s="19" t="s">
        <v>196</v>
      </c>
      <c r="E733" s="19">
        <v>0</v>
      </c>
      <c r="F733" s="33" t="s">
        <v>849</v>
      </c>
      <c r="G733" s="19" t="s">
        <v>483</v>
      </c>
      <c r="H733" s="19" t="s">
        <v>263</v>
      </c>
      <c r="I733" s="17" t="b">
        <v>1</v>
      </c>
      <c r="J733" s="17" t="s">
        <v>43</v>
      </c>
      <c r="K733" s="21" t="str">
        <f t="shared" si="18"/>
        <v>https://version2.ice-d.org/antarctica/sample/14-HAT-016-DH/</v>
      </c>
      <c r="L733" s="31" t="s">
        <v>39</v>
      </c>
      <c r="M733" s="155"/>
      <c r="O733" s="17" t="s">
        <v>850</v>
      </c>
      <c r="P733" s="22">
        <v>-79.899940000000001</v>
      </c>
      <c r="Q733" s="22">
        <v>159.13287</v>
      </c>
      <c r="R733" s="22"/>
      <c r="S733" s="22">
        <v>303.39999999999998</v>
      </c>
      <c r="T733" s="17">
        <v>279</v>
      </c>
      <c r="U733" s="23">
        <v>500</v>
      </c>
      <c r="V733" s="8" t="s">
        <v>2001</v>
      </c>
      <c r="W733" s="44" t="s">
        <v>2428</v>
      </c>
      <c r="X733" s="22">
        <f t="shared" si="23"/>
        <v>24.399999999999977</v>
      </c>
      <c r="Y733" s="22">
        <v>7</v>
      </c>
      <c r="Z733" s="22">
        <v>2.67</v>
      </c>
      <c r="AA733" s="17" t="s">
        <v>84</v>
      </c>
      <c r="AB733" s="26">
        <v>2647</v>
      </c>
      <c r="AC733" s="26">
        <v>78</v>
      </c>
      <c r="AD733" s="26">
        <v>174</v>
      </c>
      <c r="AE733" s="27">
        <v>18839.599999999999</v>
      </c>
      <c r="AF733" s="27">
        <v>551.60400000000004</v>
      </c>
      <c r="AG733" s="28"/>
      <c r="AH733" s="28"/>
      <c r="AI733" s="17">
        <v>2014</v>
      </c>
      <c r="AJ733" s="17">
        <v>1</v>
      </c>
      <c r="AK733" s="17">
        <v>0</v>
      </c>
    </row>
    <row r="734" spans="1:39" ht="12.75" customHeight="1">
      <c r="A734" s="31" t="s">
        <v>854</v>
      </c>
      <c r="B734" s="33" t="s">
        <v>848</v>
      </c>
      <c r="C734" s="17">
        <v>75</v>
      </c>
      <c r="D734" s="19" t="s">
        <v>196</v>
      </c>
      <c r="E734" s="19">
        <v>0</v>
      </c>
      <c r="F734" s="33" t="s">
        <v>849</v>
      </c>
      <c r="G734" s="19" t="s">
        <v>483</v>
      </c>
      <c r="H734" s="19" t="s">
        <v>263</v>
      </c>
      <c r="I734" s="17" t="b">
        <v>1</v>
      </c>
      <c r="J734" s="17" t="s">
        <v>43</v>
      </c>
      <c r="K734" s="21" t="str">
        <f t="shared" si="18"/>
        <v>https://version2.ice-d.org/antarctica/sample/14-HAT-017-DH/</v>
      </c>
      <c r="L734" s="31" t="s">
        <v>39</v>
      </c>
      <c r="M734" s="155"/>
      <c r="O734" s="17" t="s">
        <v>850</v>
      </c>
      <c r="P734" s="22">
        <v>-79.899940000000001</v>
      </c>
      <c r="Q734" s="22">
        <v>159.13287</v>
      </c>
      <c r="R734" s="22"/>
      <c r="S734" s="22">
        <v>303.39999999999998</v>
      </c>
      <c r="T734" s="17">
        <v>279</v>
      </c>
      <c r="U734" s="23">
        <v>500</v>
      </c>
      <c r="V734" s="8" t="s">
        <v>2001</v>
      </c>
      <c r="W734" s="44" t="s">
        <v>2428</v>
      </c>
      <c r="X734" s="22">
        <f t="shared" si="23"/>
        <v>24.399999999999977</v>
      </c>
      <c r="Y734" s="22">
        <v>4.5</v>
      </c>
      <c r="Z734" s="22">
        <v>2.62</v>
      </c>
      <c r="AA734" s="17" t="s">
        <v>84</v>
      </c>
      <c r="AB734" s="26">
        <v>2893</v>
      </c>
      <c r="AC734" s="26">
        <v>89</v>
      </c>
      <c r="AD734" s="26">
        <v>193</v>
      </c>
      <c r="AE734" s="27">
        <v>21135.1</v>
      </c>
      <c r="AF734" s="27">
        <v>650.30700000000002</v>
      </c>
      <c r="AG734" s="28"/>
      <c r="AH734" s="28"/>
      <c r="AI734" s="17">
        <v>2014</v>
      </c>
      <c r="AJ734" s="17">
        <v>1</v>
      </c>
      <c r="AK734" s="17">
        <v>0</v>
      </c>
    </row>
    <row r="735" spans="1:39" ht="12.75" customHeight="1">
      <c r="A735" s="31" t="s">
        <v>855</v>
      </c>
      <c r="B735" s="33" t="s">
        <v>848</v>
      </c>
      <c r="C735" s="17">
        <v>75</v>
      </c>
      <c r="D735" s="19" t="s">
        <v>196</v>
      </c>
      <c r="E735" s="19">
        <v>0</v>
      </c>
      <c r="F735" s="33" t="s">
        <v>849</v>
      </c>
      <c r="G735" s="19" t="s">
        <v>483</v>
      </c>
      <c r="H735" s="19" t="s">
        <v>263</v>
      </c>
      <c r="I735" s="17" t="b">
        <v>1</v>
      </c>
      <c r="J735" s="17" t="s">
        <v>43</v>
      </c>
      <c r="K735" s="21" t="str">
        <f t="shared" si="18"/>
        <v>https://version2.ice-d.org/antarctica/sample/14-HAT-022-DH/</v>
      </c>
      <c r="L735" s="31" t="s">
        <v>39</v>
      </c>
      <c r="M735" s="155"/>
      <c r="O735" s="17" t="s">
        <v>850</v>
      </c>
      <c r="P735" s="22">
        <v>-79.89873</v>
      </c>
      <c r="Q735" s="22">
        <v>159.10245</v>
      </c>
      <c r="R735" s="22"/>
      <c r="S735" s="22">
        <v>376.8</v>
      </c>
      <c r="T735" s="17">
        <v>279</v>
      </c>
      <c r="U735" s="23">
        <v>500</v>
      </c>
      <c r="V735" s="8" t="s">
        <v>2001</v>
      </c>
      <c r="W735" s="44" t="s">
        <v>2428</v>
      </c>
      <c r="X735" s="22">
        <f t="shared" si="23"/>
        <v>97.800000000000011</v>
      </c>
      <c r="Y735" s="22">
        <v>6</v>
      </c>
      <c r="Z735" s="22">
        <v>2.58</v>
      </c>
      <c r="AA735" s="17" t="s">
        <v>84</v>
      </c>
      <c r="AB735" s="26">
        <v>4623</v>
      </c>
      <c r="AC735" s="26">
        <v>117</v>
      </c>
      <c r="AD735" s="26">
        <v>297</v>
      </c>
      <c r="AE735" s="27">
        <v>35280.1</v>
      </c>
      <c r="AF735" s="27">
        <v>890.31100000000004</v>
      </c>
      <c r="AG735" s="28"/>
      <c r="AH735" s="28"/>
      <c r="AI735" s="17">
        <v>2014</v>
      </c>
      <c r="AJ735" s="17">
        <v>1</v>
      </c>
      <c r="AK735" s="17">
        <v>0</v>
      </c>
    </row>
    <row r="736" spans="1:39" ht="12.75" customHeight="1">
      <c r="A736" s="31" t="s">
        <v>856</v>
      </c>
      <c r="B736" s="33" t="s">
        <v>848</v>
      </c>
      <c r="C736" s="17">
        <v>75</v>
      </c>
      <c r="D736" s="19" t="s">
        <v>196</v>
      </c>
      <c r="E736" s="19">
        <v>0</v>
      </c>
      <c r="F736" s="33" t="s">
        <v>849</v>
      </c>
      <c r="G736" s="19" t="s">
        <v>483</v>
      </c>
      <c r="H736" s="19" t="s">
        <v>263</v>
      </c>
      <c r="I736" s="17" t="b">
        <v>1</v>
      </c>
      <c r="J736" s="17" t="s">
        <v>43</v>
      </c>
      <c r="K736" s="21" t="str">
        <f t="shared" si="18"/>
        <v>https://version2.ice-d.org/antarctica/sample/14-HAT-024-DH/</v>
      </c>
      <c r="L736" s="31" t="s">
        <v>39</v>
      </c>
      <c r="M736" s="155"/>
      <c r="O736" s="17" t="s">
        <v>850</v>
      </c>
      <c r="P736" s="22">
        <v>-79.898269999999997</v>
      </c>
      <c r="Q736" s="22">
        <v>159.09120999999999</v>
      </c>
      <c r="R736" s="22"/>
      <c r="S736" s="22">
        <v>413.1</v>
      </c>
      <c r="T736" s="17">
        <v>279</v>
      </c>
      <c r="U736" s="23">
        <v>500</v>
      </c>
      <c r="V736" s="8" t="s">
        <v>2001</v>
      </c>
      <c r="W736" s="44" t="s">
        <v>2428</v>
      </c>
      <c r="X736" s="22">
        <f t="shared" si="23"/>
        <v>134.10000000000002</v>
      </c>
      <c r="Y736" s="22">
        <v>4.5</v>
      </c>
      <c r="Z736" s="22">
        <v>2.62</v>
      </c>
      <c r="AA736" s="17" t="s">
        <v>84</v>
      </c>
      <c r="AB736" s="26">
        <v>5048</v>
      </c>
      <c r="AC736" s="26">
        <v>161</v>
      </c>
      <c r="AD736" s="26">
        <v>339</v>
      </c>
      <c r="AE736" s="27">
        <v>40241.5</v>
      </c>
      <c r="AF736" s="27">
        <v>1279.18</v>
      </c>
      <c r="AG736" s="28"/>
      <c r="AH736" s="28"/>
      <c r="AI736" s="17">
        <v>2014</v>
      </c>
      <c r="AJ736" s="17">
        <v>1</v>
      </c>
      <c r="AK736" s="17">
        <v>0</v>
      </c>
    </row>
    <row r="737" spans="1:39" ht="12.75" customHeight="1">
      <c r="A737" s="31" t="s">
        <v>857</v>
      </c>
      <c r="B737" s="33" t="s">
        <v>848</v>
      </c>
      <c r="C737" s="17">
        <v>75</v>
      </c>
      <c r="D737" s="19" t="s">
        <v>196</v>
      </c>
      <c r="E737" s="19">
        <v>0</v>
      </c>
      <c r="F737" s="33" t="s">
        <v>849</v>
      </c>
      <c r="G737" s="19" t="s">
        <v>483</v>
      </c>
      <c r="H737" s="19" t="s">
        <v>263</v>
      </c>
      <c r="I737" s="17" t="b">
        <v>1</v>
      </c>
      <c r="J737" s="17" t="s">
        <v>43</v>
      </c>
      <c r="K737" s="21" t="str">
        <f t="shared" si="18"/>
        <v>https://version2.ice-d.org/antarctica/sample/14-HAT-026-DH/</v>
      </c>
      <c r="L737" s="31" t="s">
        <v>39</v>
      </c>
      <c r="M737" s="155"/>
      <c r="O737" s="17" t="s">
        <v>850</v>
      </c>
      <c r="P737" s="22">
        <v>-79.892889999999994</v>
      </c>
      <c r="Q737" s="22">
        <v>159.09048000000001</v>
      </c>
      <c r="R737" s="22"/>
      <c r="S737" s="22">
        <v>472</v>
      </c>
      <c r="T737" s="17">
        <v>279</v>
      </c>
      <c r="U737" s="23">
        <v>500</v>
      </c>
      <c r="V737" s="8" t="s">
        <v>2001</v>
      </c>
      <c r="W737" s="44" t="s">
        <v>2428</v>
      </c>
      <c r="X737" s="22">
        <f t="shared" si="23"/>
        <v>193</v>
      </c>
      <c r="Y737" s="22">
        <v>6.25</v>
      </c>
      <c r="Z737" s="22">
        <v>2.65</v>
      </c>
      <c r="AA737" s="17" t="s">
        <v>58</v>
      </c>
      <c r="AB737" s="26">
        <v>6898</v>
      </c>
      <c r="AC737" s="26">
        <v>462</v>
      </c>
      <c r="AD737" s="26">
        <v>710</v>
      </c>
      <c r="AE737" s="27">
        <v>3708000</v>
      </c>
      <c r="AF737" s="27">
        <v>61591.1</v>
      </c>
      <c r="AG737" s="27">
        <v>15831700</v>
      </c>
      <c r="AH737" s="27">
        <v>363750</v>
      </c>
      <c r="AI737" s="17">
        <v>2014</v>
      </c>
      <c r="AJ737" s="17">
        <v>1</v>
      </c>
      <c r="AK737" s="17">
        <v>0</v>
      </c>
    </row>
    <row r="738" spans="1:39" ht="12.75" customHeight="1">
      <c r="A738" s="31" t="s">
        <v>858</v>
      </c>
      <c r="B738" s="33" t="s">
        <v>848</v>
      </c>
      <c r="C738" s="17">
        <v>75</v>
      </c>
      <c r="D738" s="19" t="s">
        <v>196</v>
      </c>
      <c r="E738" s="19">
        <v>0</v>
      </c>
      <c r="F738" s="33" t="s">
        <v>849</v>
      </c>
      <c r="G738" s="19" t="s">
        <v>483</v>
      </c>
      <c r="H738" s="19" t="s">
        <v>263</v>
      </c>
      <c r="I738" s="17" t="b">
        <v>1</v>
      </c>
      <c r="J738" s="17" t="s">
        <v>43</v>
      </c>
      <c r="K738" s="21" t="str">
        <f t="shared" si="18"/>
        <v>https://version2.ice-d.org/antarctica/sample/14-HAT-032-DH/</v>
      </c>
      <c r="L738" s="31" t="s">
        <v>39</v>
      </c>
      <c r="M738" s="155"/>
      <c r="O738" s="17" t="s">
        <v>850</v>
      </c>
      <c r="P738" s="22">
        <v>-79.903319999999994</v>
      </c>
      <c r="Q738" s="22">
        <v>159.13686000000001</v>
      </c>
      <c r="R738" s="22"/>
      <c r="S738" s="22">
        <v>279.89999999999998</v>
      </c>
      <c r="T738" s="17">
        <v>279</v>
      </c>
      <c r="U738" s="23">
        <v>500</v>
      </c>
      <c r="V738" s="8" t="s">
        <v>2001</v>
      </c>
      <c r="W738" s="44" t="s">
        <v>2428</v>
      </c>
      <c r="X738" s="22">
        <f t="shared" si="23"/>
        <v>0.89999999999997726</v>
      </c>
      <c r="Y738" s="22">
        <v>5</v>
      </c>
      <c r="Z738" s="22">
        <v>2.66</v>
      </c>
      <c r="AA738" s="17" t="s">
        <v>84</v>
      </c>
      <c r="AB738" s="26">
        <v>294</v>
      </c>
      <c r="AC738" s="26">
        <v>30</v>
      </c>
      <c r="AD738" s="26">
        <v>35</v>
      </c>
      <c r="AE738" s="27">
        <v>2052.21</v>
      </c>
      <c r="AF738" s="27">
        <v>208.87899999999999</v>
      </c>
      <c r="AG738" s="28"/>
      <c r="AH738" s="28"/>
      <c r="AI738" s="17">
        <v>2014</v>
      </c>
      <c r="AJ738" s="17">
        <v>1</v>
      </c>
      <c r="AK738" s="17">
        <v>0</v>
      </c>
    </row>
    <row r="739" spans="1:39" ht="12.75" customHeight="1">
      <c r="A739" s="31" t="s">
        <v>858</v>
      </c>
      <c r="B739" s="33" t="s">
        <v>848</v>
      </c>
      <c r="C739" s="17">
        <v>75</v>
      </c>
      <c r="D739" s="19" t="s">
        <v>196</v>
      </c>
      <c r="E739" s="19">
        <v>0</v>
      </c>
      <c r="F739" s="33" t="s">
        <v>849</v>
      </c>
      <c r="G739" s="19" t="s">
        <v>483</v>
      </c>
      <c r="H739" s="19" t="s">
        <v>263</v>
      </c>
      <c r="I739" s="17" t="b">
        <v>1</v>
      </c>
      <c r="J739" s="17" t="s">
        <v>247</v>
      </c>
      <c r="K739" s="21" t="str">
        <f t="shared" si="18"/>
        <v>https://version2.ice-d.org/antarctica/sample/14-HAT-032-DH/</v>
      </c>
      <c r="L739" s="31" t="s">
        <v>39</v>
      </c>
      <c r="M739" s="155"/>
      <c r="O739" s="17" t="s">
        <v>850</v>
      </c>
      <c r="P739" s="22">
        <v>-79.903319999999994</v>
      </c>
      <c r="Q739" s="22">
        <v>159.13686000000001</v>
      </c>
      <c r="R739" s="22"/>
      <c r="S739" s="22">
        <v>279.89999999999998</v>
      </c>
      <c r="T739" s="17">
        <v>279</v>
      </c>
      <c r="U739" s="23">
        <v>500</v>
      </c>
      <c r="V739" s="8" t="s">
        <v>2001</v>
      </c>
      <c r="W739" s="44" t="s">
        <v>2428</v>
      </c>
      <c r="X739" s="22">
        <f t="shared" si="23"/>
        <v>0.89999999999997726</v>
      </c>
      <c r="Y739" s="22">
        <v>5</v>
      </c>
      <c r="Z739" s="22">
        <v>2.66</v>
      </c>
      <c r="AA739" s="17" t="s">
        <v>84</v>
      </c>
      <c r="AB739" s="26">
        <v>1441</v>
      </c>
      <c r="AC739" s="26">
        <v>659</v>
      </c>
      <c r="AD739" s="26">
        <v>663</v>
      </c>
      <c r="AE739" s="27">
        <v>2052.21</v>
      </c>
      <c r="AF739" s="27">
        <v>208.87899999999999</v>
      </c>
      <c r="AG739" s="28"/>
      <c r="AH739" s="28"/>
      <c r="AI739" s="17">
        <v>2014</v>
      </c>
      <c r="AJ739" s="17">
        <v>1</v>
      </c>
      <c r="AK739" s="17">
        <v>0</v>
      </c>
    </row>
    <row r="740" spans="1:39" ht="12.75" customHeight="1">
      <c r="A740" s="31" t="s">
        <v>859</v>
      </c>
      <c r="B740" s="33" t="s">
        <v>848</v>
      </c>
      <c r="C740" s="17">
        <v>75</v>
      </c>
      <c r="D740" s="19" t="s">
        <v>196</v>
      </c>
      <c r="E740" s="19">
        <v>0</v>
      </c>
      <c r="F740" s="33" t="s">
        <v>849</v>
      </c>
      <c r="G740" s="19" t="s">
        <v>483</v>
      </c>
      <c r="H740" s="19" t="s">
        <v>263</v>
      </c>
      <c r="I740" s="17" t="b">
        <v>1</v>
      </c>
      <c r="J740" s="17" t="s">
        <v>247</v>
      </c>
      <c r="K740" s="21" t="str">
        <f t="shared" si="18"/>
        <v>https://version2.ice-d.org/antarctica/sample/14-HAT-033-DH/</v>
      </c>
      <c r="L740" s="31" t="s">
        <v>39</v>
      </c>
      <c r="M740" s="155"/>
      <c r="O740" s="17" t="s">
        <v>850</v>
      </c>
      <c r="P740" s="22">
        <v>-79.903319999999994</v>
      </c>
      <c r="Q740" s="22">
        <v>159.13686000000001</v>
      </c>
      <c r="R740" s="22"/>
      <c r="S740" s="22">
        <v>279.89999999999998</v>
      </c>
      <c r="T740" s="17">
        <v>279</v>
      </c>
      <c r="U740" s="23">
        <v>500</v>
      </c>
      <c r="V740" s="8" t="s">
        <v>2001</v>
      </c>
      <c r="W740" s="44" t="s">
        <v>2428</v>
      </c>
      <c r="X740" s="22">
        <f t="shared" si="23"/>
        <v>0.89999999999997726</v>
      </c>
      <c r="Y740" s="22">
        <v>4</v>
      </c>
      <c r="Z740" s="22">
        <v>2.65</v>
      </c>
      <c r="AA740" s="17" t="s">
        <v>58</v>
      </c>
      <c r="AB740" s="26">
        <v>473</v>
      </c>
      <c r="AC740" s="26">
        <v>199</v>
      </c>
      <c r="AD740" s="26">
        <v>201</v>
      </c>
      <c r="AE740" s="27">
        <v>105590</v>
      </c>
      <c r="AF740" s="27">
        <v>2286.3200000000002</v>
      </c>
      <c r="AG740" s="27">
        <v>649217</v>
      </c>
      <c r="AH740" s="27">
        <v>24752.9</v>
      </c>
      <c r="AI740" s="17">
        <v>2014</v>
      </c>
      <c r="AJ740" s="17">
        <v>1</v>
      </c>
      <c r="AK740" s="17">
        <v>0</v>
      </c>
    </row>
    <row r="741" spans="1:39" ht="12.75" customHeight="1">
      <c r="A741" s="31" t="s">
        <v>859</v>
      </c>
      <c r="B741" s="33" t="s">
        <v>848</v>
      </c>
      <c r="C741" s="17">
        <v>75</v>
      </c>
      <c r="D741" s="19" t="s">
        <v>196</v>
      </c>
      <c r="E741" s="19">
        <v>0</v>
      </c>
      <c r="F741" s="33" t="s">
        <v>849</v>
      </c>
      <c r="G741" s="19" t="s">
        <v>483</v>
      </c>
      <c r="H741" s="19" t="s">
        <v>263</v>
      </c>
      <c r="I741" s="17" t="b">
        <v>1</v>
      </c>
      <c r="J741" s="17" t="s">
        <v>43</v>
      </c>
      <c r="K741" s="21" t="str">
        <f t="shared" si="18"/>
        <v>https://version2.ice-d.org/antarctica/sample/14-HAT-033-DH/</v>
      </c>
      <c r="L741" s="31" t="s">
        <v>39</v>
      </c>
      <c r="M741" s="155"/>
      <c r="O741" s="17" t="s">
        <v>850</v>
      </c>
      <c r="P741" s="22">
        <v>-79.903319999999994</v>
      </c>
      <c r="Q741" s="22">
        <v>159.13686000000001</v>
      </c>
      <c r="R741" s="22"/>
      <c r="S741" s="22">
        <v>279.89999999999998</v>
      </c>
      <c r="T741" s="17">
        <v>279</v>
      </c>
      <c r="U741" s="23">
        <v>500</v>
      </c>
      <c r="V741" s="8" t="s">
        <v>2001</v>
      </c>
      <c r="W741" s="44" t="s">
        <v>2428</v>
      </c>
      <c r="X741" s="22">
        <f t="shared" si="23"/>
        <v>0.89999999999997726</v>
      </c>
      <c r="Y741" s="22">
        <v>4</v>
      </c>
      <c r="Z741" s="22">
        <v>2.65</v>
      </c>
      <c r="AA741" s="17" t="s">
        <v>58</v>
      </c>
      <c r="AB741" s="26">
        <v>12983</v>
      </c>
      <c r="AC741" s="26">
        <v>498</v>
      </c>
      <c r="AD741" s="26">
        <v>1229</v>
      </c>
      <c r="AE741" s="27">
        <v>105590</v>
      </c>
      <c r="AF741" s="27">
        <v>2286.3200000000002</v>
      </c>
      <c r="AG741" s="27">
        <v>649217</v>
      </c>
      <c r="AH741" s="27">
        <v>24752.9</v>
      </c>
      <c r="AI741" s="17">
        <v>2014</v>
      </c>
      <c r="AJ741" s="17">
        <v>1</v>
      </c>
      <c r="AK741" s="17">
        <v>0</v>
      </c>
    </row>
    <row r="742" spans="1:39" ht="12.75" customHeight="1">
      <c r="A742" s="31" t="s">
        <v>859</v>
      </c>
      <c r="B742" s="33" t="s">
        <v>848</v>
      </c>
      <c r="C742" s="17">
        <v>75</v>
      </c>
      <c r="D742" s="19" t="s">
        <v>196</v>
      </c>
      <c r="E742" s="19">
        <v>0</v>
      </c>
      <c r="F742" s="33" t="s">
        <v>849</v>
      </c>
      <c r="G742" s="19" t="s">
        <v>483</v>
      </c>
      <c r="H742" s="19" t="s">
        <v>263</v>
      </c>
      <c r="I742" s="17" t="b">
        <v>1</v>
      </c>
      <c r="J742" s="17" t="s">
        <v>64</v>
      </c>
      <c r="K742" s="21" t="str">
        <f t="shared" si="18"/>
        <v>https://version2.ice-d.org/antarctica/sample/14-HAT-033-DH/</v>
      </c>
      <c r="L742" s="31" t="s">
        <v>39</v>
      </c>
      <c r="M742" s="155"/>
      <c r="O742" s="17" t="s">
        <v>850</v>
      </c>
      <c r="P742" s="22">
        <v>-79.903319999999994</v>
      </c>
      <c r="Q742" s="22">
        <v>159.13686000000001</v>
      </c>
      <c r="R742" s="22"/>
      <c r="S742" s="22">
        <v>279.89999999999998</v>
      </c>
      <c r="T742" s="17">
        <v>279</v>
      </c>
      <c r="U742" s="23">
        <v>500</v>
      </c>
      <c r="V742" s="8" t="s">
        <v>2001</v>
      </c>
      <c r="W742" s="44" t="s">
        <v>2428</v>
      </c>
      <c r="X742" s="22">
        <f t="shared" si="23"/>
        <v>0.89999999999997726</v>
      </c>
      <c r="Y742" s="22">
        <v>4</v>
      </c>
      <c r="Z742" s="22">
        <v>2.65</v>
      </c>
      <c r="AA742" s="17" t="s">
        <v>58</v>
      </c>
      <c r="AB742" s="26">
        <v>15006</v>
      </c>
      <c r="AC742" s="26">
        <v>326</v>
      </c>
      <c r="AD742" s="26">
        <v>947</v>
      </c>
      <c r="AE742" s="27">
        <v>105590</v>
      </c>
      <c r="AF742" s="27">
        <v>2286.3200000000002</v>
      </c>
      <c r="AG742" s="27">
        <v>649217</v>
      </c>
      <c r="AH742" s="27">
        <v>24752.9</v>
      </c>
      <c r="AI742" s="17">
        <v>2014</v>
      </c>
      <c r="AJ742" s="17">
        <v>1</v>
      </c>
      <c r="AK742" s="17">
        <v>0</v>
      </c>
    </row>
    <row r="743" spans="1:39" ht="12.75" customHeight="1">
      <c r="A743" s="119" t="s">
        <v>860</v>
      </c>
      <c r="B743" s="19" t="s">
        <v>861</v>
      </c>
      <c r="C743" s="17">
        <v>76</v>
      </c>
      <c r="D743" s="20" t="s">
        <v>196</v>
      </c>
      <c r="E743" s="19">
        <v>0</v>
      </c>
      <c r="F743" s="33" t="s">
        <v>849</v>
      </c>
      <c r="G743" s="17" t="s">
        <v>862</v>
      </c>
      <c r="H743" s="19" t="s">
        <v>263</v>
      </c>
      <c r="I743" s="59" t="b">
        <v>1</v>
      </c>
      <c r="J743" s="17" t="s">
        <v>43</v>
      </c>
      <c r="K743" s="21" t="str">
        <f t="shared" si="18"/>
        <v>https://version2.ice-d.org/antarctica/sample/14-HAT-030-DH/</v>
      </c>
      <c r="L743" s="31" t="s">
        <v>39</v>
      </c>
      <c r="M743" s="155"/>
      <c r="O743" s="17" t="s">
        <v>850</v>
      </c>
      <c r="P743" s="22">
        <v>-79.836759999999998</v>
      </c>
      <c r="Q743" s="22">
        <v>159.17841999999999</v>
      </c>
      <c r="S743" s="22">
        <v>450.1</v>
      </c>
      <c r="T743" s="22">
        <v>279</v>
      </c>
      <c r="U743" s="23">
        <v>500</v>
      </c>
      <c r="V743" s="8" t="s">
        <v>2001</v>
      </c>
      <c r="W743" s="44" t="s">
        <v>2428</v>
      </c>
      <c r="X743" s="17">
        <f t="shared" si="23"/>
        <v>171.10000000000002</v>
      </c>
      <c r="AA743" s="17" t="s">
        <v>84</v>
      </c>
      <c r="AB743" s="60">
        <v>17281</v>
      </c>
      <c r="AC743" s="60">
        <v>574</v>
      </c>
      <c r="AD743" s="36">
        <v>1174</v>
      </c>
      <c r="AI743" s="17">
        <v>2013</v>
      </c>
      <c r="AJ743" s="17">
        <v>1</v>
      </c>
      <c r="AK743" s="17">
        <v>0</v>
      </c>
      <c r="AL743" s="17" t="s">
        <v>863</v>
      </c>
    </row>
    <row r="744" spans="1:39" ht="12.75" customHeight="1">
      <c r="A744" s="119" t="s">
        <v>864</v>
      </c>
      <c r="B744" s="19" t="s">
        <v>861</v>
      </c>
      <c r="C744" s="17">
        <v>76</v>
      </c>
      <c r="D744" s="20" t="s">
        <v>196</v>
      </c>
      <c r="E744" s="19">
        <v>0</v>
      </c>
      <c r="F744" s="33" t="s">
        <v>849</v>
      </c>
      <c r="G744" s="17" t="s">
        <v>862</v>
      </c>
      <c r="H744" s="19" t="s">
        <v>263</v>
      </c>
      <c r="I744" s="59" t="b">
        <v>1</v>
      </c>
      <c r="J744" s="17" t="s">
        <v>43</v>
      </c>
      <c r="K744" s="21" t="str">
        <f t="shared" si="18"/>
        <v>https://version2.ice-d.org/antarctica/sample/14-HAT-011-DH/</v>
      </c>
      <c r="L744" s="31" t="s">
        <v>39</v>
      </c>
      <c r="M744" s="155"/>
      <c r="O744" s="17" t="s">
        <v>850</v>
      </c>
      <c r="P744" s="22">
        <v>-79.837239999999994</v>
      </c>
      <c r="Q744" s="22">
        <v>159.22409999999999</v>
      </c>
      <c r="S744" s="22">
        <v>389.7</v>
      </c>
      <c r="T744" s="22">
        <v>279</v>
      </c>
      <c r="U744" s="23">
        <v>500</v>
      </c>
      <c r="V744" s="8" t="s">
        <v>2001</v>
      </c>
      <c r="W744" s="44" t="s">
        <v>2428</v>
      </c>
      <c r="X744" s="17">
        <f t="shared" si="23"/>
        <v>110.69999999999999</v>
      </c>
      <c r="AA744" s="17" t="s">
        <v>84</v>
      </c>
      <c r="AB744" s="60">
        <v>6945</v>
      </c>
      <c r="AC744" s="60">
        <v>226</v>
      </c>
      <c r="AD744" s="36">
        <v>468</v>
      </c>
      <c r="AI744" s="17">
        <v>2013</v>
      </c>
      <c r="AJ744" s="17">
        <v>1</v>
      </c>
      <c r="AK744" s="17">
        <v>0</v>
      </c>
      <c r="AL744" s="17" t="s">
        <v>863</v>
      </c>
    </row>
    <row r="745" spans="1:39" ht="12.75" customHeight="1">
      <c r="A745" s="119" t="s">
        <v>865</v>
      </c>
      <c r="B745" s="19" t="s">
        <v>866</v>
      </c>
      <c r="C745" s="17">
        <v>77</v>
      </c>
      <c r="D745" s="20" t="s">
        <v>196</v>
      </c>
      <c r="E745" s="19">
        <v>0</v>
      </c>
      <c r="F745" s="33" t="s">
        <v>849</v>
      </c>
      <c r="G745" s="17" t="s">
        <v>862</v>
      </c>
      <c r="H745" s="19" t="s">
        <v>263</v>
      </c>
      <c r="I745" s="59" t="b">
        <v>1</v>
      </c>
      <c r="J745" s="17" t="s">
        <v>247</v>
      </c>
      <c r="K745" s="21" t="str">
        <f t="shared" si="18"/>
        <v>https://version2.ice-d.org/antarctica/sample/14-HAT-035-DH/</v>
      </c>
      <c r="L745" s="31" t="s">
        <v>39</v>
      </c>
      <c r="M745" s="155"/>
      <c r="O745" s="17" t="s">
        <v>850</v>
      </c>
      <c r="P745" s="22">
        <v>-79.851969999999994</v>
      </c>
      <c r="Q745" s="22">
        <v>159.10872000000001</v>
      </c>
      <c r="S745" s="22">
        <v>813</v>
      </c>
      <c r="T745" s="22">
        <v>279</v>
      </c>
      <c r="U745" s="23">
        <v>500</v>
      </c>
      <c r="V745" s="8" t="s">
        <v>2001</v>
      </c>
      <c r="W745" s="44" t="s">
        <v>2428</v>
      </c>
      <c r="X745" s="17">
        <f t="shared" si="23"/>
        <v>534</v>
      </c>
      <c r="AA745" s="17" t="s">
        <v>58</v>
      </c>
      <c r="AB745" s="60">
        <v>4611</v>
      </c>
      <c r="AC745" s="60">
        <v>116</v>
      </c>
      <c r="AD745" s="36">
        <v>330</v>
      </c>
      <c r="AI745" s="17">
        <v>2013</v>
      </c>
      <c r="AJ745" s="17">
        <v>1</v>
      </c>
      <c r="AK745" s="17">
        <v>1</v>
      </c>
      <c r="AL745" s="17" t="s">
        <v>867</v>
      </c>
      <c r="AM745" s="17" t="s">
        <v>868</v>
      </c>
    </row>
    <row r="746" spans="1:39" ht="12.75" customHeight="1">
      <c r="A746" s="31" t="s">
        <v>869</v>
      </c>
      <c r="B746" s="19" t="s">
        <v>866</v>
      </c>
      <c r="C746" s="17">
        <v>77</v>
      </c>
      <c r="D746" s="20" t="s">
        <v>196</v>
      </c>
      <c r="E746" s="19">
        <v>0</v>
      </c>
      <c r="F746" s="33" t="s">
        <v>849</v>
      </c>
      <c r="G746" s="17" t="s">
        <v>862</v>
      </c>
      <c r="H746" s="19" t="s">
        <v>263</v>
      </c>
      <c r="I746" s="17" t="b">
        <v>1</v>
      </c>
      <c r="J746" s="17" t="s">
        <v>247</v>
      </c>
      <c r="K746" s="21" t="str">
        <f t="shared" si="18"/>
        <v>https://version2.ice-d.org/antarctica/sample/14-HAT-036-DH/</v>
      </c>
      <c r="L746" s="31" t="s">
        <v>39</v>
      </c>
      <c r="M746" s="155"/>
      <c r="O746" s="17" t="s">
        <v>850</v>
      </c>
      <c r="P746" s="22">
        <v>-79.8643</v>
      </c>
      <c r="Q746" s="22">
        <v>159.16060999999999</v>
      </c>
      <c r="R746" s="22"/>
      <c r="S746" s="22">
        <v>1287</v>
      </c>
      <c r="T746" s="17">
        <v>279</v>
      </c>
      <c r="U746" s="23">
        <v>500</v>
      </c>
      <c r="V746" s="8" t="s">
        <v>2001</v>
      </c>
      <c r="W746" s="44" t="s">
        <v>2428</v>
      </c>
      <c r="X746" s="22">
        <f t="shared" si="23"/>
        <v>1008</v>
      </c>
      <c r="Y746" s="22">
        <v>7</v>
      </c>
      <c r="Z746" s="22">
        <v>2.65</v>
      </c>
      <c r="AA746" s="17" t="s">
        <v>58</v>
      </c>
      <c r="AB746" s="26">
        <v>11088</v>
      </c>
      <c r="AC746" s="26">
        <v>901</v>
      </c>
      <c r="AD746" s="26">
        <v>1474</v>
      </c>
      <c r="AE746" s="27">
        <v>23571100</v>
      </c>
      <c r="AF746" s="27">
        <v>187651</v>
      </c>
      <c r="AG746" s="27">
        <v>97103500</v>
      </c>
      <c r="AH746" s="27">
        <v>2311380</v>
      </c>
      <c r="AI746" s="17">
        <v>2014</v>
      </c>
      <c r="AJ746" s="17">
        <v>1</v>
      </c>
      <c r="AK746" s="17">
        <v>1</v>
      </c>
      <c r="AL746" s="17" t="s">
        <v>867</v>
      </c>
      <c r="AM746" s="17" t="s">
        <v>868</v>
      </c>
    </row>
    <row r="747" spans="1:39" ht="12.75" customHeight="1">
      <c r="A747" s="31" t="s">
        <v>870</v>
      </c>
      <c r="B747" s="19" t="s">
        <v>866</v>
      </c>
      <c r="C747" s="17">
        <v>77</v>
      </c>
      <c r="D747" s="20" t="s">
        <v>196</v>
      </c>
      <c r="E747" s="19">
        <v>0</v>
      </c>
      <c r="F747" s="33" t="s">
        <v>849</v>
      </c>
      <c r="G747" s="17" t="s">
        <v>862</v>
      </c>
      <c r="H747" s="19" t="s">
        <v>263</v>
      </c>
      <c r="I747" s="17" t="b">
        <v>1</v>
      </c>
      <c r="J747" s="17" t="s">
        <v>247</v>
      </c>
      <c r="K747" s="21" t="str">
        <f t="shared" si="18"/>
        <v>https://version2.ice-d.org/antarctica/sample/14-HAT-039-DH/</v>
      </c>
      <c r="L747" s="31" t="s">
        <v>39</v>
      </c>
      <c r="M747" s="155"/>
      <c r="O747" s="17" t="s">
        <v>850</v>
      </c>
      <c r="P747" s="17">
        <v>-79.858289999999997</v>
      </c>
      <c r="Q747" s="17">
        <v>159.15805</v>
      </c>
      <c r="S747" s="17">
        <v>1135</v>
      </c>
      <c r="T747" s="17">
        <v>279</v>
      </c>
      <c r="U747" s="23">
        <v>500</v>
      </c>
      <c r="V747" s="8" t="s">
        <v>2001</v>
      </c>
      <c r="W747" s="44" t="s">
        <v>2428</v>
      </c>
      <c r="X747" s="22">
        <f t="shared" si="23"/>
        <v>856</v>
      </c>
      <c r="Y747" s="17">
        <v>2.75</v>
      </c>
      <c r="Z747" s="17">
        <v>2.65</v>
      </c>
      <c r="AA747" s="17" t="s">
        <v>58</v>
      </c>
      <c r="AB747" s="56">
        <v>5429</v>
      </c>
      <c r="AC747" s="56">
        <v>269</v>
      </c>
      <c r="AD747" s="56">
        <v>469</v>
      </c>
      <c r="AE747" s="28">
        <v>6153320</v>
      </c>
      <c r="AF747" s="28">
        <v>70043.8</v>
      </c>
      <c r="AG747" s="28">
        <v>35706100</v>
      </c>
      <c r="AH747" s="28">
        <v>850601</v>
      </c>
      <c r="AI747" s="17">
        <v>2014</v>
      </c>
      <c r="AJ747" s="17">
        <v>1</v>
      </c>
      <c r="AK747" s="17">
        <v>1</v>
      </c>
      <c r="AL747" s="17" t="s">
        <v>867</v>
      </c>
      <c r="AM747" s="17" t="s">
        <v>868</v>
      </c>
    </row>
    <row r="748" spans="1:39" ht="12.75" customHeight="1">
      <c r="A748" s="83" t="s">
        <v>871</v>
      </c>
      <c r="B748" s="19" t="s">
        <v>872</v>
      </c>
      <c r="C748" s="17">
        <v>78</v>
      </c>
      <c r="D748" s="19" t="s">
        <v>196</v>
      </c>
      <c r="E748" s="19">
        <v>0</v>
      </c>
      <c r="F748" s="33" t="s">
        <v>849</v>
      </c>
      <c r="G748" s="17" t="s">
        <v>873</v>
      </c>
      <c r="H748" s="19" t="s">
        <v>263</v>
      </c>
      <c r="I748" s="59" t="b">
        <v>1</v>
      </c>
      <c r="J748" s="17" t="s">
        <v>43</v>
      </c>
      <c r="K748" s="21" t="str">
        <f t="shared" si="18"/>
        <v>https://version2.ice-d.org/antarctica/sample/13-HAT-067-DV/</v>
      </c>
      <c r="L748" s="82" t="s">
        <v>39</v>
      </c>
      <c r="M748" s="195" t="s">
        <v>44</v>
      </c>
      <c r="O748" s="17" t="s">
        <v>850</v>
      </c>
      <c r="P748" s="22">
        <v>-79.997950000000003</v>
      </c>
      <c r="Q748" s="22">
        <v>155.51309000000001</v>
      </c>
      <c r="S748" s="22">
        <v>1418</v>
      </c>
      <c r="T748" s="22">
        <v>1110</v>
      </c>
      <c r="U748" s="23">
        <v>800</v>
      </c>
      <c r="V748" s="115" t="s">
        <v>2001</v>
      </c>
      <c r="W748" s="44" t="s">
        <v>2456</v>
      </c>
      <c r="X748" s="17">
        <f t="shared" si="23"/>
        <v>308</v>
      </c>
      <c r="AA748" s="17" t="s">
        <v>84</v>
      </c>
      <c r="AB748" s="60">
        <v>7324</v>
      </c>
      <c r="AC748" s="36">
        <v>166</v>
      </c>
      <c r="AD748" s="60">
        <v>463</v>
      </c>
      <c r="AI748" s="17">
        <v>2013</v>
      </c>
      <c r="AJ748" s="17">
        <v>1</v>
      </c>
      <c r="AK748" s="17">
        <v>0</v>
      </c>
    </row>
    <row r="749" spans="1:39" ht="12.75" customHeight="1">
      <c r="A749" s="83" t="s">
        <v>871</v>
      </c>
      <c r="B749" s="19" t="s">
        <v>872</v>
      </c>
      <c r="C749" s="17">
        <v>78</v>
      </c>
      <c r="D749" s="19" t="s">
        <v>196</v>
      </c>
      <c r="E749" s="19">
        <v>0</v>
      </c>
      <c r="F749" s="33" t="s">
        <v>849</v>
      </c>
      <c r="G749" s="17" t="s">
        <v>873</v>
      </c>
      <c r="H749" s="19" t="s">
        <v>263</v>
      </c>
      <c r="I749" s="59" t="b">
        <v>1</v>
      </c>
      <c r="J749" s="17" t="s">
        <v>64</v>
      </c>
      <c r="K749" s="21" t="str">
        <f t="shared" si="18"/>
        <v>https://version2.ice-d.org/antarctica/sample/13-HAT-067-DV/</v>
      </c>
      <c r="L749" s="82" t="s">
        <v>39</v>
      </c>
      <c r="M749" s="155"/>
      <c r="O749" s="17" t="s">
        <v>850</v>
      </c>
      <c r="P749" s="22">
        <v>-79.997950000000003</v>
      </c>
      <c r="Q749" s="22">
        <v>155.51309000000001</v>
      </c>
      <c r="S749" s="22">
        <v>1418</v>
      </c>
      <c r="T749" s="22">
        <v>1110</v>
      </c>
      <c r="U749" s="23">
        <v>800</v>
      </c>
      <c r="V749" s="115" t="s">
        <v>2002</v>
      </c>
      <c r="W749" s="44" t="s">
        <v>2456</v>
      </c>
      <c r="X749" s="17">
        <f t="shared" si="23"/>
        <v>308</v>
      </c>
      <c r="AA749" s="17" t="s">
        <v>84</v>
      </c>
      <c r="AB749" s="60">
        <v>8137</v>
      </c>
      <c r="AC749" s="36">
        <v>306</v>
      </c>
      <c r="AD749" s="60">
        <v>766</v>
      </c>
      <c r="AI749" s="17">
        <v>2013</v>
      </c>
      <c r="AJ749" s="17">
        <v>1</v>
      </c>
      <c r="AK749" s="17">
        <v>0</v>
      </c>
    </row>
    <row r="750" spans="1:39" ht="12.75" customHeight="1">
      <c r="A750" s="83" t="s">
        <v>874</v>
      </c>
      <c r="B750" s="19" t="s">
        <v>872</v>
      </c>
      <c r="C750" s="17">
        <v>78</v>
      </c>
      <c r="D750" s="19" t="s">
        <v>196</v>
      </c>
      <c r="E750" s="19">
        <v>0</v>
      </c>
      <c r="F750" s="33" t="s">
        <v>849</v>
      </c>
      <c r="G750" s="17" t="s">
        <v>873</v>
      </c>
      <c r="H750" s="19" t="s">
        <v>263</v>
      </c>
      <c r="I750" s="59" t="b">
        <v>1</v>
      </c>
      <c r="J750" s="17" t="s">
        <v>43</v>
      </c>
      <c r="K750" s="21" t="str">
        <f t="shared" si="18"/>
        <v>https://version2.ice-d.org/antarctica/sample/13-HAT-068-DV/</v>
      </c>
      <c r="L750" s="82" t="s">
        <v>39</v>
      </c>
      <c r="M750" s="155"/>
      <c r="O750" s="17" t="s">
        <v>850</v>
      </c>
      <c r="P750" s="22">
        <v>-79.998670000000004</v>
      </c>
      <c r="Q750" s="22">
        <v>155.51435000000001</v>
      </c>
      <c r="S750" s="22">
        <v>1405</v>
      </c>
      <c r="T750" s="22">
        <v>1110</v>
      </c>
      <c r="U750" s="23">
        <v>800</v>
      </c>
      <c r="V750" s="115" t="s">
        <v>2003</v>
      </c>
      <c r="W750" s="44" t="s">
        <v>2456</v>
      </c>
      <c r="X750" s="17">
        <f t="shared" si="23"/>
        <v>295</v>
      </c>
      <c r="AA750" s="17" t="s">
        <v>84</v>
      </c>
      <c r="AB750" s="60">
        <v>7948</v>
      </c>
      <c r="AC750" s="60">
        <v>277</v>
      </c>
      <c r="AD750" s="36">
        <v>545</v>
      </c>
      <c r="AI750" s="17">
        <v>2013</v>
      </c>
      <c r="AJ750" s="17">
        <v>1</v>
      </c>
      <c r="AK750" s="17">
        <v>0</v>
      </c>
    </row>
    <row r="751" spans="1:39" ht="12.75" customHeight="1">
      <c r="A751" s="83" t="s">
        <v>874</v>
      </c>
      <c r="B751" s="19" t="s">
        <v>872</v>
      </c>
      <c r="C751" s="17">
        <v>78</v>
      </c>
      <c r="D751" s="19" t="s">
        <v>196</v>
      </c>
      <c r="E751" s="19">
        <v>0</v>
      </c>
      <c r="F751" s="33" t="s">
        <v>849</v>
      </c>
      <c r="G751" s="17" t="s">
        <v>873</v>
      </c>
      <c r="H751" s="19" t="s">
        <v>263</v>
      </c>
      <c r="I751" s="59" t="b">
        <v>1</v>
      </c>
      <c r="J751" s="17" t="s">
        <v>64</v>
      </c>
      <c r="K751" s="21" t="str">
        <f t="shared" si="18"/>
        <v>https://version2.ice-d.org/antarctica/sample/13-HAT-068-DV/</v>
      </c>
      <c r="L751" s="82" t="s">
        <v>39</v>
      </c>
      <c r="M751" s="155"/>
      <c r="O751" s="17" t="s">
        <v>850</v>
      </c>
      <c r="P751" s="22">
        <v>-79.998670000000004</v>
      </c>
      <c r="Q751" s="22">
        <v>155.51435000000001</v>
      </c>
      <c r="S751" s="22">
        <v>1405</v>
      </c>
      <c r="T751" s="22">
        <v>1110</v>
      </c>
      <c r="U751" s="23">
        <v>800</v>
      </c>
      <c r="V751" s="115" t="s">
        <v>2004</v>
      </c>
      <c r="W751" s="44" t="s">
        <v>2456</v>
      </c>
      <c r="X751" s="17">
        <f t="shared" si="23"/>
        <v>295</v>
      </c>
      <c r="AA751" s="17" t="s">
        <v>84</v>
      </c>
      <c r="AB751" s="60">
        <v>8710</v>
      </c>
      <c r="AC751" s="60">
        <v>328</v>
      </c>
      <c r="AD751" s="36">
        <v>821</v>
      </c>
      <c r="AI751" s="17">
        <v>2013</v>
      </c>
      <c r="AJ751" s="17">
        <v>1</v>
      </c>
      <c r="AK751" s="17">
        <v>0</v>
      </c>
    </row>
    <row r="752" spans="1:39" ht="12.75" customHeight="1">
      <c r="A752" s="83" t="s">
        <v>875</v>
      </c>
      <c r="B752" s="19" t="s">
        <v>872</v>
      </c>
      <c r="C752" s="17">
        <v>78</v>
      </c>
      <c r="D752" s="19" t="s">
        <v>196</v>
      </c>
      <c r="E752" s="19">
        <v>0</v>
      </c>
      <c r="F752" s="33" t="s">
        <v>849</v>
      </c>
      <c r="G752" s="17" t="s">
        <v>873</v>
      </c>
      <c r="H752" s="19" t="s">
        <v>263</v>
      </c>
      <c r="I752" s="59" t="b">
        <v>1</v>
      </c>
      <c r="J752" s="17" t="s">
        <v>43</v>
      </c>
      <c r="K752" s="21" t="str">
        <f t="shared" si="18"/>
        <v>https://version2.ice-d.org/antarctica/sample/13-HAT-069-DV/</v>
      </c>
      <c r="L752" s="82" t="s">
        <v>39</v>
      </c>
      <c r="M752" s="155"/>
      <c r="O752" s="17" t="s">
        <v>850</v>
      </c>
      <c r="P752" s="22">
        <v>-79.999420000000001</v>
      </c>
      <c r="Q752" s="22">
        <v>155.51624000000001</v>
      </c>
      <c r="S752" s="22">
        <v>1389</v>
      </c>
      <c r="T752" s="22">
        <v>1110</v>
      </c>
      <c r="U752" s="23">
        <v>800</v>
      </c>
      <c r="V752" s="115" t="s">
        <v>2005</v>
      </c>
      <c r="W752" s="44" t="s">
        <v>2456</v>
      </c>
      <c r="X752" s="17">
        <f t="shared" si="23"/>
        <v>279</v>
      </c>
      <c r="AA752" s="17" t="s">
        <v>84</v>
      </c>
      <c r="AB752" s="60">
        <v>7641</v>
      </c>
      <c r="AC752" s="60">
        <v>194</v>
      </c>
      <c r="AD752" s="36">
        <v>492</v>
      </c>
      <c r="AI752" s="17">
        <v>2013</v>
      </c>
      <c r="AJ752" s="17">
        <v>1</v>
      </c>
      <c r="AK752" s="17">
        <v>0</v>
      </c>
    </row>
    <row r="753" spans="1:37" ht="12.75" customHeight="1">
      <c r="A753" s="83" t="s">
        <v>875</v>
      </c>
      <c r="B753" s="19" t="s">
        <v>872</v>
      </c>
      <c r="C753" s="17">
        <v>78</v>
      </c>
      <c r="D753" s="19" t="s">
        <v>196</v>
      </c>
      <c r="E753" s="19">
        <v>0</v>
      </c>
      <c r="F753" s="33" t="s">
        <v>849</v>
      </c>
      <c r="G753" s="17" t="s">
        <v>873</v>
      </c>
      <c r="H753" s="19" t="s">
        <v>263</v>
      </c>
      <c r="I753" s="59" t="b">
        <v>1</v>
      </c>
      <c r="J753" s="17" t="s">
        <v>64</v>
      </c>
      <c r="K753" s="21" t="str">
        <f t="shared" si="18"/>
        <v>https://version2.ice-d.org/antarctica/sample/13-HAT-069-DV/</v>
      </c>
      <c r="L753" s="82" t="s">
        <v>39</v>
      </c>
      <c r="M753" s="155"/>
      <c r="O753" s="17" t="s">
        <v>850</v>
      </c>
      <c r="P753" s="22">
        <v>-79.999420000000001</v>
      </c>
      <c r="Q753" s="22">
        <v>155.51624000000001</v>
      </c>
      <c r="S753" s="22">
        <v>1389</v>
      </c>
      <c r="T753" s="22">
        <v>1110</v>
      </c>
      <c r="U753" s="23">
        <v>800</v>
      </c>
      <c r="V753" s="115" t="s">
        <v>2006</v>
      </c>
      <c r="W753" s="44" t="s">
        <v>2456</v>
      </c>
      <c r="X753" s="17">
        <f t="shared" si="23"/>
        <v>279</v>
      </c>
      <c r="AA753" s="17" t="s">
        <v>84</v>
      </c>
      <c r="AB753" s="60">
        <v>7779</v>
      </c>
      <c r="AC753" s="60">
        <v>320</v>
      </c>
      <c r="AD753" s="36">
        <v>744</v>
      </c>
      <c r="AI753" s="17">
        <v>2013</v>
      </c>
      <c r="AJ753" s="17">
        <v>1</v>
      </c>
      <c r="AK753" s="17">
        <v>0</v>
      </c>
    </row>
    <row r="754" spans="1:37" ht="12.75" customHeight="1">
      <c r="A754" s="83" t="s">
        <v>876</v>
      </c>
      <c r="B754" s="19" t="s">
        <v>872</v>
      </c>
      <c r="C754" s="17">
        <v>78</v>
      </c>
      <c r="D754" s="19" t="s">
        <v>196</v>
      </c>
      <c r="E754" s="19">
        <v>0</v>
      </c>
      <c r="F754" s="33" t="s">
        <v>849</v>
      </c>
      <c r="G754" s="17" t="s">
        <v>873</v>
      </c>
      <c r="H754" s="19" t="s">
        <v>263</v>
      </c>
      <c r="I754" s="59" t="b">
        <v>1</v>
      </c>
      <c r="J754" s="17" t="s">
        <v>43</v>
      </c>
      <c r="K754" s="21" t="str">
        <f t="shared" si="18"/>
        <v>https://version2.ice-d.org/antarctica/sample/13-HAT-063-DV/</v>
      </c>
      <c r="L754" s="82" t="s">
        <v>39</v>
      </c>
      <c r="M754" s="155"/>
      <c r="O754" s="17" t="s">
        <v>850</v>
      </c>
      <c r="P754" s="22">
        <v>-79.991050000000001</v>
      </c>
      <c r="Q754" s="22">
        <v>155.53415000000001</v>
      </c>
      <c r="S754" s="22">
        <v>1311</v>
      </c>
      <c r="T754" s="22">
        <v>1110</v>
      </c>
      <c r="U754" s="23">
        <v>800</v>
      </c>
      <c r="V754" s="115" t="s">
        <v>2007</v>
      </c>
      <c r="W754" s="44" t="s">
        <v>2456</v>
      </c>
      <c r="X754" s="17">
        <f t="shared" si="23"/>
        <v>201</v>
      </c>
      <c r="AA754" s="17" t="s">
        <v>84</v>
      </c>
      <c r="AB754" s="60">
        <v>5333</v>
      </c>
      <c r="AC754" s="60">
        <v>117</v>
      </c>
      <c r="AD754" s="36">
        <v>336</v>
      </c>
      <c r="AI754" s="17">
        <v>2013</v>
      </c>
      <c r="AJ754" s="17">
        <v>1</v>
      </c>
      <c r="AK754" s="17">
        <v>0</v>
      </c>
    </row>
    <row r="755" spans="1:37" ht="12.75" customHeight="1">
      <c r="A755" s="83" t="s">
        <v>877</v>
      </c>
      <c r="B755" s="19" t="s">
        <v>872</v>
      </c>
      <c r="C755" s="17">
        <v>78</v>
      </c>
      <c r="D755" s="19" t="s">
        <v>196</v>
      </c>
      <c r="E755" s="19">
        <v>0</v>
      </c>
      <c r="F755" s="33" t="s">
        <v>849</v>
      </c>
      <c r="G755" s="17" t="s">
        <v>873</v>
      </c>
      <c r="H755" s="19" t="s">
        <v>263</v>
      </c>
      <c r="I755" s="59" t="b">
        <v>1</v>
      </c>
      <c r="J755" s="17" t="s">
        <v>43</v>
      </c>
      <c r="K755" s="21" t="str">
        <f t="shared" si="18"/>
        <v>https://version2.ice-d.org/antarctica/sample/13-HAT-060-DV/</v>
      </c>
      <c r="L755" s="82" t="s">
        <v>39</v>
      </c>
      <c r="M755" s="155"/>
      <c r="O755" s="17" t="s">
        <v>850</v>
      </c>
      <c r="P755" s="22">
        <v>-79.993830000000003</v>
      </c>
      <c r="Q755" s="22">
        <v>155.53026</v>
      </c>
      <c r="S755" s="22">
        <v>1309</v>
      </c>
      <c r="T755" s="22">
        <v>1110</v>
      </c>
      <c r="U755" s="23">
        <v>800</v>
      </c>
      <c r="V755" s="115" t="s">
        <v>2008</v>
      </c>
      <c r="W755" s="44" t="s">
        <v>2456</v>
      </c>
      <c r="X755" s="17">
        <f t="shared" si="23"/>
        <v>199</v>
      </c>
      <c r="AA755" s="17" t="s">
        <v>84</v>
      </c>
      <c r="AB755" s="60">
        <v>4953</v>
      </c>
      <c r="AC755" s="60">
        <v>239</v>
      </c>
      <c r="AD755" s="36">
        <v>378</v>
      </c>
      <c r="AI755" s="17">
        <v>2013</v>
      </c>
      <c r="AJ755" s="17">
        <v>1</v>
      </c>
      <c r="AK755" s="17">
        <v>0</v>
      </c>
    </row>
    <row r="756" spans="1:37" ht="12.75" customHeight="1">
      <c r="A756" s="83" t="s">
        <v>878</v>
      </c>
      <c r="B756" s="19" t="s">
        <v>872</v>
      </c>
      <c r="C756" s="17">
        <v>78</v>
      </c>
      <c r="D756" s="19" t="s">
        <v>196</v>
      </c>
      <c r="E756" s="19">
        <v>0</v>
      </c>
      <c r="F756" s="33" t="s">
        <v>849</v>
      </c>
      <c r="G756" s="17" t="s">
        <v>873</v>
      </c>
      <c r="H756" s="19" t="s">
        <v>263</v>
      </c>
      <c r="I756" s="59" t="b">
        <v>1</v>
      </c>
      <c r="J756" s="17" t="s">
        <v>43</v>
      </c>
      <c r="K756" s="21" t="str">
        <f t="shared" si="18"/>
        <v>https://version2.ice-d.org/antarctica/sample/13-HAT-061-DV/</v>
      </c>
      <c r="L756" s="82" t="s">
        <v>39</v>
      </c>
      <c r="M756" s="155"/>
      <c r="O756" s="17" t="s">
        <v>850</v>
      </c>
      <c r="P756" s="22">
        <v>-79.994640000000004</v>
      </c>
      <c r="Q756" s="22">
        <v>155.52677</v>
      </c>
      <c r="S756" s="22">
        <v>1299</v>
      </c>
      <c r="T756" s="22">
        <v>1110</v>
      </c>
      <c r="U756" s="23">
        <v>800</v>
      </c>
      <c r="V756" s="115" t="s">
        <v>2009</v>
      </c>
      <c r="W756" s="44" t="s">
        <v>2456</v>
      </c>
      <c r="X756" s="17">
        <f t="shared" si="23"/>
        <v>189</v>
      </c>
      <c r="AA756" s="17" t="s">
        <v>84</v>
      </c>
      <c r="AB756" s="60">
        <v>5321</v>
      </c>
      <c r="AC756" s="60">
        <v>108</v>
      </c>
      <c r="AD756" s="36">
        <v>332</v>
      </c>
      <c r="AI756" s="17">
        <v>2013</v>
      </c>
      <c r="AJ756" s="17">
        <v>1</v>
      </c>
      <c r="AK756" s="17">
        <v>0</v>
      </c>
    </row>
    <row r="757" spans="1:37" ht="12.75" customHeight="1">
      <c r="A757" s="83" t="s">
        <v>879</v>
      </c>
      <c r="B757" s="19" t="s">
        <v>872</v>
      </c>
      <c r="C757" s="17">
        <v>78</v>
      </c>
      <c r="D757" s="19" t="s">
        <v>196</v>
      </c>
      <c r="E757" s="19">
        <v>0</v>
      </c>
      <c r="F757" s="33" t="s">
        <v>849</v>
      </c>
      <c r="G757" s="17" t="s">
        <v>873</v>
      </c>
      <c r="H757" s="19" t="s">
        <v>263</v>
      </c>
      <c r="I757" s="59" t="b">
        <v>1</v>
      </c>
      <c r="J757" s="17" t="s">
        <v>43</v>
      </c>
      <c r="K757" s="21" t="str">
        <f t="shared" si="18"/>
        <v>https://version2.ice-d.org/antarctica/sample/13-HAT-059-DV/</v>
      </c>
      <c r="L757" s="82" t="s">
        <v>39</v>
      </c>
      <c r="M757" s="155"/>
      <c r="O757" s="17" t="s">
        <v>850</v>
      </c>
      <c r="P757" s="22">
        <v>-79.993740000000003</v>
      </c>
      <c r="Q757" s="22">
        <v>155.53179</v>
      </c>
      <c r="S757" s="22">
        <v>1285</v>
      </c>
      <c r="T757" s="22">
        <v>1110</v>
      </c>
      <c r="U757" s="23">
        <v>800</v>
      </c>
      <c r="V757" s="115" t="s">
        <v>2010</v>
      </c>
      <c r="W757" s="44" t="s">
        <v>2456</v>
      </c>
      <c r="X757" s="17">
        <f t="shared" si="23"/>
        <v>175</v>
      </c>
      <c r="AA757" s="17" t="s">
        <v>84</v>
      </c>
      <c r="AB757" s="60">
        <v>5303</v>
      </c>
      <c r="AC757" s="60">
        <v>126</v>
      </c>
      <c r="AD757" s="36">
        <v>338</v>
      </c>
      <c r="AI757" s="17">
        <v>2013</v>
      </c>
      <c r="AJ757" s="17">
        <v>1</v>
      </c>
      <c r="AK757" s="17">
        <v>0</v>
      </c>
    </row>
    <row r="758" spans="1:37" ht="12.75" customHeight="1">
      <c r="A758" s="100" t="s">
        <v>880</v>
      </c>
      <c r="B758" s="19" t="s">
        <v>881</v>
      </c>
      <c r="C758" s="17">
        <v>78</v>
      </c>
      <c r="D758" s="19" t="s">
        <v>196</v>
      </c>
      <c r="E758" s="19">
        <v>0</v>
      </c>
      <c r="F758" s="33" t="s">
        <v>849</v>
      </c>
      <c r="G758" s="17" t="s">
        <v>873</v>
      </c>
      <c r="H758" s="19" t="s">
        <v>263</v>
      </c>
      <c r="I758" s="59" t="b">
        <v>1</v>
      </c>
      <c r="J758" s="17" t="s">
        <v>43</v>
      </c>
      <c r="K758" s="21" t="str">
        <f t="shared" si="18"/>
        <v>https://version2.ice-d.org/antarctica/sample/13-HAT-099-BV/</v>
      </c>
      <c r="L758" s="43" t="s">
        <v>39</v>
      </c>
      <c r="M758" s="178" t="s">
        <v>44</v>
      </c>
      <c r="O758" s="17" t="s">
        <v>850</v>
      </c>
      <c r="P758" s="22">
        <v>-79.976169999999996</v>
      </c>
      <c r="Q758" s="22">
        <v>155.4469</v>
      </c>
      <c r="S758" s="22">
        <v>1364</v>
      </c>
      <c r="T758" s="22">
        <v>1110</v>
      </c>
      <c r="U758" s="23">
        <v>800</v>
      </c>
      <c r="V758" s="115" t="s">
        <v>2011</v>
      </c>
      <c r="W758" s="44" t="s">
        <v>2456</v>
      </c>
      <c r="X758" s="17">
        <f t="shared" si="23"/>
        <v>254</v>
      </c>
      <c r="AA758" s="17" t="s">
        <v>84</v>
      </c>
      <c r="AB758" s="60">
        <v>6527</v>
      </c>
      <c r="AC758" s="60">
        <v>115</v>
      </c>
      <c r="AD758" s="36">
        <v>402</v>
      </c>
      <c r="AI758" s="17">
        <v>2013</v>
      </c>
      <c r="AJ758" s="17">
        <v>1</v>
      </c>
      <c r="AK758" s="17">
        <v>0</v>
      </c>
    </row>
    <row r="759" spans="1:37" ht="12.75" customHeight="1">
      <c r="A759" s="100" t="s">
        <v>882</v>
      </c>
      <c r="B759" s="19" t="s">
        <v>881</v>
      </c>
      <c r="C759" s="17">
        <v>78</v>
      </c>
      <c r="D759" s="19" t="s">
        <v>196</v>
      </c>
      <c r="E759" s="19">
        <v>0</v>
      </c>
      <c r="F759" s="33" t="s">
        <v>849</v>
      </c>
      <c r="G759" s="17" t="s">
        <v>873</v>
      </c>
      <c r="H759" s="19" t="s">
        <v>263</v>
      </c>
      <c r="I759" s="59" t="b">
        <v>1</v>
      </c>
      <c r="J759" s="17" t="s">
        <v>43</v>
      </c>
      <c r="K759" s="21" t="str">
        <f t="shared" si="18"/>
        <v>https://version2.ice-d.org/antarctica/sample/13-HAT-082-BV/</v>
      </c>
      <c r="L759" s="43" t="s">
        <v>39</v>
      </c>
      <c r="M759" s="155"/>
      <c r="O759" s="17" t="s">
        <v>850</v>
      </c>
      <c r="P759" s="22">
        <v>-79.975849999999994</v>
      </c>
      <c r="Q759" s="22">
        <v>155.45925</v>
      </c>
      <c r="S759" s="22">
        <v>1359</v>
      </c>
      <c r="T759" s="22">
        <v>1110</v>
      </c>
      <c r="U759" s="23">
        <v>800</v>
      </c>
      <c r="V759" s="115" t="s">
        <v>2012</v>
      </c>
      <c r="W759" s="44" t="s">
        <v>2456</v>
      </c>
      <c r="X759" s="17">
        <f t="shared" si="23"/>
        <v>249</v>
      </c>
      <c r="AA759" s="17" t="s">
        <v>84</v>
      </c>
      <c r="AB759" s="60">
        <v>6108</v>
      </c>
      <c r="AC759" s="60">
        <v>142</v>
      </c>
      <c r="AD759" s="36">
        <v>388</v>
      </c>
      <c r="AI759" s="17">
        <v>2013</v>
      </c>
      <c r="AJ759" s="17">
        <v>1</v>
      </c>
      <c r="AK759" s="17">
        <v>0</v>
      </c>
    </row>
    <row r="760" spans="1:37" ht="12.75" customHeight="1">
      <c r="A760" s="100" t="s">
        <v>883</v>
      </c>
      <c r="B760" s="19" t="s">
        <v>881</v>
      </c>
      <c r="C760" s="17">
        <v>78</v>
      </c>
      <c r="D760" s="19" t="s">
        <v>196</v>
      </c>
      <c r="E760" s="19">
        <v>0</v>
      </c>
      <c r="F760" s="33" t="s">
        <v>849</v>
      </c>
      <c r="G760" s="17" t="s">
        <v>873</v>
      </c>
      <c r="H760" s="19" t="s">
        <v>263</v>
      </c>
      <c r="I760" s="59" t="b">
        <v>1</v>
      </c>
      <c r="J760" s="17" t="s">
        <v>43</v>
      </c>
      <c r="K760" s="21" t="str">
        <f t="shared" si="18"/>
        <v>https://version2.ice-d.org/antarctica/sample/13-HAT-083-BV/</v>
      </c>
      <c r="L760" s="43" t="s">
        <v>39</v>
      </c>
      <c r="M760" s="155"/>
      <c r="O760" s="17" t="s">
        <v>850</v>
      </c>
      <c r="P760" s="22">
        <v>-79.975849999999994</v>
      </c>
      <c r="Q760" s="22">
        <v>155.45963</v>
      </c>
      <c r="S760" s="22">
        <v>1359</v>
      </c>
      <c r="T760" s="22">
        <v>1110</v>
      </c>
      <c r="U760" s="23">
        <v>800</v>
      </c>
      <c r="V760" s="115" t="s">
        <v>2013</v>
      </c>
      <c r="W760" s="44" t="s">
        <v>2456</v>
      </c>
      <c r="X760" s="17">
        <f t="shared" si="23"/>
        <v>249</v>
      </c>
      <c r="AA760" s="17" t="s">
        <v>84</v>
      </c>
      <c r="AB760" s="60">
        <v>6211</v>
      </c>
      <c r="AC760" s="60">
        <v>119</v>
      </c>
      <c r="AD760" s="36">
        <v>386</v>
      </c>
      <c r="AI760" s="17">
        <v>2013</v>
      </c>
      <c r="AJ760" s="17">
        <v>1</v>
      </c>
      <c r="AK760" s="17">
        <v>0</v>
      </c>
    </row>
    <row r="761" spans="1:37" ht="12.75" customHeight="1">
      <c r="A761" s="100" t="s">
        <v>884</v>
      </c>
      <c r="B761" s="19" t="s">
        <v>881</v>
      </c>
      <c r="C761" s="17">
        <v>78</v>
      </c>
      <c r="D761" s="19" t="s">
        <v>196</v>
      </c>
      <c r="E761" s="19">
        <v>0</v>
      </c>
      <c r="F761" s="33" t="s">
        <v>849</v>
      </c>
      <c r="G761" s="17" t="s">
        <v>873</v>
      </c>
      <c r="H761" s="19" t="s">
        <v>263</v>
      </c>
      <c r="I761" s="59" t="b">
        <v>1</v>
      </c>
      <c r="J761" s="17" t="s">
        <v>43</v>
      </c>
      <c r="K761" s="21" t="str">
        <f t="shared" si="18"/>
        <v>https://version2.ice-d.org/antarctica/sample/13-HAT-081-BV/</v>
      </c>
      <c r="L761" s="43" t="s">
        <v>39</v>
      </c>
      <c r="M761" s="155"/>
      <c r="O761" s="17" t="s">
        <v>850</v>
      </c>
      <c r="P761" s="22">
        <v>-79.975800000000007</v>
      </c>
      <c r="Q761" s="22">
        <v>155.45994999999999</v>
      </c>
      <c r="S761" s="22">
        <v>1358</v>
      </c>
      <c r="T761" s="22">
        <v>1110</v>
      </c>
      <c r="U761" s="23">
        <v>800</v>
      </c>
      <c r="V761" s="115" t="s">
        <v>2014</v>
      </c>
      <c r="W761" s="44" t="s">
        <v>2456</v>
      </c>
      <c r="X761" s="17">
        <f t="shared" si="23"/>
        <v>248</v>
      </c>
      <c r="AA761" s="17" t="s">
        <v>84</v>
      </c>
      <c r="AB761" s="60">
        <v>6161</v>
      </c>
      <c r="AC761" s="60">
        <v>118</v>
      </c>
      <c r="AD761" s="36">
        <v>383</v>
      </c>
      <c r="AI761" s="17">
        <v>2013</v>
      </c>
      <c r="AJ761" s="17">
        <v>1</v>
      </c>
      <c r="AK761" s="17">
        <v>0</v>
      </c>
    </row>
    <row r="762" spans="1:37" ht="12.75" customHeight="1">
      <c r="A762" s="100" t="s">
        <v>885</v>
      </c>
      <c r="B762" s="19" t="s">
        <v>881</v>
      </c>
      <c r="C762" s="17">
        <v>78</v>
      </c>
      <c r="D762" s="19" t="s">
        <v>196</v>
      </c>
      <c r="E762" s="19">
        <v>0</v>
      </c>
      <c r="F762" s="33" t="s">
        <v>849</v>
      </c>
      <c r="G762" s="17" t="s">
        <v>873</v>
      </c>
      <c r="H762" s="19" t="s">
        <v>263</v>
      </c>
      <c r="I762" s="59" t="b">
        <v>1</v>
      </c>
      <c r="J762" s="17" t="s">
        <v>43</v>
      </c>
      <c r="K762" s="21" t="str">
        <f t="shared" si="18"/>
        <v>https://version2.ice-d.org/antarctica/sample/13-HAT-100-BV/</v>
      </c>
      <c r="L762" s="43" t="s">
        <v>39</v>
      </c>
      <c r="M762" s="155"/>
      <c r="O762" s="17" t="s">
        <v>850</v>
      </c>
      <c r="P762" s="22">
        <v>-79.975629999999995</v>
      </c>
      <c r="Q762" s="22">
        <v>155.48089999999999</v>
      </c>
      <c r="S762" s="22">
        <v>1321</v>
      </c>
      <c r="T762" s="22">
        <v>1110</v>
      </c>
      <c r="U762" s="23">
        <v>800</v>
      </c>
      <c r="V762" s="115" t="s">
        <v>2015</v>
      </c>
      <c r="W762" s="44" t="s">
        <v>2456</v>
      </c>
      <c r="X762" s="17">
        <f t="shared" si="23"/>
        <v>211</v>
      </c>
      <c r="AA762" s="17" t="s">
        <v>84</v>
      </c>
      <c r="AB762" s="60">
        <v>5432</v>
      </c>
      <c r="AC762" s="60">
        <v>108</v>
      </c>
      <c r="AD762" s="36">
        <v>338</v>
      </c>
      <c r="AI762" s="17">
        <v>2013</v>
      </c>
      <c r="AJ762" s="17">
        <v>1</v>
      </c>
      <c r="AK762" s="17">
        <v>0</v>
      </c>
    </row>
    <row r="763" spans="1:37" ht="12.75" customHeight="1">
      <c r="A763" s="100" t="s">
        <v>886</v>
      </c>
      <c r="B763" s="19" t="s">
        <v>881</v>
      </c>
      <c r="C763" s="17">
        <v>78</v>
      </c>
      <c r="D763" s="19" t="s">
        <v>196</v>
      </c>
      <c r="E763" s="19">
        <v>0</v>
      </c>
      <c r="F763" s="33" t="s">
        <v>849</v>
      </c>
      <c r="G763" s="17" t="s">
        <v>873</v>
      </c>
      <c r="H763" s="19" t="s">
        <v>263</v>
      </c>
      <c r="I763" s="59" t="b">
        <v>1</v>
      </c>
      <c r="J763" s="17" t="s">
        <v>43</v>
      </c>
      <c r="K763" s="21" t="str">
        <f t="shared" si="18"/>
        <v>https://version2.ice-d.org/antarctica/sample/13-HAT-102-BV/</v>
      </c>
      <c r="L763" s="43" t="s">
        <v>39</v>
      </c>
      <c r="M763" s="155"/>
      <c r="O763" s="17" t="s">
        <v>850</v>
      </c>
      <c r="P763" s="22">
        <v>-79.973550000000003</v>
      </c>
      <c r="Q763" s="22">
        <v>155.48654999999999</v>
      </c>
      <c r="S763" s="22">
        <v>1318</v>
      </c>
      <c r="T763" s="22">
        <v>1110</v>
      </c>
      <c r="U763" s="23">
        <v>800</v>
      </c>
      <c r="V763" s="115" t="s">
        <v>2016</v>
      </c>
      <c r="W763" s="44" t="s">
        <v>2456</v>
      </c>
      <c r="X763" s="17">
        <f t="shared" si="23"/>
        <v>208</v>
      </c>
      <c r="AA763" s="17" t="s">
        <v>84</v>
      </c>
      <c r="AB763" s="60">
        <v>5240</v>
      </c>
      <c r="AC763" s="60">
        <v>113</v>
      </c>
      <c r="AD763" s="36">
        <v>330</v>
      </c>
      <c r="AI763" s="17">
        <v>2013</v>
      </c>
      <c r="AJ763" s="17">
        <v>1</v>
      </c>
      <c r="AK763" s="17">
        <v>0</v>
      </c>
    </row>
    <row r="764" spans="1:37" ht="12.75" customHeight="1">
      <c r="A764" s="100" t="s">
        <v>887</v>
      </c>
      <c r="B764" s="19" t="s">
        <v>881</v>
      </c>
      <c r="C764" s="17">
        <v>78</v>
      </c>
      <c r="D764" s="19" t="s">
        <v>196</v>
      </c>
      <c r="E764" s="19">
        <v>0</v>
      </c>
      <c r="F764" s="33" t="s">
        <v>849</v>
      </c>
      <c r="G764" s="17" t="s">
        <v>873</v>
      </c>
      <c r="H764" s="19" t="s">
        <v>263</v>
      </c>
      <c r="I764" s="59" t="b">
        <v>1</v>
      </c>
      <c r="J764" s="17" t="s">
        <v>43</v>
      </c>
      <c r="K764" s="21" t="str">
        <f t="shared" si="18"/>
        <v>https://version2.ice-d.org/antarctica/sample/13-HAT-106-BV/</v>
      </c>
      <c r="L764" s="43" t="s">
        <v>39</v>
      </c>
      <c r="M764" s="155"/>
      <c r="O764" s="17" t="s">
        <v>850</v>
      </c>
      <c r="P764" s="22">
        <v>-79.971339999999998</v>
      </c>
      <c r="Q764" s="22">
        <v>155.50521000000001</v>
      </c>
      <c r="S764" s="22">
        <v>1237</v>
      </c>
      <c r="T764" s="22">
        <v>1110</v>
      </c>
      <c r="U764" s="23">
        <v>800</v>
      </c>
      <c r="V764" s="115" t="s">
        <v>2017</v>
      </c>
      <c r="W764" s="44" t="s">
        <v>2456</v>
      </c>
      <c r="X764" s="17">
        <f t="shared" si="23"/>
        <v>127</v>
      </c>
      <c r="AA764" s="17" t="s">
        <v>84</v>
      </c>
      <c r="AB764" s="60">
        <v>3643</v>
      </c>
      <c r="AC764" s="60">
        <v>117</v>
      </c>
      <c r="AD764" s="36">
        <v>245</v>
      </c>
      <c r="AI764" s="17">
        <v>2013</v>
      </c>
      <c r="AJ764" s="17">
        <v>1</v>
      </c>
      <c r="AK764" s="17">
        <v>0</v>
      </c>
    </row>
    <row r="765" spans="1:37" ht="12.75" customHeight="1">
      <c r="A765" s="100" t="s">
        <v>888</v>
      </c>
      <c r="B765" s="19" t="s">
        <v>881</v>
      </c>
      <c r="C765" s="17">
        <v>78</v>
      </c>
      <c r="D765" s="19" t="s">
        <v>196</v>
      </c>
      <c r="E765" s="19">
        <v>0</v>
      </c>
      <c r="F765" s="33" t="s">
        <v>849</v>
      </c>
      <c r="G765" s="17" t="s">
        <v>873</v>
      </c>
      <c r="H765" s="19" t="s">
        <v>263</v>
      </c>
      <c r="I765" s="59" t="b">
        <v>1</v>
      </c>
      <c r="J765" s="17" t="s">
        <v>43</v>
      </c>
      <c r="K765" s="21" t="str">
        <f t="shared" si="18"/>
        <v>https://version2.ice-d.org/antarctica/sample/13-HAT-111-BV/</v>
      </c>
      <c r="L765" s="43" t="s">
        <v>39</v>
      </c>
      <c r="M765" s="155"/>
      <c r="O765" s="17" t="s">
        <v>850</v>
      </c>
      <c r="P765" s="22">
        <v>-79.968119999999999</v>
      </c>
      <c r="Q765" s="22">
        <v>155.51456999999999</v>
      </c>
      <c r="S765" s="22">
        <v>1213</v>
      </c>
      <c r="T765" s="22">
        <v>1110</v>
      </c>
      <c r="U765" s="23">
        <v>800</v>
      </c>
      <c r="V765" s="115" t="s">
        <v>2018</v>
      </c>
      <c r="W765" s="44" t="s">
        <v>2456</v>
      </c>
      <c r="X765" s="17">
        <f t="shared" si="23"/>
        <v>103</v>
      </c>
      <c r="AA765" s="17" t="s">
        <v>84</v>
      </c>
      <c r="AB765" s="60">
        <v>3081</v>
      </c>
      <c r="AC765" s="60">
        <v>84</v>
      </c>
      <c r="AD765" s="36">
        <v>200</v>
      </c>
      <c r="AI765" s="17">
        <v>2013</v>
      </c>
      <c r="AJ765" s="17">
        <v>1</v>
      </c>
      <c r="AK765" s="17">
        <v>0</v>
      </c>
    </row>
    <row r="766" spans="1:37" ht="12.75" customHeight="1">
      <c r="A766" s="120" t="s">
        <v>889</v>
      </c>
      <c r="B766" s="19" t="s">
        <v>890</v>
      </c>
      <c r="C766" s="17">
        <v>79</v>
      </c>
      <c r="D766" s="19" t="s">
        <v>196</v>
      </c>
      <c r="E766" s="19">
        <v>0</v>
      </c>
      <c r="F766" s="33" t="s">
        <v>849</v>
      </c>
      <c r="G766" s="17" t="s">
        <v>873</v>
      </c>
      <c r="H766" s="19" t="s">
        <v>263</v>
      </c>
      <c r="I766" s="59" t="b">
        <v>1</v>
      </c>
      <c r="J766" s="17" t="s">
        <v>43</v>
      </c>
      <c r="K766" s="21" t="str">
        <f t="shared" si="18"/>
        <v>https://version2.ice-d.org/antarctica/sample/13-HAT-120-DAN/</v>
      </c>
      <c r="L766" s="45" t="s">
        <v>39</v>
      </c>
      <c r="M766" s="180" t="s">
        <v>44</v>
      </c>
      <c r="O766" s="17" t="s">
        <v>850</v>
      </c>
      <c r="P766" s="22">
        <v>-79.986519999999999</v>
      </c>
      <c r="Q766" s="22">
        <v>155.52658</v>
      </c>
      <c r="S766" s="22">
        <v>1497</v>
      </c>
      <c r="T766" s="22">
        <v>1110</v>
      </c>
      <c r="U766" s="23">
        <v>800</v>
      </c>
      <c r="V766" s="115" t="s">
        <v>2019</v>
      </c>
      <c r="W766" s="44" t="s">
        <v>2456</v>
      </c>
      <c r="X766" s="17">
        <f t="shared" si="23"/>
        <v>387</v>
      </c>
      <c r="AA766" s="17" t="s">
        <v>84</v>
      </c>
      <c r="AB766" s="60">
        <v>7946</v>
      </c>
      <c r="AC766" s="60">
        <v>445</v>
      </c>
      <c r="AD766" s="36">
        <v>647</v>
      </c>
      <c r="AI766" s="17">
        <v>2013</v>
      </c>
      <c r="AJ766" s="17">
        <v>1</v>
      </c>
      <c r="AK766" s="17">
        <v>0</v>
      </c>
    </row>
    <row r="767" spans="1:37" ht="12.75" customHeight="1">
      <c r="A767" s="120" t="s">
        <v>889</v>
      </c>
      <c r="B767" s="19" t="s">
        <v>890</v>
      </c>
      <c r="C767" s="17">
        <v>79</v>
      </c>
      <c r="D767" s="19" t="s">
        <v>196</v>
      </c>
      <c r="E767" s="19">
        <v>0</v>
      </c>
      <c r="F767" s="33" t="s">
        <v>849</v>
      </c>
      <c r="G767" s="17" t="s">
        <v>873</v>
      </c>
      <c r="H767" s="19" t="s">
        <v>263</v>
      </c>
      <c r="I767" s="59" t="b">
        <v>1</v>
      </c>
      <c r="J767" s="17" t="s">
        <v>64</v>
      </c>
      <c r="K767" s="21" t="str">
        <f t="shared" si="18"/>
        <v>https://version2.ice-d.org/antarctica/sample/13-HAT-120-DAN/</v>
      </c>
      <c r="L767" s="45" t="s">
        <v>39</v>
      </c>
      <c r="M767" s="155"/>
      <c r="O767" s="17" t="s">
        <v>850</v>
      </c>
      <c r="P767" s="22">
        <v>-79.986519999999999</v>
      </c>
      <c r="Q767" s="22">
        <v>155.52658</v>
      </c>
      <c r="S767" s="22">
        <v>1497</v>
      </c>
      <c r="T767" s="22">
        <v>1110</v>
      </c>
      <c r="U767" s="23">
        <v>800</v>
      </c>
      <c r="V767" s="115" t="s">
        <v>2020</v>
      </c>
      <c r="W767" s="44" t="s">
        <v>2456</v>
      </c>
      <c r="X767" s="17">
        <f t="shared" si="23"/>
        <v>387</v>
      </c>
      <c r="AA767" s="17" t="s">
        <v>84</v>
      </c>
      <c r="AB767" s="60">
        <v>7338</v>
      </c>
      <c r="AC767" s="60">
        <v>278</v>
      </c>
      <c r="AD767" s="36">
        <v>692</v>
      </c>
      <c r="AI767" s="17">
        <v>2013</v>
      </c>
      <c r="AJ767" s="17">
        <v>1</v>
      </c>
      <c r="AK767" s="17">
        <v>0</v>
      </c>
    </row>
    <row r="768" spans="1:37" ht="12.75" customHeight="1">
      <c r="A768" s="120" t="s">
        <v>891</v>
      </c>
      <c r="B768" s="19" t="s">
        <v>890</v>
      </c>
      <c r="C768" s="17">
        <v>79</v>
      </c>
      <c r="D768" s="19" t="s">
        <v>196</v>
      </c>
      <c r="E768" s="19">
        <v>0</v>
      </c>
      <c r="F768" s="33" t="s">
        <v>849</v>
      </c>
      <c r="G768" s="17" t="s">
        <v>873</v>
      </c>
      <c r="H768" s="19" t="s">
        <v>263</v>
      </c>
      <c r="I768" s="59" t="b">
        <v>1</v>
      </c>
      <c r="J768" s="17" t="s">
        <v>43</v>
      </c>
      <c r="K768" s="21" t="str">
        <f t="shared" si="18"/>
        <v>https://version2.ice-d.org/antarctica/sample/13-HAT-118-DAN/</v>
      </c>
      <c r="L768" s="45" t="s">
        <v>39</v>
      </c>
      <c r="M768" s="155"/>
      <c r="O768" s="17" t="s">
        <v>850</v>
      </c>
      <c r="P768" s="22">
        <v>-79.987089999999995</v>
      </c>
      <c r="Q768" s="22">
        <v>155.52618000000001</v>
      </c>
      <c r="S768" s="22">
        <v>1488</v>
      </c>
      <c r="T768" s="22">
        <v>1110</v>
      </c>
      <c r="U768" s="23">
        <v>800</v>
      </c>
      <c r="V768" s="115" t="s">
        <v>2021</v>
      </c>
      <c r="W768" s="44" t="s">
        <v>2456</v>
      </c>
      <c r="X768" s="17">
        <f t="shared" si="23"/>
        <v>378</v>
      </c>
      <c r="AA768" s="17" t="s">
        <v>84</v>
      </c>
      <c r="AB768" s="60">
        <v>7833</v>
      </c>
      <c r="AC768" s="60">
        <v>433</v>
      </c>
      <c r="AD768" s="36">
        <v>634</v>
      </c>
      <c r="AI768" s="17">
        <v>2013</v>
      </c>
      <c r="AJ768" s="17">
        <v>1</v>
      </c>
      <c r="AK768" s="17">
        <v>0</v>
      </c>
    </row>
    <row r="769" spans="1:37" ht="12.75" customHeight="1">
      <c r="A769" s="120" t="s">
        <v>891</v>
      </c>
      <c r="B769" s="19" t="s">
        <v>890</v>
      </c>
      <c r="C769" s="17">
        <v>79</v>
      </c>
      <c r="D769" s="19" t="s">
        <v>196</v>
      </c>
      <c r="E769" s="19">
        <v>0</v>
      </c>
      <c r="F769" s="33" t="s">
        <v>849</v>
      </c>
      <c r="G769" s="17" t="s">
        <v>873</v>
      </c>
      <c r="H769" s="19" t="s">
        <v>263</v>
      </c>
      <c r="I769" s="59" t="b">
        <v>1</v>
      </c>
      <c r="J769" s="17" t="s">
        <v>64</v>
      </c>
      <c r="K769" s="21" t="str">
        <f t="shared" si="18"/>
        <v>https://version2.ice-d.org/antarctica/sample/13-HAT-118-DAN/</v>
      </c>
      <c r="L769" s="45" t="s">
        <v>39</v>
      </c>
      <c r="M769" s="155"/>
      <c r="O769" s="17" t="s">
        <v>850</v>
      </c>
      <c r="P769" s="22">
        <v>-79.987089999999995</v>
      </c>
      <c r="Q769" s="22">
        <v>155.52618000000001</v>
      </c>
      <c r="S769" s="22">
        <v>1488</v>
      </c>
      <c r="T769" s="22">
        <v>1110</v>
      </c>
      <c r="U769" s="23">
        <v>800</v>
      </c>
      <c r="V769" s="115" t="s">
        <v>2022</v>
      </c>
      <c r="W769" s="44" t="s">
        <v>2456</v>
      </c>
      <c r="X769" s="17">
        <f t="shared" si="23"/>
        <v>378</v>
      </c>
      <c r="AA769" s="17" t="s">
        <v>84</v>
      </c>
      <c r="AB769" s="60">
        <v>8664</v>
      </c>
      <c r="AC769" s="60">
        <v>405</v>
      </c>
      <c r="AD769" s="36">
        <v>851</v>
      </c>
      <c r="AI769" s="17">
        <v>2013</v>
      </c>
      <c r="AJ769" s="17">
        <v>1</v>
      </c>
      <c r="AK769" s="17">
        <v>0</v>
      </c>
    </row>
    <row r="770" spans="1:37" ht="12.75" customHeight="1">
      <c r="A770" s="120" t="s">
        <v>892</v>
      </c>
      <c r="B770" s="19" t="s">
        <v>890</v>
      </c>
      <c r="C770" s="17">
        <v>79</v>
      </c>
      <c r="D770" s="19" t="s">
        <v>196</v>
      </c>
      <c r="E770" s="19">
        <v>0</v>
      </c>
      <c r="F770" s="33" t="s">
        <v>849</v>
      </c>
      <c r="G770" s="17" t="s">
        <v>873</v>
      </c>
      <c r="H770" s="19" t="s">
        <v>263</v>
      </c>
      <c r="I770" s="59" t="b">
        <v>1</v>
      </c>
      <c r="J770" s="17" t="s">
        <v>43</v>
      </c>
      <c r="K770" s="21" t="str">
        <f t="shared" si="18"/>
        <v>https://version2.ice-d.org/antarctica/sample/13-HAT-121-DAN/</v>
      </c>
      <c r="L770" s="45" t="s">
        <v>39</v>
      </c>
      <c r="M770" s="155"/>
      <c r="O770" s="17" t="s">
        <v>850</v>
      </c>
      <c r="P770" s="22">
        <v>-79.986000000000004</v>
      </c>
      <c r="Q770" s="22">
        <v>155.52882</v>
      </c>
      <c r="S770" s="22">
        <v>1487</v>
      </c>
      <c r="T770" s="22">
        <v>1110</v>
      </c>
      <c r="U770" s="23">
        <v>800</v>
      </c>
      <c r="V770" s="115" t="s">
        <v>2023</v>
      </c>
      <c r="W770" s="44" t="s">
        <v>2456</v>
      </c>
      <c r="X770" s="17">
        <f t="shared" si="23"/>
        <v>377</v>
      </c>
      <c r="AA770" s="17" t="s">
        <v>84</v>
      </c>
      <c r="AB770" s="60">
        <v>6625</v>
      </c>
      <c r="AC770" s="60">
        <v>366</v>
      </c>
      <c r="AD770" s="36">
        <v>536</v>
      </c>
      <c r="AI770" s="17">
        <v>2013</v>
      </c>
      <c r="AJ770" s="17">
        <v>1</v>
      </c>
      <c r="AK770" s="17">
        <v>0</v>
      </c>
    </row>
    <row r="771" spans="1:37" ht="12.75" customHeight="1">
      <c r="A771" s="120" t="s">
        <v>893</v>
      </c>
      <c r="B771" s="19" t="s">
        <v>890</v>
      </c>
      <c r="C771" s="17">
        <v>79</v>
      </c>
      <c r="D771" s="19" t="s">
        <v>196</v>
      </c>
      <c r="E771" s="19">
        <v>0</v>
      </c>
      <c r="F771" s="33" t="s">
        <v>849</v>
      </c>
      <c r="G771" s="17" t="s">
        <v>873</v>
      </c>
      <c r="H771" s="19" t="s">
        <v>263</v>
      </c>
      <c r="I771" s="59" t="b">
        <v>1</v>
      </c>
      <c r="J771" s="17" t="s">
        <v>43</v>
      </c>
      <c r="K771" s="21" t="str">
        <f t="shared" si="18"/>
        <v>https://version2.ice-d.org/antarctica/sample/13-HAT-119-DAN/</v>
      </c>
      <c r="L771" s="45" t="s">
        <v>39</v>
      </c>
      <c r="M771" s="155"/>
      <c r="O771" s="17" t="s">
        <v>850</v>
      </c>
      <c r="P771" s="22">
        <v>-79.987170000000006</v>
      </c>
      <c r="Q771" s="22">
        <v>155.52628999999999</v>
      </c>
      <c r="S771" s="22">
        <v>1485</v>
      </c>
      <c r="T771" s="22">
        <v>1110</v>
      </c>
      <c r="U771" s="23">
        <v>800</v>
      </c>
      <c r="V771" s="115" t="s">
        <v>2024</v>
      </c>
      <c r="W771" s="44" t="s">
        <v>2456</v>
      </c>
      <c r="X771" s="17">
        <f t="shared" si="23"/>
        <v>375</v>
      </c>
      <c r="AA771" s="17" t="s">
        <v>84</v>
      </c>
      <c r="AB771" s="60">
        <v>7799</v>
      </c>
      <c r="AC771" s="60">
        <v>405</v>
      </c>
      <c r="AD771" s="36">
        <v>614</v>
      </c>
      <c r="AI771" s="17">
        <v>2013</v>
      </c>
      <c r="AJ771" s="17">
        <v>1</v>
      </c>
      <c r="AK771" s="17">
        <v>0</v>
      </c>
    </row>
    <row r="772" spans="1:37" ht="12.75" customHeight="1">
      <c r="A772" s="120" t="s">
        <v>893</v>
      </c>
      <c r="B772" s="19" t="s">
        <v>890</v>
      </c>
      <c r="C772" s="17">
        <v>79</v>
      </c>
      <c r="D772" s="19" t="s">
        <v>196</v>
      </c>
      <c r="E772" s="19">
        <v>0</v>
      </c>
      <c r="F772" s="33" t="s">
        <v>849</v>
      </c>
      <c r="G772" s="17" t="s">
        <v>873</v>
      </c>
      <c r="H772" s="19" t="s">
        <v>263</v>
      </c>
      <c r="I772" s="59" t="b">
        <v>1</v>
      </c>
      <c r="J772" s="17" t="s">
        <v>64</v>
      </c>
      <c r="K772" s="21" t="str">
        <f t="shared" si="18"/>
        <v>https://version2.ice-d.org/antarctica/sample/13-HAT-119-DAN/</v>
      </c>
      <c r="L772" s="45" t="s">
        <v>39</v>
      </c>
      <c r="M772" s="155"/>
      <c r="O772" s="17" t="s">
        <v>850</v>
      </c>
      <c r="P772" s="22">
        <v>-79.987170000000006</v>
      </c>
      <c r="Q772" s="22">
        <v>155.52628999999999</v>
      </c>
      <c r="S772" s="22">
        <v>1485</v>
      </c>
      <c r="T772" s="22">
        <v>1110</v>
      </c>
      <c r="U772" s="23">
        <v>800</v>
      </c>
      <c r="V772" s="115" t="s">
        <v>2025</v>
      </c>
      <c r="W772" s="44" t="s">
        <v>2456</v>
      </c>
      <c r="X772" s="17">
        <f t="shared" si="23"/>
        <v>375</v>
      </c>
      <c r="AA772" s="17" t="s">
        <v>84</v>
      </c>
      <c r="AB772" s="60">
        <v>7869</v>
      </c>
      <c r="AC772" s="60">
        <v>283</v>
      </c>
      <c r="AD772" s="36">
        <v>736</v>
      </c>
      <c r="AI772" s="17">
        <v>2013</v>
      </c>
      <c r="AJ772" s="17">
        <v>1</v>
      </c>
      <c r="AK772" s="17">
        <v>0</v>
      </c>
    </row>
    <row r="773" spans="1:37" ht="12.75" customHeight="1">
      <c r="A773" s="120" t="s">
        <v>894</v>
      </c>
      <c r="B773" s="19" t="s">
        <v>890</v>
      </c>
      <c r="C773" s="17">
        <v>79</v>
      </c>
      <c r="D773" s="19" t="s">
        <v>196</v>
      </c>
      <c r="E773" s="19">
        <v>0</v>
      </c>
      <c r="F773" s="33" t="s">
        <v>849</v>
      </c>
      <c r="G773" s="17" t="s">
        <v>873</v>
      </c>
      <c r="H773" s="19" t="s">
        <v>263</v>
      </c>
      <c r="I773" s="59" t="b">
        <v>1</v>
      </c>
      <c r="J773" s="17" t="s">
        <v>247</v>
      </c>
      <c r="K773" s="21" t="str">
        <f t="shared" si="18"/>
        <v>https://version2.ice-d.org/antarctica/sample/13-HAT-125-DAN/</v>
      </c>
      <c r="L773" s="45" t="s">
        <v>39</v>
      </c>
      <c r="M773" s="155"/>
      <c r="O773" s="17" t="s">
        <v>850</v>
      </c>
      <c r="P773" s="22">
        <v>-79.985119999999995</v>
      </c>
      <c r="Q773" s="22">
        <v>155.53307000000001</v>
      </c>
      <c r="S773" s="22">
        <v>1434</v>
      </c>
      <c r="T773" s="22">
        <v>1110</v>
      </c>
      <c r="U773" s="23">
        <v>800</v>
      </c>
      <c r="V773" s="115" t="s">
        <v>2026</v>
      </c>
      <c r="W773" s="44" t="s">
        <v>2456</v>
      </c>
      <c r="X773" s="17">
        <f t="shared" si="23"/>
        <v>324</v>
      </c>
      <c r="AA773" s="17" t="s">
        <v>84</v>
      </c>
      <c r="AB773" s="60">
        <v>8943</v>
      </c>
      <c r="AC773" s="60">
        <v>250</v>
      </c>
      <c r="AD773" s="36">
        <v>844</v>
      </c>
      <c r="AH773" s="22">
        <v>1</v>
      </c>
      <c r="AI773" s="17">
        <v>2013</v>
      </c>
      <c r="AJ773" s="17">
        <v>1</v>
      </c>
      <c r="AK773" s="17">
        <v>1</v>
      </c>
    </row>
    <row r="774" spans="1:37" ht="12.75" customHeight="1">
      <c r="A774" s="120" t="s">
        <v>895</v>
      </c>
      <c r="B774" s="19" t="s">
        <v>890</v>
      </c>
      <c r="C774" s="17">
        <v>79</v>
      </c>
      <c r="D774" s="19" t="s">
        <v>196</v>
      </c>
      <c r="E774" s="19">
        <v>0</v>
      </c>
      <c r="F774" s="33" t="s">
        <v>849</v>
      </c>
      <c r="G774" s="17" t="s">
        <v>873</v>
      </c>
      <c r="H774" s="19" t="s">
        <v>263</v>
      </c>
      <c r="I774" s="59" t="b">
        <v>1</v>
      </c>
      <c r="J774" s="17" t="s">
        <v>43</v>
      </c>
      <c r="K774" s="21" t="str">
        <f t="shared" si="18"/>
        <v>https://version2.ice-d.org/antarctica/sample/13-HAT-127-DAN/</v>
      </c>
      <c r="L774" s="45" t="s">
        <v>39</v>
      </c>
      <c r="M774" s="155"/>
      <c r="O774" s="17" t="s">
        <v>850</v>
      </c>
      <c r="P774" s="22">
        <v>-79.983999999999995</v>
      </c>
      <c r="Q774" s="22">
        <v>155.53654</v>
      </c>
      <c r="S774" s="22">
        <v>1402</v>
      </c>
      <c r="T774" s="22">
        <v>1110</v>
      </c>
      <c r="U774" s="23">
        <v>800</v>
      </c>
      <c r="V774" s="115" t="s">
        <v>2027</v>
      </c>
      <c r="W774" s="44" t="s">
        <v>2456</v>
      </c>
      <c r="X774" s="17">
        <f t="shared" si="23"/>
        <v>292</v>
      </c>
      <c r="AA774" s="17" t="s">
        <v>84</v>
      </c>
      <c r="AB774" s="60">
        <v>5804</v>
      </c>
      <c r="AC774" s="60">
        <v>155</v>
      </c>
      <c r="AD774" s="36">
        <v>376</v>
      </c>
      <c r="AI774" s="17">
        <v>2013</v>
      </c>
      <c r="AJ774" s="17">
        <v>1</v>
      </c>
      <c r="AK774" s="17">
        <v>0</v>
      </c>
    </row>
    <row r="775" spans="1:37" ht="12.75" customHeight="1">
      <c r="A775" s="120" t="s">
        <v>896</v>
      </c>
      <c r="B775" s="19" t="s">
        <v>890</v>
      </c>
      <c r="C775" s="17">
        <v>79</v>
      </c>
      <c r="D775" s="19" t="s">
        <v>196</v>
      </c>
      <c r="E775" s="19">
        <v>0</v>
      </c>
      <c r="F775" s="33" t="s">
        <v>849</v>
      </c>
      <c r="G775" s="17" t="s">
        <v>873</v>
      </c>
      <c r="H775" s="19" t="s">
        <v>263</v>
      </c>
      <c r="I775" s="59" t="b">
        <v>1</v>
      </c>
      <c r="J775" s="17" t="s">
        <v>43</v>
      </c>
      <c r="K775" s="21" t="str">
        <f t="shared" si="18"/>
        <v>https://version2.ice-d.org/antarctica/sample/13-HAT-128-DAN/</v>
      </c>
      <c r="L775" s="45" t="s">
        <v>39</v>
      </c>
      <c r="M775" s="155"/>
      <c r="O775" s="17" t="s">
        <v>850</v>
      </c>
      <c r="P775" s="22">
        <v>-79.982730000000004</v>
      </c>
      <c r="Q775" s="22">
        <v>155.53733</v>
      </c>
      <c r="S775" s="22">
        <v>1366</v>
      </c>
      <c r="T775" s="22">
        <v>1110</v>
      </c>
      <c r="U775" s="23">
        <v>800</v>
      </c>
      <c r="V775" s="115" t="s">
        <v>2028</v>
      </c>
      <c r="W775" s="44" t="s">
        <v>2456</v>
      </c>
      <c r="X775" s="17">
        <f t="shared" si="23"/>
        <v>256</v>
      </c>
      <c r="AA775" s="17" t="s">
        <v>84</v>
      </c>
      <c r="AB775" s="60">
        <v>5224</v>
      </c>
      <c r="AC775" s="60">
        <v>276</v>
      </c>
      <c r="AD775" s="36">
        <v>414</v>
      </c>
      <c r="AI775" s="17">
        <v>2013</v>
      </c>
      <c r="AJ775" s="17">
        <v>1</v>
      </c>
      <c r="AK775" s="17">
        <v>0</v>
      </c>
    </row>
    <row r="776" spans="1:37" ht="12.75" customHeight="1">
      <c r="A776" s="120" t="s">
        <v>897</v>
      </c>
      <c r="B776" s="19" t="s">
        <v>890</v>
      </c>
      <c r="C776" s="17">
        <v>79</v>
      </c>
      <c r="D776" s="19" t="s">
        <v>196</v>
      </c>
      <c r="E776" s="19">
        <v>0</v>
      </c>
      <c r="F776" s="33" t="s">
        <v>849</v>
      </c>
      <c r="G776" s="17" t="s">
        <v>873</v>
      </c>
      <c r="H776" s="19" t="s">
        <v>263</v>
      </c>
      <c r="I776" s="59" t="b">
        <v>1</v>
      </c>
      <c r="J776" s="17" t="s">
        <v>43</v>
      </c>
      <c r="K776" s="21" t="str">
        <f t="shared" si="18"/>
        <v>https://version2.ice-d.org/antarctica/sample/13-HAT-129-DAN/</v>
      </c>
      <c r="L776" s="45" t="s">
        <v>39</v>
      </c>
      <c r="M776" s="155"/>
      <c r="O776" s="17" t="s">
        <v>850</v>
      </c>
      <c r="P776" s="22">
        <v>-79.981780000000001</v>
      </c>
      <c r="Q776" s="22">
        <v>155.54128</v>
      </c>
      <c r="S776" s="22">
        <v>1347</v>
      </c>
      <c r="T776" s="22">
        <v>1110</v>
      </c>
      <c r="U776" s="23">
        <v>800</v>
      </c>
      <c r="V776" s="115" t="s">
        <v>2029</v>
      </c>
      <c r="W776" s="44" t="s">
        <v>2456</v>
      </c>
      <c r="X776" s="17">
        <f t="shared" si="23"/>
        <v>237</v>
      </c>
      <c r="AA776" s="17" t="s">
        <v>84</v>
      </c>
      <c r="AB776" s="60">
        <v>5671</v>
      </c>
      <c r="AC776" s="60">
        <v>182</v>
      </c>
      <c r="AD776" s="36">
        <v>381</v>
      </c>
      <c r="AI776" s="17">
        <v>2013</v>
      </c>
      <c r="AJ776" s="17">
        <v>1</v>
      </c>
      <c r="AK776" s="17">
        <v>0</v>
      </c>
    </row>
    <row r="777" spans="1:37" ht="12.75" customHeight="1">
      <c r="A777" s="120" t="s">
        <v>898</v>
      </c>
      <c r="B777" s="19" t="s">
        <v>890</v>
      </c>
      <c r="C777" s="17">
        <v>79</v>
      </c>
      <c r="D777" s="19" t="s">
        <v>196</v>
      </c>
      <c r="E777" s="19">
        <v>0</v>
      </c>
      <c r="F777" s="33" t="s">
        <v>849</v>
      </c>
      <c r="G777" s="17" t="s">
        <v>873</v>
      </c>
      <c r="H777" s="19" t="s">
        <v>263</v>
      </c>
      <c r="I777" s="59" t="b">
        <v>1</v>
      </c>
      <c r="J777" s="17" t="s">
        <v>43</v>
      </c>
      <c r="K777" s="21" t="str">
        <f t="shared" si="18"/>
        <v>https://version2.ice-d.org/antarctica/sample/13-HAT-130-DAN/</v>
      </c>
      <c r="L777" s="45" t="s">
        <v>39</v>
      </c>
      <c r="M777" s="155"/>
      <c r="O777" s="17" t="s">
        <v>850</v>
      </c>
      <c r="P777" s="22">
        <v>-79.979889999999997</v>
      </c>
      <c r="Q777" s="22">
        <v>155.54393999999999</v>
      </c>
      <c r="S777" s="22">
        <v>1325</v>
      </c>
      <c r="T777" s="22">
        <v>1110</v>
      </c>
      <c r="U777" s="23">
        <v>800</v>
      </c>
      <c r="V777" s="115" t="s">
        <v>2030</v>
      </c>
      <c r="W777" s="44" t="s">
        <v>2456</v>
      </c>
      <c r="X777" s="17">
        <f t="shared" si="23"/>
        <v>215</v>
      </c>
      <c r="AA777" s="17" t="s">
        <v>84</v>
      </c>
      <c r="AB777" s="60">
        <v>5102</v>
      </c>
      <c r="AC777" s="60">
        <v>383</v>
      </c>
      <c r="AD777" s="36">
        <v>487</v>
      </c>
      <c r="AI777" s="17">
        <v>2013</v>
      </c>
      <c r="AJ777" s="17">
        <v>1</v>
      </c>
      <c r="AK777" s="17">
        <v>0</v>
      </c>
    </row>
    <row r="778" spans="1:37" ht="12.75" customHeight="1">
      <c r="A778" s="120" t="s">
        <v>899</v>
      </c>
      <c r="B778" s="19" t="s">
        <v>890</v>
      </c>
      <c r="C778" s="17">
        <v>79</v>
      </c>
      <c r="D778" s="19" t="s">
        <v>196</v>
      </c>
      <c r="E778" s="19">
        <v>0</v>
      </c>
      <c r="F778" s="33" t="s">
        <v>849</v>
      </c>
      <c r="G778" s="17" t="s">
        <v>873</v>
      </c>
      <c r="H778" s="19" t="s">
        <v>263</v>
      </c>
      <c r="I778" s="59" t="b">
        <v>1</v>
      </c>
      <c r="J778" s="17" t="s">
        <v>43</v>
      </c>
      <c r="K778" s="21" t="str">
        <f t="shared" si="18"/>
        <v>https://version2.ice-d.org/antarctica/sample/13-HAT-132-DAN/</v>
      </c>
      <c r="L778" s="45" t="s">
        <v>39</v>
      </c>
      <c r="M778" s="155"/>
      <c r="O778" s="17" t="s">
        <v>850</v>
      </c>
      <c r="P778" s="22">
        <v>-79.976920000000007</v>
      </c>
      <c r="Q778" s="22">
        <v>155.52992</v>
      </c>
      <c r="S778" s="22">
        <v>1312</v>
      </c>
      <c r="T778" s="22">
        <v>1110</v>
      </c>
      <c r="U778" s="23">
        <v>800</v>
      </c>
      <c r="V778" s="115" t="s">
        <v>2031</v>
      </c>
      <c r="W778" s="44" t="s">
        <v>2456</v>
      </c>
      <c r="X778" s="17">
        <f t="shared" si="23"/>
        <v>202</v>
      </c>
      <c r="AA778" s="17" t="s">
        <v>84</v>
      </c>
      <c r="AB778" s="60">
        <v>5037</v>
      </c>
      <c r="AC778" s="60">
        <v>135</v>
      </c>
      <c r="AD778" s="36">
        <v>327</v>
      </c>
      <c r="AI778" s="17">
        <v>2013</v>
      </c>
      <c r="AJ778" s="17">
        <v>1</v>
      </c>
      <c r="AK778" s="17">
        <v>0</v>
      </c>
    </row>
    <row r="779" spans="1:37" ht="12.75" customHeight="1">
      <c r="A779" s="46" t="s">
        <v>900</v>
      </c>
      <c r="B779" s="19" t="s">
        <v>901</v>
      </c>
      <c r="C779" s="17">
        <v>79</v>
      </c>
      <c r="D779" s="19" t="s">
        <v>196</v>
      </c>
      <c r="E779" s="19">
        <v>0</v>
      </c>
      <c r="F779" s="33" t="s">
        <v>849</v>
      </c>
      <c r="G779" s="17" t="s">
        <v>873</v>
      </c>
      <c r="H779" s="19" t="s">
        <v>263</v>
      </c>
      <c r="I779" s="59" t="b">
        <v>1</v>
      </c>
      <c r="J779" s="17" t="s">
        <v>43</v>
      </c>
      <c r="K779" s="21" t="str">
        <f t="shared" si="18"/>
        <v>https://version2.ice-d.org/antarctica/sample/13-HAT-140-UM/</v>
      </c>
      <c r="L779" s="46" t="s">
        <v>39</v>
      </c>
      <c r="M779" s="191" t="s">
        <v>44</v>
      </c>
      <c r="O779" s="17" t="s">
        <v>850</v>
      </c>
      <c r="P779" s="22">
        <v>-79.947040000000001</v>
      </c>
      <c r="Q779" s="22">
        <v>155.51394999999999</v>
      </c>
      <c r="S779" s="22">
        <v>1514</v>
      </c>
      <c r="T779" s="22">
        <v>1110</v>
      </c>
      <c r="U779" s="23">
        <v>800</v>
      </c>
      <c r="V779" s="115" t="s">
        <v>2032</v>
      </c>
      <c r="W779" s="44" t="s">
        <v>2456</v>
      </c>
      <c r="X779" s="17">
        <f t="shared" si="23"/>
        <v>404</v>
      </c>
      <c r="AA779" s="17" t="s">
        <v>84</v>
      </c>
      <c r="AB779" s="60">
        <v>6695</v>
      </c>
      <c r="AC779" s="60">
        <v>646</v>
      </c>
      <c r="AD779" s="36">
        <v>758</v>
      </c>
      <c r="AI779" s="17">
        <v>2013</v>
      </c>
      <c r="AJ779" s="17">
        <v>1</v>
      </c>
      <c r="AK779" s="17">
        <v>0</v>
      </c>
    </row>
    <row r="780" spans="1:37" ht="12.75" customHeight="1">
      <c r="A780" s="97" t="s">
        <v>902</v>
      </c>
      <c r="B780" s="19" t="s">
        <v>901</v>
      </c>
      <c r="C780" s="17">
        <v>79</v>
      </c>
      <c r="D780" s="19" t="s">
        <v>196</v>
      </c>
      <c r="E780" s="19">
        <v>0</v>
      </c>
      <c r="F780" s="33" t="s">
        <v>849</v>
      </c>
      <c r="G780" s="17" t="s">
        <v>873</v>
      </c>
      <c r="H780" s="19" t="s">
        <v>263</v>
      </c>
      <c r="I780" s="59" t="b">
        <v>1</v>
      </c>
      <c r="J780" s="17" t="s">
        <v>43</v>
      </c>
      <c r="K780" s="21" t="str">
        <f t="shared" si="18"/>
        <v>https://version2.ice-d.org/antarctica/sample/13-HAT-138-UM/</v>
      </c>
      <c r="L780" s="46" t="s">
        <v>39</v>
      </c>
      <c r="M780" s="155"/>
      <c r="O780" s="17" t="s">
        <v>850</v>
      </c>
      <c r="P780" s="22">
        <v>-79.948250000000002</v>
      </c>
      <c r="Q780" s="22">
        <v>155.49540999999999</v>
      </c>
      <c r="S780" s="22">
        <v>1499</v>
      </c>
      <c r="T780" s="22">
        <v>1110</v>
      </c>
      <c r="U780" s="23">
        <v>800</v>
      </c>
      <c r="V780" s="115" t="s">
        <v>2033</v>
      </c>
      <c r="W780" s="44" t="s">
        <v>2456</v>
      </c>
      <c r="X780" s="17">
        <f t="shared" si="23"/>
        <v>389</v>
      </c>
      <c r="AA780" s="17" t="s">
        <v>84</v>
      </c>
      <c r="AB780" s="60">
        <v>7067</v>
      </c>
      <c r="AC780" s="60">
        <v>446</v>
      </c>
      <c r="AD780" s="36">
        <v>611</v>
      </c>
      <c r="AI780" s="17">
        <v>2013</v>
      </c>
      <c r="AJ780" s="17">
        <v>1</v>
      </c>
      <c r="AK780" s="17">
        <v>0</v>
      </c>
    </row>
    <row r="781" spans="1:37" ht="12.75" customHeight="1">
      <c r="A781" s="97" t="s">
        <v>902</v>
      </c>
      <c r="B781" s="19" t="s">
        <v>901</v>
      </c>
      <c r="C781" s="17">
        <v>79</v>
      </c>
      <c r="D781" s="19" t="s">
        <v>196</v>
      </c>
      <c r="E781" s="19">
        <v>0</v>
      </c>
      <c r="F781" s="33" t="s">
        <v>849</v>
      </c>
      <c r="G781" s="17" t="s">
        <v>873</v>
      </c>
      <c r="H781" s="19" t="s">
        <v>263</v>
      </c>
      <c r="I781" s="59" t="b">
        <v>1</v>
      </c>
      <c r="J781" s="17" t="s">
        <v>64</v>
      </c>
      <c r="K781" s="21" t="str">
        <f t="shared" si="18"/>
        <v>https://version2.ice-d.org/antarctica/sample/13-HAT-138-UM/</v>
      </c>
      <c r="L781" s="46" t="s">
        <v>39</v>
      </c>
      <c r="M781" s="155"/>
      <c r="O781" s="17" t="s">
        <v>850</v>
      </c>
      <c r="P781" s="22">
        <v>-79.948250000000002</v>
      </c>
      <c r="Q781" s="22">
        <v>155.49540999999999</v>
      </c>
      <c r="S781" s="22">
        <v>1499</v>
      </c>
      <c r="T781" s="22">
        <v>1110</v>
      </c>
      <c r="U781" s="23">
        <v>800</v>
      </c>
      <c r="V781" s="115" t="s">
        <v>2034</v>
      </c>
      <c r="W781" s="44" t="s">
        <v>2456</v>
      </c>
      <c r="X781" s="17">
        <f t="shared" si="23"/>
        <v>389</v>
      </c>
      <c r="AA781" s="17" t="s">
        <v>84</v>
      </c>
      <c r="AB781" s="60">
        <v>8029</v>
      </c>
      <c r="AC781" s="60">
        <v>411</v>
      </c>
      <c r="AD781" s="36">
        <v>806</v>
      </c>
      <c r="AI781" s="17">
        <v>2013</v>
      </c>
      <c r="AJ781" s="17">
        <v>1</v>
      </c>
      <c r="AK781" s="17">
        <v>0</v>
      </c>
    </row>
    <row r="782" spans="1:37" ht="12.75" customHeight="1">
      <c r="A782" s="97" t="s">
        <v>903</v>
      </c>
      <c r="B782" s="19" t="s">
        <v>901</v>
      </c>
      <c r="C782" s="17">
        <v>79</v>
      </c>
      <c r="D782" s="19" t="s">
        <v>196</v>
      </c>
      <c r="E782" s="19">
        <v>0</v>
      </c>
      <c r="F782" s="33" t="s">
        <v>849</v>
      </c>
      <c r="G782" s="17" t="s">
        <v>873</v>
      </c>
      <c r="H782" s="19" t="s">
        <v>263</v>
      </c>
      <c r="I782" s="59" t="b">
        <v>1</v>
      </c>
      <c r="J782" s="17" t="s">
        <v>43</v>
      </c>
      <c r="K782" s="21" t="str">
        <f t="shared" si="18"/>
        <v>https://version2.ice-d.org/antarctica/sample/13-HAT-137-UM/</v>
      </c>
      <c r="L782" s="46" t="s">
        <v>39</v>
      </c>
      <c r="M782" s="155"/>
      <c r="O782" s="17" t="s">
        <v>850</v>
      </c>
      <c r="P782" s="22">
        <v>-79.948520000000002</v>
      </c>
      <c r="Q782" s="22">
        <v>155.49588</v>
      </c>
      <c r="S782" s="22">
        <v>1500</v>
      </c>
      <c r="T782" s="22">
        <v>1110</v>
      </c>
      <c r="U782" s="23">
        <v>800</v>
      </c>
      <c r="V782" s="115" t="s">
        <v>2035</v>
      </c>
      <c r="W782" s="44" t="s">
        <v>2456</v>
      </c>
      <c r="X782" s="17">
        <f t="shared" si="23"/>
        <v>390</v>
      </c>
      <c r="AA782" s="17" t="s">
        <v>84</v>
      </c>
      <c r="AB782" s="60">
        <v>7033</v>
      </c>
      <c r="AC782" s="60">
        <v>388</v>
      </c>
      <c r="AD782" s="36">
        <v>568</v>
      </c>
      <c r="AI782" s="17">
        <v>2013</v>
      </c>
      <c r="AJ782" s="17">
        <v>1</v>
      </c>
      <c r="AK782" s="17">
        <v>0</v>
      </c>
    </row>
    <row r="783" spans="1:37" ht="12.75" customHeight="1">
      <c r="A783" s="97" t="s">
        <v>903</v>
      </c>
      <c r="B783" s="19" t="s">
        <v>901</v>
      </c>
      <c r="C783" s="17">
        <v>79</v>
      </c>
      <c r="D783" s="19" t="s">
        <v>196</v>
      </c>
      <c r="E783" s="19">
        <v>0</v>
      </c>
      <c r="F783" s="33" t="s">
        <v>849</v>
      </c>
      <c r="G783" s="17" t="s">
        <v>873</v>
      </c>
      <c r="H783" s="19" t="s">
        <v>263</v>
      </c>
      <c r="I783" s="59" t="b">
        <v>1</v>
      </c>
      <c r="J783" s="17" t="s">
        <v>64</v>
      </c>
      <c r="K783" s="21" t="str">
        <f t="shared" si="18"/>
        <v>https://version2.ice-d.org/antarctica/sample/13-HAT-137-UM/</v>
      </c>
      <c r="L783" s="46" t="s">
        <v>39</v>
      </c>
      <c r="M783" s="155"/>
      <c r="O783" s="17" t="s">
        <v>850</v>
      </c>
      <c r="P783" s="22">
        <v>-79.948520000000002</v>
      </c>
      <c r="Q783" s="22">
        <v>155.49588</v>
      </c>
      <c r="S783" s="22">
        <v>1500</v>
      </c>
      <c r="T783" s="22">
        <v>1110</v>
      </c>
      <c r="U783" s="23">
        <v>800</v>
      </c>
      <c r="V783" s="115" t="s">
        <v>2036</v>
      </c>
      <c r="W783" s="44" t="s">
        <v>2456</v>
      </c>
      <c r="X783" s="17">
        <f t="shared" si="23"/>
        <v>390</v>
      </c>
      <c r="AA783" s="17" t="s">
        <v>84</v>
      </c>
      <c r="AB783" s="60">
        <v>7209</v>
      </c>
      <c r="AC783" s="60">
        <v>264</v>
      </c>
      <c r="AD783" s="36">
        <v>676</v>
      </c>
      <c r="AI783" s="17">
        <v>2013</v>
      </c>
      <c r="AJ783" s="17">
        <v>1</v>
      </c>
      <c r="AK783" s="17">
        <v>0</v>
      </c>
    </row>
    <row r="784" spans="1:37" ht="12.75" customHeight="1">
      <c r="A784" s="98" t="s">
        <v>904</v>
      </c>
      <c r="B784" s="19" t="s">
        <v>905</v>
      </c>
      <c r="C784" s="17">
        <v>80</v>
      </c>
      <c r="D784" s="19" t="s">
        <v>196</v>
      </c>
      <c r="E784" s="19">
        <v>0</v>
      </c>
      <c r="F784" s="33" t="s">
        <v>849</v>
      </c>
      <c r="G784" s="17" t="s">
        <v>873</v>
      </c>
      <c r="H784" s="19" t="s">
        <v>263</v>
      </c>
      <c r="I784" s="59" t="b">
        <v>1</v>
      </c>
      <c r="J784" s="17" t="s">
        <v>43</v>
      </c>
      <c r="K784" s="21" t="str">
        <f t="shared" si="18"/>
        <v>https://version2.ice-d.org/antarctica/sample/14-HAT-044-MV/</v>
      </c>
      <c r="L784" s="47" t="s">
        <v>154</v>
      </c>
      <c r="M784" s="181" t="s">
        <v>44</v>
      </c>
      <c r="O784" s="17" t="s">
        <v>850</v>
      </c>
      <c r="P784" s="22">
        <v>-80.079030000000003</v>
      </c>
      <c r="Q784" s="22">
        <v>156.17661000000001</v>
      </c>
      <c r="S784" s="22">
        <v>1271</v>
      </c>
      <c r="T784" s="22">
        <v>1000</v>
      </c>
      <c r="U784" s="23">
        <v>800</v>
      </c>
      <c r="V784" s="115" t="s">
        <v>2037</v>
      </c>
      <c r="W784" s="44" t="s">
        <v>2456</v>
      </c>
      <c r="X784" s="17">
        <f t="shared" si="23"/>
        <v>271</v>
      </c>
      <c r="AA784" s="17" t="s">
        <v>84</v>
      </c>
      <c r="AB784" s="60">
        <v>9773</v>
      </c>
      <c r="AC784" s="60">
        <v>176</v>
      </c>
      <c r="AD784" s="36">
        <v>604</v>
      </c>
      <c r="AI784" s="17">
        <v>2013</v>
      </c>
      <c r="AJ784" s="17">
        <v>1</v>
      </c>
      <c r="AK784" s="17">
        <v>0</v>
      </c>
    </row>
    <row r="785" spans="1:38" ht="12.75" customHeight="1">
      <c r="A785" s="98" t="s">
        <v>904</v>
      </c>
      <c r="B785" s="19" t="s">
        <v>905</v>
      </c>
      <c r="C785" s="17">
        <v>80</v>
      </c>
      <c r="D785" s="19" t="s">
        <v>196</v>
      </c>
      <c r="E785" s="19">
        <v>0</v>
      </c>
      <c r="F785" s="33" t="s">
        <v>849</v>
      </c>
      <c r="G785" s="17" t="s">
        <v>873</v>
      </c>
      <c r="H785" s="19" t="s">
        <v>263</v>
      </c>
      <c r="I785" s="59" t="b">
        <v>1</v>
      </c>
      <c r="J785" s="17" t="s">
        <v>64</v>
      </c>
      <c r="K785" s="21" t="str">
        <f t="shared" si="18"/>
        <v>https://version2.ice-d.org/antarctica/sample/14-HAT-044-MV/</v>
      </c>
      <c r="L785" s="47" t="s">
        <v>154</v>
      </c>
      <c r="M785" s="155"/>
      <c r="O785" s="17" t="s">
        <v>850</v>
      </c>
      <c r="P785" s="22">
        <v>-80.079030000000003</v>
      </c>
      <c r="Q785" s="22">
        <v>156.17661000000001</v>
      </c>
      <c r="S785" s="22">
        <v>1271</v>
      </c>
      <c r="T785" s="22">
        <v>1000</v>
      </c>
      <c r="U785" s="23">
        <v>800</v>
      </c>
      <c r="V785" s="115" t="s">
        <v>2038</v>
      </c>
      <c r="W785" s="44" t="s">
        <v>2456</v>
      </c>
      <c r="X785" s="17">
        <f t="shared" si="23"/>
        <v>271</v>
      </c>
      <c r="AA785" s="17" t="s">
        <v>84</v>
      </c>
      <c r="AB785" s="60">
        <v>9422</v>
      </c>
      <c r="AC785" s="60">
        <v>324</v>
      </c>
      <c r="AD785" s="36">
        <v>876</v>
      </c>
      <c r="AI785" s="17">
        <v>2013</v>
      </c>
      <c r="AJ785" s="17">
        <v>1</v>
      </c>
      <c r="AK785" s="17">
        <v>0</v>
      </c>
    </row>
    <row r="786" spans="1:38" ht="12.75" customHeight="1">
      <c r="A786" s="98" t="s">
        <v>906</v>
      </c>
      <c r="B786" s="19" t="s">
        <v>905</v>
      </c>
      <c r="C786" s="17">
        <v>80</v>
      </c>
      <c r="D786" s="19" t="s">
        <v>196</v>
      </c>
      <c r="E786" s="19">
        <v>0</v>
      </c>
      <c r="F786" s="33" t="s">
        <v>849</v>
      </c>
      <c r="G786" s="17" t="s">
        <v>873</v>
      </c>
      <c r="H786" s="19" t="s">
        <v>263</v>
      </c>
      <c r="I786" s="59" t="b">
        <v>1</v>
      </c>
      <c r="J786" s="17" t="s">
        <v>43</v>
      </c>
      <c r="K786" s="21" t="str">
        <f t="shared" si="18"/>
        <v>https://version2.ice-d.org/antarctica/sample/14-HAT-042-MV/</v>
      </c>
      <c r="L786" s="47" t="s">
        <v>154</v>
      </c>
      <c r="M786" s="155"/>
      <c r="O786" s="17" t="s">
        <v>850</v>
      </c>
      <c r="P786" s="22">
        <v>-80.079179999999994</v>
      </c>
      <c r="Q786" s="22">
        <v>156.17209</v>
      </c>
      <c r="S786" s="22">
        <v>1270</v>
      </c>
      <c r="T786" s="22">
        <v>1000</v>
      </c>
      <c r="U786" s="23">
        <v>800</v>
      </c>
      <c r="V786" s="115" t="s">
        <v>2039</v>
      </c>
      <c r="W786" s="44" t="s">
        <v>2456</v>
      </c>
      <c r="X786" s="17">
        <f t="shared" si="23"/>
        <v>270</v>
      </c>
      <c r="AA786" s="17" t="s">
        <v>84</v>
      </c>
      <c r="AB786" s="60">
        <v>8366</v>
      </c>
      <c r="AC786" s="60">
        <v>179</v>
      </c>
      <c r="AD786" s="36">
        <v>526</v>
      </c>
      <c r="AI786" s="17">
        <v>2013</v>
      </c>
      <c r="AJ786" s="17">
        <v>1</v>
      </c>
      <c r="AK786" s="17">
        <v>0</v>
      </c>
    </row>
    <row r="787" spans="1:38" ht="12.75" customHeight="1">
      <c r="A787" s="98" t="s">
        <v>906</v>
      </c>
      <c r="B787" s="19" t="s">
        <v>905</v>
      </c>
      <c r="C787" s="17">
        <v>80</v>
      </c>
      <c r="D787" s="19" t="s">
        <v>196</v>
      </c>
      <c r="E787" s="19">
        <v>0</v>
      </c>
      <c r="F787" s="33" t="s">
        <v>849</v>
      </c>
      <c r="G787" s="17" t="s">
        <v>873</v>
      </c>
      <c r="H787" s="19" t="s">
        <v>263</v>
      </c>
      <c r="I787" s="59" t="b">
        <v>1</v>
      </c>
      <c r="J787" s="17" t="s">
        <v>64</v>
      </c>
      <c r="K787" s="21" t="str">
        <f t="shared" si="18"/>
        <v>https://version2.ice-d.org/antarctica/sample/14-HAT-042-MV/</v>
      </c>
      <c r="L787" s="47" t="s">
        <v>154</v>
      </c>
      <c r="M787" s="155"/>
      <c r="O787" s="17" t="s">
        <v>850</v>
      </c>
      <c r="P787" s="22">
        <v>-80.079179999999994</v>
      </c>
      <c r="Q787" s="22">
        <v>156.17209</v>
      </c>
      <c r="S787" s="22">
        <v>1270</v>
      </c>
      <c r="T787" s="22">
        <v>1000</v>
      </c>
      <c r="U787" s="23">
        <v>800</v>
      </c>
      <c r="V787" s="115" t="s">
        <v>2040</v>
      </c>
      <c r="W787" s="44" t="s">
        <v>2456</v>
      </c>
      <c r="X787" s="17">
        <f t="shared" si="23"/>
        <v>270</v>
      </c>
      <c r="AA787" s="17" t="s">
        <v>84</v>
      </c>
      <c r="AB787" s="60">
        <v>8707</v>
      </c>
      <c r="AC787" s="60">
        <v>411</v>
      </c>
      <c r="AD787" s="36">
        <v>857</v>
      </c>
      <c r="AI787" s="17">
        <v>2013</v>
      </c>
      <c r="AJ787" s="17">
        <v>1</v>
      </c>
      <c r="AK787" s="17">
        <v>0</v>
      </c>
    </row>
    <row r="788" spans="1:38" ht="12.75" customHeight="1">
      <c r="A788" s="98" t="s">
        <v>907</v>
      </c>
      <c r="B788" s="19" t="s">
        <v>905</v>
      </c>
      <c r="C788" s="17">
        <v>80</v>
      </c>
      <c r="D788" s="19" t="s">
        <v>196</v>
      </c>
      <c r="E788" s="19">
        <v>0</v>
      </c>
      <c r="F788" s="33" t="s">
        <v>849</v>
      </c>
      <c r="G788" s="17" t="s">
        <v>873</v>
      </c>
      <c r="H788" s="19" t="s">
        <v>263</v>
      </c>
      <c r="I788" s="59" t="b">
        <v>1</v>
      </c>
      <c r="J788" s="17" t="s">
        <v>43</v>
      </c>
      <c r="K788" s="21" t="str">
        <f t="shared" si="18"/>
        <v>https://version2.ice-d.org/antarctica/sample/14-HAT-041-MV/</v>
      </c>
      <c r="L788" s="47" t="s">
        <v>154</v>
      </c>
      <c r="M788" s="155"/>
      <c r="O788" s="17" t="s">
        <v>850</v>
      </c>
      <c r="P788" s="22">
        <v>-80.07938</v>
      </c>
      <c r="Q788" s="22">
        <v>156.16663</v>
      </c>
      <c r="S788" s="22">
        <v>1266</v>
      </c>
      <c r="T788" s="22">
        <v>1000</v>
      </c>
      <c r="U788" s="23">
        <v>800</v>
      </c>
      <c r="V788" s="115" t="s">
        <v>2041</v>
      </c>
      <c r="W788" s="44" t="s">
        <v>2456</v>
      </c>
      <c r="X788" s="17">
        <f t="shared" si="23"/>
        <v>266</v>
      </c>
      <c r="AA788" s="17" t="s">
        <v>84</v>
      </c>
      <c r="AB788" s="60">
        <v>11512</v>
      </c>
      <c r="AC788" s="60">
        <v>244</v>
      </c>
      <c r="AD788" s="36">
        <v>724</v>
      </c>
      <c r="AI788" s="17">
        <v>2013</v>
      </c>
      <c r="AJ788" s="17">
        <v>1</v>
      </c>
      <c r="AK788" s="17">
        <v>0</v>
      </c>
    </row>
    <row r="789" spans="1:38" ht="12.75" customHeight="1">
      <c r="A789" s="98" t="s">
        <v>908</v>
      </c>
      <c r="B789" s="19" t="s">
        <v>905</v>
      </c>
      <c r="C789" s="17">
        <v>80</v>
      </c>
      <c r="D789" s="19" t="s">
        <v>196</v>
      </c>
      <c r="E789" s="19">
        <v>0</v>
      </c>
      <c r="F789" s="33" t="s">
        <v>849</v>
      </c>
      <c r="G789" s="17" t="s">
        <v>873</v>
      </c>
      <c r="H789" s="19" t="s">
        <v>263</v>
      </c>
      <c r="I789" s="59" t="b">
        <v>1</v>
      </c>
      <c r="J789" s="17" t="s">
        <v>43</v>
      </c>
      <c r="K789" s="21" t="str">
        <f t="shared" si="18"/>
        <v>https://version2.ice-d.org/antarctica/sample/14-HAT-040-MV/</v>
      </c>
      <c r="L789" s="47" t="s">
        <v>154</v>
      </c>
      <c r="M789" s="155"/>
      <c r="O789" s="17" t="s">
        <v>850</v>
      </c>
      <c r="P789" s="22">
        <v>-80.079390000000004</v>
      </c>
      <c r="Q789" s="22">
        <v>156.16582</v>
      </c>
      <c r="S789" s="22">
        <v>1264</v>
      </c>
      <c r="T789" s="22">
        <v>1000</v>
      </c>
      <c r="U789" s="23">
        <v>800</v>
      </c>
      <c r="V789" s="115" t="s">
        <v>2042</v>
      </c>
      <c r="W789" s="44" t="s">
        <v>2456</v>
      </c>
      <c r="X789" s="17">
        <f t="shared" si="23"/>
        <v>264</v>
      </c>
      <c r="AA789" s="17" t="s">
        <v>84</v>
      </c>
      <c r="AB789" s="60">
        <v>8811</v>
      </c>
      <c r="AC789" s="60">
        <v>190</v>
      </c>
      <c r="AD789" s="36">
        <v>554</v>
      </c>
      <c r="AI789" s="17">
        <v>2013</v>
      </c>
      <c r="AJ789" s="17">
        <v>1</v>
      </c>
      <c r="AK789" s="17">
        <v>0</v>
      </c>
    </row>
    <row r="790" spans="1:38" ht="12.75" customHeight="1">
      <c r="A790" s="98" t="s">
        <v>908</v>
      </c>
      <c r="B790" s="19" t="s">
        <v>905</v>
      </c>
      <c r="C790" s="17">
        <v>80</v>
      </c>
      <c r="D790" s="19" t="s">
        <v>196</v>
      </c>
      <c r="E790" s="19">
        <v>0</v>
      </c>
      <c r="F790" s="33" t="s">
        <v>849</v>
      </c>
      <c r="G790" s="17" t="s">
        <v>873</v>
      </c>
      <c r="H790" s="19" t="s">
        <v>263</v>
      </c>
      <c r="I790" s="59" t="b">
        <v>1</v>
      </c>
      <c r="J790" s="17" t="s">
        <v>64</v>
      </c>
      <c r="K790" s="21" t="str">
        <f t="shared" si="18"/>
        <v>https://version2.ice-d.org/antarctica/sample/14-HAT-040-MV/</v>
      </c>
      <c r="L790" s="47" t="s">
        <v>154</v>
      </c>
      <c r="M790" s="155"/>
      <c r="O790" s="17" t="s">
        <v>850</v>
      </c>
      <c r="P790" s="22">
        <v>-80.079390000000004</v>
      </c>
      <c r="Q790" s="22">
        <v>156.16582</v>
      </c>
      <c r="S790" s="22">
        <v>1264</v>
      </c>
      <c r="T790" s="22">
        <v>1000</v>
      </c>
      <c r="U790" s="23">
        <v>800</v>
      </c>
      <c r="V790" s="115" t="s">
        <v>2043</v>
      </c>
      <c r="W790" s="44" t="s">
        <v>2456</v>
      </c>
      <c r="X790" s="17">
        <f t="shared" si="23"/>
        <v>264</v>
      </c>
      <c r="AA790" s="17" t="s">
        <v>84</v>
      </c>
      <c r="AB790" s="60">
        <v>9251</v>
      </c>
      <c r="AC790" s="60">
        <v>396</v>
      </c>
      <c r="AD790" s="36">
        <v>892</v>
      </c>
      <c r="AI790" s="17">
        <v>2013</v>
      </c>
      <c r="AJ790" s="17">
        <v>1</v>
      </c>
      <c r="AK790" s="17">
        <v>0</v>
      </c>
    </row>
    <row r="791" spans="1:38" ht="12.75" customHeight="1">
      <c r="A791" s="98" t="s">
        <v>909</v>
      </c>
      <c r="B791" s="19" t="s">
        <v>905</v>
      </c>
      <c r="C791" s="17">
        <v>80</v>
      </c>
      <c r="D791" s="19" t="s">
        <v>196</v>
      </c>
      <c r="E791" s="19">
        <v>0</v>
      </c>
      <c r="F791" s="33" t="s">
        <v>849</v>
      </c>
      <c r="G791" s="17" t="s">
        <v>873</v>
      </c>
      <c r="H791" s="19" t="s">
        <v>263</v>
      </c>
      <c r="I791" s="59" t="b">
        <v>1</v>
      </c>
      <c r="J791" s="17" t="s">
        <v>43</v>
      </c>
      <c r="K791" s="21" t="str">
        <f t="shared" si="18"/>
        <v>https://version2.ice-d.org/antarctica/sample/14-HAT-046-MV/</v>
      </c>
      <c r="L791" s="47" t="s">
        <v>154</v>
      </c>
      <c r="M791" s="155"/>
      <c r="O791" s="17" t="s">
        <v>850</v>
      </c>
      <c r="P791" s="22">
        <v>-80.077950000000001</v>
      </c>
      <c r="Q791" s="22">
        <v>156.12637000000001</v>
      </c>
      <c r="S791" s="22">
        <v>1248</v>
      </c>
      <c r="T791" s="22">
        <v>1000</v>
      </c>
      <c r="U791" s="23">
        <v>800</v>
      </c>
      <c r="V791" s="115" t="s">
        <v>2044</v>
      </c>
      <c r="W791" s="44" t="s">
        <v>2456</v>
      </c>
      <c r="X791" s="17">
        <f t="shared" si="23"/>
        <v>248</v>
      </c>
      <c r="AA791" s="17" t="s">
        <v>84</v>
      </c>
      <c r="AB791" s="60">
        <v>7669</v>
      </c>
      <c r="AC791" s="60">
        <v>164</v>
      </c>
      <c r="AD791" s="36">
        <v>482</v>
      </c>
      <c r="AI791" s="17">
        <v>2013</v>
      </c>
      <c r="AJ791" s="17">
        <v>1</v>
      </c>
      <c r="AK791" s="17">
        <v>0</v>
      </c>
    </row>
    <row r="792" spans="1:38" ht="12.75" customHeight="1">
      <c r="A792" s="98" t="s">
        <v>909</v>
      </c>
      <c r="B792" s="19" t="s">
        <v>905</v>
      </c>
      <c r="C792" s="17">
        <v>80</v>
      </c>
      <c r="D792" s="19" t="s">
        <v>196</v>
      </c>
      <c r="E792" s="19">
        <v>0</v>
      </c>
      <c r="F792" s="33" t="s">
        <v>849</v>
      </c>
      <c r="G792" s="17" t="s">
        <v>873</v>
      </c>
      <c r="H792" s="19" t="s">
        <v>263</v>
      </c>
      <c r="I792" s="59" t="b">
        <v>1</v>
      </c>
      <c r="J792" s="17" t="s">
        <v>64</v>
      </c>
      <c r="K792" s="21" t="str">
        <f t="shared" si="18"/>
        <v>https://version2.ice-d.org/antarctica/sample/14-HAT-046-MV/</v>
      </c>
      <c r="L792" s="47" t="s">
        <v>154</v>
      </c>
      <c r="M792" s="155"/>
      <c r="O792" s="17" t="s">
        <v>850</v>
      </c>
      <c r="P792" s="22">
        <v>-80.077950000000001</v>
      </c>
      <c r="Q792" s="22">
        <v>156.12637000000001</v>
      </c>
      <c r="S792" s="22">
        <v>1248</v>
      </c>
      <c r="T792" s="22">
        <v>1000</v>
      </c>
      <c r="U792" s="23">
        <v>800</v>
      </c>
      <c r="V792" s="115" t="s">
        <v>2045</v>
      </c>
      <c r="W792" s="44" t="s">
        <v>2456</v>
      </c>
      <c r="X792" s="17">
        <f t="shared" si="23"/>
        <v>248</v>
      </c>
      <c r="AA792" s="17" t="s">
        <v>84</v>
      </c>
      <c r="AB792" s="60">
        <v>7895</v>
      </c>
      <c r="AC792" s="60">
        <v>310</v>
      </c>
      <c r="AD792" s="36">
        <v>749</v>
      </c>
      <c r="AI792" s="17">
        <v>2013</v>
      </c>
      <c r="AJ792" s="17">
        <v>1</v>
      </c>
      <c r="AK792" s="17">
        <v>0</v>
      </c>
    </row>
    <row r="793" spans="1:38" ht="12.75" customHeight="1">
      <c r="A793" s="98" t="s">
        <v>910</v>
      </c>
      <c r="B793" s="19" t="s">
        <v>905</v>
      </c>
      <c r="C793" s="17">
        <v>80</v>
      </c>
      <c r="D793" s="19" t="s">
        <v>196</v>
      </c>
      <c r="E793" s="19">
        <v>0</v>
      </c>
      <c r="F793" s="33" t="s">
        <v>849</v>
      </c>
      <c r="G793" s="17" t="s">
        <v>873</v>
      </c>
      <c r="H793" s="19" t="s">
        <v>263</v>
      </c>
      <c r="I793" s="59" t="b">
        <v>1</v>
      </c>
      <c r="J793" s="17" t="s">
        <v>43</v>
      </c>
      <c r="K793" s="21" t="str">
        <f t="shared" si="18"/>
        <v>https://version2.ice-d.org/antarctica/sample/14-HAT-050-MV/</v>
      </c>
      <c r="L793" s="47" t="s">
        <v>154</v>
      </c>
      <c r="M793" s="155"/>
      <c r="O793" s="17" t="s">
        <v>850</v>
      </c>
      <c r="P793" s="22">
        <v>-80.077150000000003</v>
      </c>
      <c r="Q793" s="22">
        <v>156.16058000000001</v>
      </c>
      <c r="S793" s="22">
        <v>1234</v>
      </c>
      <c r="T793" s="22">
        <v>1000</v>
      </c>
      <c r="U793" s="23">
        <v>800</v>
      </c>
      <c r="V793" s="115" t="s">
        <v>2046</v>
      </c>
      <c r="W793" s="44" t="s">
        <v>2456</v>
      </c>
      <c r="X793" s="17">
        <f t="shared" si="23"/>
        <v>234</v>
      </c>
      <c r="AA793" s="17" t="s">
        <v>84</v>
      </c>
      <c r="AB793" s="60">
        <v>7004</v>
      </c>
      <c r="AC793" s="60">
        <v>151</v>
      </c>
      <c r="AD793" s="36">
        <v>441</v>
      </c>
      <c r="AI793" s="17">
        <v>2013</v>
      </c>
      <c r="AJ793" s="17">
        <v>1</v>
      </c>
      <c r="AK793" s="17">
        <v>0</v>
      </c>
    </row>
    <row r="794" spans="1:38" ht="12.75" customHeight="1">
      <c r="A794" s="98" t="s">
        <v>911</v>
      </c>
      <c r="B794" s="19" t="s">
        <v>905</v>
      </c>
      <c r="C794" s="17">
        <v>80</v>
      </c>
      <c r="D794" s="19" t="s">
        <v>196</v>
      </c>
      <c r="E794" s="19">
        <v>0</v>
      </c>
      <c r="F794" s="33" t="s">
        <v>849</v>
      </c>
      <c r="G794" s="17" t="s">
        <v>873</v>
      </c>
      <c r="H794" s="19" t="s">
        <v>263</v>
      </c>
      <c r="I794" s="59" t="b">
        <v>1</v>
      </c>
      <c r="J794" s="17" t="s">
        <v>43</v>
      </c>
      <c r="K794" s="21" t="str">
        <f t="shared" si="18"/>
        <v>https://version2.ice-d.org/antarctica/sample/14-HAT-052-MV/</v>
      </c>
      <c r="L794" s="47" t="s">
        <v>154</v>
      </c>
      <c r="M794" s="155"/>
      <c r="O794" s="17" t="s">
        <v>850</v>
      </c>
      <c r="P794" s="22">
        <v>-80.075940000000003</v>
      </c>
      <c r="Q794" s="22">
        <v>156.16550000000001</v>
      </c>
      <c r="S794" s="22">
        <v>1220</v>
      </c>
      <c r="T794" s="22">
        <v>1000</v>
      </c>
      <c r="U794" s="23">
        <v>800</v>
      </c>
      <c r="V794" s="115" t="s">
        <v>2047</v>
      </c>
      <c r="W794" s="44" t="s">
        <v>2456</v>
      </c>
      <c r="X794" s="17">
        <f t="shared" si="23"/>
        <v>220</v>
      </c>
      <c r="AA794" s="17" t="s">
        <v>84</v>
      </c>
      <c r="AB794" s="60">
        <v>8675</v>
      </c>
      <c r="AC794" s="60">
        <v>190</v>
      </c>
      <c r="AD794" s="36">
        <v>547</v>
      </c>
      <c r="AI794" s="17">
        <v>2013</v>
      </c>
      <c r="AJ794" s="17">
        <v>1</v>
      </c>
      <c r="AK794" s="17">
        <v>0</v>
      </c>
    </row>
    <row r="795" spans="1:38" ht="12.75" customHeight="1">
      <c r="A795" s="98" t="s">
        <v>912</v>
      </c>
      <c r="B795" s="19" t="s">
        <v>905</v>
      </c>
      <c r="C795" s="17">
        <v>80</v>
      </c>
      <c r="D795" s="19" t="s">
        <v>196</v>
      </c>
      <c r="E795" s="19">
        <v>0</v>
      </c>
      <c r="F795" s="33" t="s">
        <v>849</v>
      </c>
      <c r="G795" s="17" t="s">
        <v>873</v>
      </c>
      <c r="H795" s="19" t="s">
        <v>263</v>
      </c>
      <c r="I795" s="59" t="b">
        <v>1</v>
      </c>
      <c r="J795" s="17" t="s">
        <v>43</v>
      </c>
      <c r="K795" s="21" t="str">
        <f t="shared" si="18"/>
        <v>https://version2.ice-d.org/antarctica/sample/14-HAT-053-MV/</v>
      </c>
      <c r="L795" s="47" t="s">
        <v>154</v>
      </c>
      <c r="M795" s="155"/>
      <c r="O795" s="17" t="s">
        <v>850</v>
      </c>
      <c r="P795" s="22">
        <v>-80.075770000000006</v>
      </c>
      <c r="Q795" s="22">
        <v>156.16641999999999</v>
      </c>
      <c r="S795" s="22">
        <v>1215</v>
      </c>
      <c r="T795" s="22">
        <v>1000</v>
      </c>
      <c r="U795" s="23">
        <v>800</v>
      </c>
      <c r="V795" s="115" t="s">
        <v>2048</v>
      </c>
      <c r="W795" s="44" t="s">
        <v>2456</v>
      </c>
      <c r="X795" s="17">
        <f t="shared" si="23"/>
        <v>215</v>
      </c>
      <c r="AA795" s="17" t="s">
        <v>84</v>
      </c>
      <c r="AB795" s="60">
        <v>6241</v>
      </c>
      <c r="AC795" s="60">
        <v>193</v>
      </c>
      <c r="AD795" s="36">
        <v>416</v>
      </c>
      <c r="AI795" s="17">
        <v>2013</v>
      </c>
      <c r="AJ795" s="17">
        <v>1</v>
      </c>
      <c r="AK795" s="17">
        <v>0</v>
      </c>
    </row>
    <row r="796" spans="1:38" ht="12.75" customHeight="1">
      <c r="A796" s="98" t="s">
        <v>913</v>
      </c>
      <c r="B796" s="19" t="s">
        <v>905</v>
      </c>
      <c r="C796" s="17">
        <v>80</v>
      </c>
      <c r="D796" s="19" t="s">
        <v>196</v>
      </c>
      <c r="E796" s="19">
        <v>0</v>
      </c>
      <c r="F796" s="33" t="s">
        <v>849</v>
      </c>
      <c r="G796" s="17" t="s">
        <v>873</v>
      </c>
      <c r="H796" s="19" t="s">
        <v>263</v>
      </c>
      <c r="I796" s="59" t="b">
        <v>1</v>
      </c>
      <c r="J796" s="17" t="s">
        <v>43</v>
      </c>
      <c r="K796" s="21" t="str">
        <f t="shared" si="18"/>
        <v>https://version2.ice-d.org/antarctica/sample/14-HAT-056-MV/</v>
      </c>
      <c r="L796" s="47" t="s">
        <v>154</v>
      </c>
      <c r="M796" s="155"/>
      <c r="O796" s="17" t="s">
        <v>850</v>
      </c>
      <c r="P796" s="22">
        <v>-80.073170000000005</v>
      </c>
      <c r="Q796" s="22">
        <v>156.17000999999999</v>
      </c>
      <c r="S796" s="22">
        <v>1183</v>
      </c>
      <c r="T796" s="22">
        <v>1000</v>
      </c>
      <c r="U796" s="23">
        <v>800</v>
      </c>
      <c r="V796" s="115" t="s">
        <v>2049</v>
      </c>
      <c r="W796" s="44" t="s">
        <v>2456</v>
      </c>
      <c r="X796" s="17">
        <f t="shared" si="23"/>
        <v>183</v>
      </c>
      <c r="AA796" s="17" t="s">
        <v>84</v>
      </c>
      <c r="AB796" s="60">
        <v>5776</v>
      </c>
      <c r="AC796" s="60">
        <v>124</v>
      </c>
      <c r="AD796" s="36">
        <v>363</v>
      </c>
      <c r="AI796" s="17">
        <v>2013</v>
      </c>
      <c r="AJ796" s="17">
        <v>1</v>
      </c>
      <c r="AK796" s="17">
        <v>0</v>
      </c>
    </row>
    <row r="797" spans="1:38" ht="12.75" customHeight="1">
      <c r="A797" s="98" t="s">
        <v>914</v>
      </c>
      <c r="B797" s="19" t="s">
        <v>905</v>
      </c>
      <c r="C797" s="17">
        <v>80</v>
      </c>
      <c r="D797" s="19" t="s">
        <v>196</v>
      </c>
      <c r="E797" s="19">
        <v>0</v>
      </c>
      <c r="F797" s="33" t="s">
        <v>849</v>
      </c>
      <c r="G797" s="17" t="s">
        <v>873</v>
      </c>
      <c r="H797" s="19" t="s">
        <v>263</v>
      </c>
      <c r="I797" s="59" t="b">
        <v>1</v>
      </c>
      <c r="J797" s="17" t="s">
        <v>43</v>
      </c>
      <c r="K797" s="21" t="str">
        <f t="shared" si="18"/>
        <v>https://version2.ice-d.org/antarctica/sample/14-HAT-057-MV/</v>
      </c>
      <c r="L797" s="47" t="s">
        <v>154</v>
      </c>
      <c r="M797" s="155"/>
      <c r="O797" s="17" t="s">
        <v>850</v>
      </c>
      <c r="P797" s="22">
        <v>-80.073030000000003</v>
      </c>
      <c r="Q797" s="22">
        <v>156.17205999999999</v>
      </c>
      <c r="S797" s="22">
        <v>1179</v>
      </c>
      <c r="T797" s="22">
        <v>1000</v>
      </c>
      <c r="U797" s="23">
        <v>800</v>
      </c>
      <c r="V797" s="115" t="s">
        <v>2050</v>
      </c>
      <c r="W797" s="44" t="s">
        <v>2456</v>
      </c>
      <c r="X797" s="17">
        <f t="shared" si="23"/>
        <v>179</v>
      </c>
      <c r="AA797" s="17" t="s">
        <v>84</v>
      </c>
      <c r="AB797" s="60">
        <v>5696</v>
      </c>
      <c r="AC797" s="60">
        <v>109</v>
      </c>
      <c r="AD797" s="36">
        <v>354</v>
      </c>
      <c r="AI797" s="17">
        <v>2013</v>
      </c>
      <c r="AJ797" s="17">
        <v>1</v>
      </c>
      <c r="AK797" s="17">
        <v>0</v>
      </c>
    </row>
    <row r="798" spans="1:38" ht="12.75" customHeight="1">
      <c r="A798" s="98" t="s">
        <v>915</v>
      </c>
      <c r="B798" s="19" t="s">
        <v>905</v>
      </c>
      <c r="C798" s="17">
        <v>80</v>
      </c>
      <c r="D798" s="19" t="s">
        <v>196</v>
      </c>
      <c r="E798" s="19">
        <v>0</v>
      </c>
      <c r="F798" s="33" t="s">
        <v>849</v>
      </c>
      <c r="G798" s="17" t="s">
        <v>873</v>
      </c>
      <c r="H798" s="19" t="s">
        <v>263</v>
      </c>
      <c r="I798" s="59" t="b">
        <v>1</v>
      </c>
      <c r="J798" s="17" t="s">
        <v>43</v>
      </c>
      <c r="K798" s="21" t="str">
        <f t="shared" si="18"/>
        <v>https://version2.ice-d.org/antarctica/sample/14-HAT-059-MV/</v>
      </c>
      <c r="L798" s="47" t="s">
        <v>154</v>
      </c>
      <c r="M798" s="155"/>
      <c r="O798" s="17" t="s">
        <v>850</v>
      </c>
      <c r="P798" s="22">
        <v>-80.070949999999996</v>
      </c>
      <c r="Q798" s="22">
        <v>156.17406</v>
      </c>
      <c r="S798" s="22">
        <v>1156</v>
      </c>
      <c r="T798" s="22">
        <v>1000</v>
      </c>
      <c r="U798" s="23">
        <v>800</v>
      </c>
      <c r="V798" s="115" t="s">
        <v>2051</v>
      </c>
      <c r="W798" s="44" t="s">
        <v>2456</v>
      </c>
      <c r="X798" s="17">
        <f t="shared" si="23"/>
        <v>156</v>
      </c>
      <c r="AA798" s="17" t="s">
        <v>84</v>
      </c>
      <c r="AB798" s="60">
        <v>10510</v>
      </c>
      <c r="AC798" s="60">
        <v>205</v>
      </c>
      <c r="AD798" s="36">
        <v>655</v>
      </c>
      <c r="AI798" s="17">
        <v>2013</v>
      </c>
      <c r="AJ798" s="17">
        <v>1</v>
      </c>
      <c r="AK798" s="17">
        <v>1</v>
      </c>
      <c r="AL798" s="17" t="s">
        <v>916</v>
      </c>
    </row>
    <row r="799" spans="1:38" ht="12.75" customHeight="1">
      <c r="A799" s="98" t="s">
        <v>917</v>
      </c>
      <c r="B799" s="19" t="s">
        <v>918</v>
      </c>
      <c r="C799" s="17">
        <v>81</v>
      </c>
      <c r="D799" s="19" t="s">
        <v>196</v>
      </c>
      <c r="E799" s="19">
        <v>0</v>
      </c>
      <c r="F799" s="33" t="s">
        <v>849</v>
      </c>
      <c r="G799" s="17" t="s">
        <v>873</v>
      </c>
      <c r="H799" s="19" t="s">
        <v>263</v>
      </c>
      <c r="I799" s="59" t="b">
        <v>1</v>
      </c>
      <c r="J799" s="17" t="s">
        <v>43</v>
      </c>
      <c r="K799" s="21" t="str">
        <f t="shared" si="18"/>
        <v>https://version2.ice-d.org/antarctica/sample/14-HAT-048-MV/</v>
      </c>
      <c r="L799" s="47" t="s">
        <v>154</v>
      </c>
      <c r="M799" s="155"/>
      <c r="O799" s="17" t="s">
        <v>850</v>
      </c>
      <c r="P799" s="22">
        <v>-80.058660000000003</v>
      </c>
      <c r="Q799" s="22">
        <v>156.29644999999999</v>
      </c>
      <c r="S799" s="22">
        <v>1362</v>
      </c>
      <c r="T799" s="22">
        <v>1000</v>
      </c>
      <c r="U799" s="23">
        <v>800</v>
      </c>
      <c r="V799" s="115" t="s">
        <v>2052</v>
      </c>
      <c r="W799" s="44" t="s">
        <v>2456</v>
      </c>
      <c r="X799" s="17">
        <f t="shared" si="23"/>
        <v>362</v>
      </c>
      <c r="AA799" s="17" t="s">
        <v>84</v>
      </c>
      <c r="AB799" s="60">
        <v>12047</v>
      </c>
      <c r="AC799" s="60">
        <v>203</v>
      </c>
      <c r="AD799" s="36">
        <v>741</v>
      </c>
      <c r="AI799" s="17">
        <v>2013</v>
      </c>
      <c r="AJ799" s="17">
        <v>1</v>
      </c>
      <c r="AK799" s="17">
        <v>0</v>
      </c>
    </row>
    <row r="800" spans="1:38" ht="12.75" customHeight="1">
      <c r="A800" s="98" t="s">
        <v>919</v>
      </c>
      <c r="B800" s="19" t="s">
        <v>918</v>
      </c>
      <c r="C800" s="17">
        <v>81</v>
      </c>
      <c r="D800" s="19" t="s">
        <v>196</v>
      </c>
      <c r="E800" s="19">
        <v>0</v>
      </c>
      <c r="F800" s="33" t="s">
        <v>849</v>
      </c>
      <c r="G800" s="17" t="s">
        <v>873</v>
      </c>
      <c r="H800" s="19" t="s">
        <v>263</v>
      </c>
      <c r="I800" s="59" t="b">
        <v>1</v>
      </c>
      <c r="J800" s="17" t="s">
        <v>43</v>
      </c>
      <c r="K800" s="21" t="str">
        <f t="shared" si="18"/>
        <v>https://version2.ice-d.org/antarctica/sample/14-HAT-060-MV/</v>
      </c>
      <c r="L800" s="47" t="s">
        <v>154</v>
      </c>
      <c r="M800" s="155"/>
      <c r="O800" s="17" t="s">
        <v>850</v>
      </c>
      <c r="P800" s="22">
        <v>-80.05932</v>
      </c>
      <c r="Q800" s="22">
        <v>156.28334000000001</v>
      </c>
      <c r="S800" s="22">
        <v>1335</v>
      </c>
      <c r="T800" s="22">
        <v>1000</v>
      </c>
      <c r="U800" s="23">
        <v>800</v>
      </c>
      <c r="V800" s="115" t="s">
        <v>2053</v>
      </c>
      <c r="W800" s="44" t="s">
        <v>2456</v>
      </c>
      <c r="X800" s="17">
        <f t="shared" si="23"/>
        <v>335</v>
      </c>
      <c r="AA800" s="17" t="s">
        <v>84</v>
      </c>
      <c r="AB800" s="60">
        <v>9998</v>
      </c>
      <c r="AC800" s="60">
        <v>293</v>
      </c>
      <c r="AD800" s="36">
        <v>660</v>
      </c>
      <c r="AI800" s="17">
        <v>2013</v>
      </c>
      <c r="AJ800" s="17">
        <v>1</v>
      </c>
      <c r="AK800" s="17">
        <v>0</v>
      </c>
    </row>
    <row r="801" spans="1:37" ht="12.75" customHeight="1">
      <c r="A801" s="98" t="s">
        <v>920</v>
      </c>
      <c r="B801" s="19" t="s">
        <v>918</v>
      </c>
      <c r="C801" s="17">
        <v>81</v>
      </c>
      <c r="D801" s="19" t="s">
        <v>196</v>
      </c>
      <c r="E801" s="19">
        <v>0</v>
      </c>
      <c r="F801" s="33" t="s">
        <v>849</v>
      </c>
      <c r="G801" s="17" t="s">
        <v>873</v>
      </c>
      <c r="H801" s="19" t="s">
        <v>263</v>
      </c>
      <c r="I801" s="59" t="b">
        <v>1</v>
      </c>
      <c r="J801" s="17" t="s">
        <v>43</v>
      </c>
      <c r="K801" s="21" t="str">
        <f t="shared" si="18"/>
        <v>https://version2.ice-d.org/antarctica/sample/14-HAT-063-MV/</v>
      </c>
      <c r="L801" s="47" t="s">
        <v>154</v>
      </c>
      <c r="M801" s="155"/>
      <c r="O801" s="17" t="s">
        <v>850</v>
      </c>
      <c r="P801" s="22">
        <v>-80.058229999999995</v>
      </c>
      <c r="Q801" s="22">
        <v>156.28662</v>
      </c>
      <c r="S801" s="22">
        <v>1317</v>
      </c>
      <c r="T801" s="22">
        <v>1000</v>
      </c>
      <c r="U801" s="23">
        <v>800</v>
      </c>
      <c r="V801" s="115" t="s">
        <v>2054</v>
      </c>
      <c r="W801" s="44" t="s">
        <v>2456</v>
      </c>
      <c r="X801" s="17">
        <f t="shared" si="23"/>
        <v>317</v>
      </c>
      <c r="AA801" s="17" t="s">
        <v>84</v>
      </c>
      <c r="AB801" s="60">
        <v>7200</v>
      </c>
      <c r="AC801" s="60">
        <v>327</v>
      </c>
      <c r="AD801" s="36">
        <v>536</v>
      </c>
      <c r="AI801" s="17">
        <v>2013</v>
      </c>
      <c r="AJ801" s="17">
        <v>1</v>
      </c>
      <c r="AK801" s="17">
        <v>0</v>
      </c>
    </row>
    <row r="802" spans="1:37" ht="12.75" customHeight="1">
      <c r="A802" s="98" t="s">
        <v>921</v>
      </c>
      <c r="B802" s="19" t="s">
        <v>918</v>
      </c>
      <c r="C802" s="17">
        <v>82</v>
      </c>
      <c r="D802" s="19" t="s">
        <v>196</v>
      </c>
      <c r="E802" s="19">
        <v>0</v>
      </c>
      <c r="F802" s="33" t="s">
        <v>849</v>
      </c>
      <c r="G802" s="17" t="s">
        <v>873</v>
      </c>
      <c r="H802" s="19" t="s">
        <v>263</v>
      </c>
      <c r="I802" s="59" t="b">
        <v>1</v>
      </c>
      <c r="J802" s="17" t="s">
        <v>43</v>
      </c>
      <c r="K802" s="21" t="str">
        <f t="shared" si="18"/>
        <v>https://version2.ice-d.org/antarctica/sample/14-HAT-065-MV/</v>
      </c>
      <c r="L802" s="47" t="s">
        <v>154</v>
      </c>
      <c r="M802" s="155"/>
      <c r="O802" s="17" t="s">
        <v>850</v>
      </c>
      <c r="P802" s="22">
        <v>-80.057910000000007</v>
      </c>
      <c r="Q802" s="22">
        <v>156.28536</v>
      </c>
      <c r="S802" s="22">
        <v>1302</v>
      </c>
      <c r="T802" s="22">
        <v>1000</v>
      </c>
      <c r="U802" s="23">
        <v>800</v>
      </c>
      <c r="V802" s="115" t="s">
        <v>2055</v>
      </c>
      <c r="W802" s="44" t="s">
        <v>2456</v>
      </c>
      <c r="X802" s="17">
        <f t="shared" si="23"/>
        <v>302</v>
      </c>
      <c r="AA802" s="17" t="s">
        <v>84</v>
      </c>
      <c r="AB802" s="60">
        <v>11986</v>
      </c>
      <c r="AC802" s="60">
        <v>366</v>
      </c>
      <c r="AD802" s="36">
        <v>798</v>
      </c>
      <c r="AI802" s="17">
        <v>2013</v>
      </c>
      <c r="AJ802" s="17">
        <v>1</v>
      </c>
      <c r="AK802" s="17">
        <v>0</v>
      </c>
    </row>
    <row r="803" spans="1:37" ht="12.75" customHeight="1">
      <c r="A803" s="98" t="s">
        <v>921</v>
      </c>
      <c r="B803" s="19" t="s">
        <v>918</v>
      </c>
      <c r="C803" s="17">
        <v>82</v>
      </c>
      <c r="D803" s="19" t="s">
        <v>196</v>
      </c>
      <c r="E803" s="19">
        <v>0</v>
      </c>
      <c r="F803" s="33" t="s">
        <v>849</v>
      </c>
      <c r="G803" s="17" t="s">
        <v>873</v>
      </c>
      <c r="H803" s="19" t="s">
        <v>263</v>
      </c>
      <c r="I803" s="59" t="b">
        <v>1</v>
      </c>
      <c r="J803" s="17" t="s">
        <v>64</v>
      </c>
      <c r="K803" s="21" t="str">
        <f t="shared" si="18"/>
        <v>https://version2.ice-d.org/antarctica/sample/14-HAT-065-MV/</v>
      </c>
      <c r="L803" s="47" t="s">
        <v>154</v>
      </c>
      <c r="M803" s="155"/>
      <c r="O803" s="17" t="s">
        <v>850</v>
      </c>
      <c r="P803" s="22">
        <v>-80.057910000000007</v>
      </c>
      <c r="Q803" s="22">
        <v>156.28536</v>
      </c>
      <c r="S803" s="22">
        <v>1302</v>
      </c>
      <c r="T803" s="22">
        <v>1000</v>
      </c>
      <c r="U803" s="23">
        <v>800</v>
      </c>
      <c r="V803" s="115" t="s">
        <v>2056</v>
      </c>
      <c r="W803" s="44" t="s">
        <v>2456</v>
      </c>
      <c r="X803" s="17">
        <f t="shared" si="23"/>
        <v>302</v>
      </c>
      <c r="AA803" s="17" t="s">
        <v>84</v>
      </c>
      <c r="AB803" s="60">
        <v>11910</v>
      </c>
      <c r="AC803" s="60">
        <v>415</v>
      </c>
      <c r="AD803" s="36">
        <v>1111</v>
      </c>
      <c r="AI803" s="17">
        <v>2013</v>
      </c>
      <c r="AJ803" s="17">
        <v>1</v>
      </c>
      <c r="AK803" s="17">
        <v>0</v>
      </c>
    </row>
    <row r="804" spans="1:37" ht="12.75" customHeight="1">
      <c r="A804" s="98" t="s">
        <v>922</v>
      </c>
      <c r="B804" s="19" t="s">
        <v>918</v>
      </c>
      <c r="C804" s="17">
        <v>82</v>
      </c>
      <c r="D804" s="19" t="s">
        <v>196</v>
      </c>
      <c r="E804" s="19">
        <v>0</v>
      </c>
      <c r="F804" s="33" t="s">
        <v>849</v>
      </c>
      <c r="G804" s="17" t="s">
        <v>873</v>
      </c>
      <c r="H804" s="19" t="s">
        <v>263</v>
      </c>
      <c r="I804" s="59" t="b">
        <v>1</v>
      </c>
      <c r="J804" s="17" t="s">
        <v>43</v>
      </c>
      <c r="K804" s="21" t="str">
        <f t="shared" si="18"/>
        <v>https://version2.ice-d.org/antarctica/sample/14-HAT-066-MV/</v>
      </c>
      <c r="L804" s="47" t="s">
        <v>154</v>
      </c>
      <c r="M804" s="155"/>
      <c r="O804" s="17" t="s">
        <v>850</v>
      </c>
      <c r="P804" s="22">
        <v>-80.057479999999998</v>
      </c>
      <c r="Q804" s="22">
        <v>156.27967000000001</v>
      </c>
      <c r="S804" s="22">
        <v>1310</v>
      </c>
      <c r="T804" s="22">
        <v>1000</v>
      </c>
      <c r="U804" s="23">
        <v>800</v>
      </c>
      <c r="V804" s="115" t="s">
        <v>2057</v>
      </c>
      <c r="W804" s="44" t="s">
        <v>2456</v>
      </c>
      <c r="X804" s="17">
        <f t="shared" si="23"/>
        <v>310</v>
      </c>
      <c r="AA804" s="17" t="s">
        <v>84</v>
      </c>
      <c r="AB804" s="60">
        <v>12954</v>
      </c>
      <c r="AC804" s="60">
        <v>426</v>
      </c>
      <c r="AD804" s="36">
        <v>877</v>
      </c>
      <c r="AI804" s="17">
        <v>2013</v>
      </c>
      <c r="AJ804" s="17">
        <v>1</v>
      </c>
      <c r="AK804" s="17">
        <v>0</v>
      </c>
    </row>
    <row r="805" spans="1:37" ht="12.75" customHeight="1">
      <c r="A805" s="98" t="s">
        <v>923</v>
      </c>
      <c r="B805" s="19" t="s">
        <v>918</v>
      </c>
      <c r="C805" s="17">
        <v>82</v>
      </c>
      <c r="D805" s="19" t="s">
        <v>196</v>
      </c>
      <c r="E805" s="19">
        <v>0</v>
      </c>
      <c r="F805" s="33" t="s">
        <v>849</v>
      </c>
      <c r="G805" s="17" t="s">
        <v>873</v>
      </c>
      <c r="H805" s="19" t="s">
        <v>263</v>
      </c>
      <c r="I805" s="59" t="b">
        <v>1</v>
      </c>
      <c r="J805" s="17" t="s">
        <v>43</v>
      </c>
      <c r="K805" s="21" t="str">
        <f t="shared" si="18"/>
        <v>https://version2.ice-d.org/antarctica/sample/14-HAT-067-MV/</v>
      </c>
      <c r="L805" s="47" t="s">
        <v>154</v>
      </c>
      <c r="M805" s="155"/>
      <c r="O805" s="17" t="s">
        <v>850</v>
      </c>
      <c r="P805" s="22">
        <v>-80.05753</v>
      </c>
      <c r="Q805" s="22">
        <v>156.27868000000001</v>
      </c>
      <c r="S805" s="22">
        <v>1307</v>
      </c>
      <c r="T805" s="22">
        <v>1000</v>
      </c>
      <c r="U805" s="23">
        <v>800</v>
      </c>
      <c r="V805" s="115" t="s">
        <v>2058</v>
      </c>
      <c r="W805" s="44" t="s">
        <v>2456</v>
      </c>
      <c r="X805" s="17">
        <f t="shared" si="23"/>
        <v>307</v>
      </c>
      <c r="AA805" s="17" t="s">
        <v>84</v>
      </c>
      <c r="AB805" s="60">
        <v>9685</v>
      </c>
      <c r="AC805" s="60">
        <v>298</v>
      </c>
      <c r="AD805" s="36">
        <v>646</v>
      </c>
      <c r="AI805" s="17">
        <v>2013</v>
      </c>
      <c r="AJ805" s="17">
        <v>1</v>
      </c>
      <c r="AK805" s="17">
        <v>0</v>
      </c>
    </row>
    <row r="806" spans="1:37" ht="12.75" customHeight="1">
      <c r="A806" s="98" t="s">
        <v>924</v>
      </c>
      <c r="B806" s="19" t="s">
        <v>925</v>
      </c>
      <c r="C806" s="17">
        <v>83</v>
      </c>
      <c r="D806" s="19" t="s">
        <v>196</v>
      </c>
      <c r="E806" s="19">
        <v>0</v>
      </c>
      <c r="F806" s="33" t="s">
        <v>849</v>
      </c>
      <c r="G806" s="17" t="s">
        <v>873</v>
      </c>
      <c r="H806" s="19" t="s">
        <v>263</v>
      </c>
      <c r="I806" s="59" t="b">
        <v>1</v>
      </c>
      <c r="J806" s="17" t="s">
        <v>43</v>
      </c>
      <c r="K806" s="21" t="str">
        <f t="shared" si="18"/>
        <v>https://version2.ice-d.org/antarctica/sample/14-HAT-070-MV/</v>
      </c>
      <c r="L806" s="47" t="s">
        <v>154</v>
      </c>
      <c r="M806" s="155"/>
      <c r="O806" s="17" t="s">
        <v>850</v>
      </c>
      <c r="P806" s="22">
        <v>-80.046270000000007</v>
      </c>
      <c r="Q806" s="22">
        <v>156.10857999999999</v>
      </c>
      <c r="S806" s="22">
        <v>1341</v>
      </c>
      <c r="T806" s="22">
        <v>1000</v>
      </c>
      <c r="U806" s="23">
        <v>800</v>
      </c>
      <c r="V806" s="115" t="s">
        <v>2059</v>
      </c>
      <c r="W806" s="44" t="s">
        <v>2456</v>
      </c>
      <c r="X806" s="17">
        <f t="shared" si="23"/>
        <v>341</v>
      </c>
      <c r="AA806" s="17" t="s">
        <v>84</v>
      </c>
      <c r="AB806" s="60">
        <v>7446</v>
      </c>
      <c r="AC806" s="60">
        <v>231</v>
      </c>
      <c r="AD806" s="36">
        <v>497</v>
      </c>
      <c r="AI806" s="17">
        <v>2013</v>
      </c>
      <c r="AJ806" s="17">
        <v>1</v>
      </c>
      <c r="AK806" s="17">
        <v>0</v>
      </c>
    </row>
    <row r="807" spans="1:37" ht="12.75" customHeight="1">
      <c r="A807" s="98" t="s">
        <v>924</v>
      </c>
      <c r="B807" s="19" t="s">
        <v>925</v>
      </c>
      <c r="C807" s="17">
        <v>83</v>
      </c>
      <c r="D807" s="19" t="s">
        <v>196</v>
      </c>
      <c r="E807" s="19">
        <v>0</v>
      </c>
      <c r="F807" s="33" t="s">
        <v>849</v>
      </c>
      <c r="G807" s="17" t="s">
        <v>873</v>
      </c>
      <c r="H807" s="19" t="s">
        <v>263</v>
      </c>
      <c r="I807" s="59" t="b">
        <v>1</v>
      </c>
      <c r="J807" s="17" t="s">
        <v>64</v>
      </c>
      <c r="K807" s="21" t="str">
        <f t="shared" si="18"/>
        <v>https://version2.ice-d.org/antarctica/sample/14-HAT-070-MV/</v>
      </c>
      <c r="L807" s="47" t="s">
        <v>154</v>
      </c>
      <c r="M807" s="155"/>
      <c r="O807" s="17" t="s">
        <v>850</v>
      </c>
      <c r="P807" s="22">
        <v>-80.046270000000007</v>
      </c>
      <c r="Q807" s="22">
        <v>156.10857999999999</v>
      </c>
      <c r="S807" s="22">
        <v>1341</v>
      </c>
      <c r="T807" s="22">
        <v>1000</v>
      </c>
      <c r="U807" s="23">
        <v>800</v>
      </c>
      <c r="V807" s="115" t="s">
        <v>2060</v>
      </c>
      <c r="W807" s="44" t="s">
        <v>2456</v>
      </c>
      <c r="X807" s="17">
        <f t="shared" si="23"/>
        <v>341</v>
      </c>
      <c r="AA807" s="17" t="s">
        <v>84</v>
      </c>
      <c r="AB807" s="60">
        <v>7461</v>
      </c>
      <c r="AC807" s="60">
        <v>311</v>
      </c>
      <c r="AD807" s="36">
        <v>715</v>
      </c>
      <c r="AI807" s="17">
        <v>2013</v>
      </c>
      <c r="AJ807" s="17">
        <v>1</v>
      </c>
      <c r="AK807" s="17">
        <v>0</v>
      </c>
    </row>
    <row r="808" spans="1:37" ht="12.75" customHeight="1">
      <c r="A808" s="98" t="s">
        <v>926</v>
      </c>
      <c r="B808" s="19" t="s">
        <v>925</v>
      </c>
      <c r="C808" s="17">
        <v>83</v>
      </c>
      <c r="D808" s="19" t="s">
        <v>196</v>
      </c>
      <c r="E808" s="19">
        <v>0</v>
      </c>
      <c r="F808" s="33" t="s">
        <v>849</v>
      </c>
      <c r="G808" s="17" t="s">
        <v>873</v>
      </c>
      <c r="H808" s="19" t="s">
        <v>263</v>
      </c>
      <c r="I808" s="59" t="b">
        <v>1</v>
      </c>
      <c r="J808" s="17" t="s">
        <v>43</v>
      </c>
      <c r="K808" s="21" t="str">
        <f t="shared" si="18"/>
        <v>https://version2.ice-d.org/antarctica/sample/14-HAT-068-MV/</v>
      </c>
      <c r="L808" s="47" t="s">
        <v>154</v>
      </c>
      <c r="M808" s="155"/>
      <c r="O808" s="17" t="s">
        <v>850</v>
      </c>
      <c r="P808" s="22">
        <v>-80.045100000000005</v>
      </c>
      <c r="Q808" s="22">
        <v>156.12618000000001</v>
      </c>
      <c r="S808" s="22">
        <v>1227</v>
      </c>
      <c r="T808" s="22">
        <v>1000</v>
      </c>
      <c r="U808" s="23">
        <v>800</v>
      </c>
      <c r="V808" s="115" t="s">
        <v>2061</v>
      </c>
      <c r="W808" s="44" t="s">
        <v>2456</v>
      </c>
      <c r="X808" s="17">
        <f t="shared" si="23"/>
        <v>227</v>
      </c>
      <c r="AA808" s="17" t="s">
        <v>84</v>
      </c>
      <c r="AB808" s="60">
        <v>5498</v>
      </c>
      <c r="AC808" s="60">
        <v>170</v>
      </c>
      <c r="AD808" s="36">
        <v>366</v>
      </c>
      <c r="AI808" s="17">
        <v>2013</v>
      </c>
      <c r="AJ808" s="17">
        <v>1</v>
      </c>
      <c r="AK808" s="17">
        <v>0</v>
      </c>
    </row>
    <row r="809" spans="1:37" ht="13" customHeight="1">
      <c r="A809" s="98" t="s">
        <v>927</v>
      </c>
      <c r="B809" s="19" t="s">
        <v>925</v>
      </c>
      <c r="C809" s="17">
        <v>83</v>
      </c>
      <c r="D809" s="19" t="s">
        <v>196</v>
      </c>
      <c r="E809" s="19">
        <v>0</v>
      </c>
      <c r="F809" s="33" t="s">
        <v>849</v>
      </c>
      <c r="G809" s="17" t="s">
        <v>873</v>
      </c>
      <c r="H809" s="19" t="s">
        <v>263</v>
      </c>
      <c r="I809" s="59" t="b">
        <v>1</v>
      </c>
      <c r="J809" s="17" t="s">
        <v>43</v>
      </c>
      <c r="K809" s="21" t="str">
        <f t="shared" si="18"/>
        <v>https://version2.ice-d.org/antarctica/sample/14-HAT-069-MV/</v>
      </c>
      <c r="L809" s="47" t="s">
        <v>154</v>
      </c>
      <c r="M809" s="155"/>
      <c r="O809" s="17" t="s">
        <v>850</v>
      </c>
      <c r="P809" s="22">
        <v>-80.044989999999999</v>
      </c>
      <c r="Q809" s="22">
        <v>156.12692000000001</v>
      </c>
      <c r="S809" s="22">
        <v>1223</v>
      </c>
      <c r="T809" s="22">
        <v>1000</v>
      </c>
      <c r="U809" s="23">
        <v>800</v>
      </c>
      <c r="V809" s="115" t="s">
        <v>2062</v>
      </c>
      <c r="W809" s="44" t="s">
        <v>2456</v>
      </c>
      <c r="X809" s="17">
        <f t="shared" si="23"/>
        <v>223</v>
      </c>
      <c r="AA809" s="17" t="s">
        <v>84</v>
      </c>
      <c r="AB809" s="60">
        <v>5403</v>
      </c>
      <c r="AC809" s="60">
        <v>219</v>
      </c>
      <c r="AD809" s="36">
        <v>387</v>
      </c>
      <c r="AI809" s="17">
        <v>2013</v>
      </c>
      <c r="AJ809" s="17">
        <v>1</v>
      </c>
      <c r="AK809" s="17">
        <v>0</v>
      </c>
    </row>
    <row r="810" spans="1:37" ht="13">
      <c r="A810" s="58" t="s">
        <v>928</v>
      </c>
      <c r="B810" s="19" t="s">
        <v>929</v>
      </c>
      <c r="C810" s="17">
        <v>84</v>
      </c>
      <c r="D810" s="20" t="s">
        <v>196</v>
      </c>
      <c r="E810" s="19">
        <v>0</v>
      </c>
      <c r="F810" s="19" t="s">
        <v>930</v>
      </c>
      <c r="G810" s="19" t="s">
        <v>931</v>
      </c>
      <c r="H810" s="19" t="s">
        <v>932</v>
      </c>
      <c r="I810" s="17" t="b">
        <v>0</v>
      </c>
      <c r="J810" s="17" t="s">
        <v>43</v>
      </c>
      <c r="K810" s="21" t="str">
        <f t="shared" si="18"/>
        <v>https://version2.ice-d.org/antarctica/sample/B2022-Fildes1/</v>
      </c>
      <c r="L810" s="58" t="s">
        <v>39</v>
      </c>
      <c r="M810" s="176" t="s">
        <v>44</v>
      </c>
      <c r="O810" s="17" t="s">
        <v>933</v>
      </c>
      <c r="P810" s="22">
        <v>-62.167316666700003</v>
      </c>
      <c r="Q810" s="22">
        <v>-58.962769444400003</v>
      </c>
      <c r="R810" s="22"/>
      <c r="S810" s="22">
        <v>43</v>
      </c>
      <c r="T810" s="22">
        <v>0</v>
      </c>
      <c r="U810" s="23">
        <v>50</v>
      </c>
      <c r="V810" s="149" t="s">
        <v>2461</v>
      </c>
      <c r="X810" s="22">
        <f t="shared" si="23"/>
        <v>43</v>
      </c>
      <c r="Y810" s="22">
        <v>1.4</v>
      </c>
      <c r="Z810" s="22">
        <v>2.7</v>
      </c>
      <c r="AA810" s="17" t="s">
        <v>84</v>
      </c>
      <c r="AB810" s="26">
        <v>6627</v>
      </c>
      <c r="AC810" s="26">
        <v>340</v>
      </c>
      <c r="AD810" s="26">
        <v>519</v>
      </c>
      <c r="AE810" s="27">
        <v>37100</v>
      </c>
      <c r="AF810" s="27">
        <v>1900</v>
      </c>
      <c r="AG810" s="28"/>
      <c r="AH810" s="28"/>
      <c r="AI810" s="17">
        <v>2020</v>
      </c>
      <c r="AJ810" s="17">
        <v>0</v>
      </c>
      <c r="AK810" s="17">
        <v>0</v>
      </c>
    </row>
    <row r="811" spans="1:37" ht="13">
      <c r="A811" s="58" t="s">
        <v>934</v>
      </c>
      <c r="B811" s="19" t="s">
        <v>929</v>
      </c>
      <c r="C811" s="17">
        <v>84</v>
      </c>
      <c r="D811" s="20" t="s">
        <v>196</v>
      </c>
      <c r="E811" s="19">
        <v>0</v>
      </c>
      <c r="F811" s="19" t="s">
        <v>930</v>
      </c>
      <c r="G811" s="19" t="s">
        <v>931</v>
      </c>
      <c r="H811" s="19" t="s">
        <v>932</v>
      </c>
      <c r="I811" s="17" t="b">
        <v>0</v>
      </c>
      <c r="J811" s="17" t="s">
        <v>43</v>
      </c>
      <c r="K811" s="21" t="str">
        <f t="shared" si="18"/>
        <v>https://version2.ice-d.org/antarctica/sample/B2022-Fildes2/</v>
      </c>
      <c r="L811" s="58" t="s">
        <v>39</v>
      </c>
      <c r="M811" s="155"/>
      <c r="O811" s="17" t="s">
        <v>933</v>
      </c>
      <c r="P811" s="22">
        <v>-62.145458333299999</v>
      </c>
      <c r="Q811" s="22">
        <v>-58.9266555556</v>
      </c>
      <c r="R811" s="22"/>
      <c r="S811" s="22">
        <v>40</v>
      </c>
      <c r="T811" s="22">
        <v>0</v>
      </c>
      <c r="U811" s="23">
        <v>50</v>
      </c>
      <c r="V811" s="149" t="s">
        <v>2461</v>
      </c>
      <c r="X811" s="22">
        <f t="shared" si="23"/>
        <v>40</v>
      </c>
      <c r="Y811" s="22">
        <v>1.2</v>
      </c>
      <c r="Z811" s="22">
        <v>2.7</v>
      </c>
      <c r="AA811" s="17" t="s">
        <v>84</v>
      </c>
      <c r="AB811" s="26">
        <v>6514</v>
      </c>
      <c r="AC811" s="26">
        <v>359</v>
      </c>
      <c r="AD811" s="26">
        <v>526</v>
      </c>
      <c r="AE811" s="27">
        <v>36400</v>
      </c>
      <c r="AF811" s="27">
        <v>2000</v>
      </c>
      <c r="AG811" s="28"/>
      <c r="AH811" s="28"/>
      <c r="AI811" s="17">
        <v>2020</v>
      </c>
      <c r="AJ811" s="17">
        <v>0</v>
      </c>
      <c r="AK811" s="17">
        <v>0</v>
      </c>
    </row>
    <row r="812" spans="1:37" ht="13">
      <c r="A812" s="58" t="s">
        <v>935</v>
      </c>
      <c r="B812" s="19" t="s">
        <v>929</v>
      </c>
      <c r="C812" s="17">
        <v>84</v>
      </c>
      <c r="D812" s="20" t="s">
        <v>196</v>
      </c>
      <c r="E812" s="19">
        <v>0</v>
      </c>
      <c r="F812" s="19" t="s">
        <v>930</v>
      </c>
      <c r="G812" s="19" t="s">
        <v>931</v>
      </c>
      <c r="H812" s="19" t="s">
        <v>932</v>
      </c>
      <c r="I812" s="17" t="b">
        <v>0</v>
      </c>
      <c r="J812" s="17" t="s">
        <v>43</v>
      </c>
      <c r="K812" s="21" t="str">
        <f t="shared" si="18"/>
        <v>https://version2.ice-d.org/antarctica/sample/B2022-Fildes3/</v>
      </c>
      <c r="L812" s="58" t="s">
        <v>39</v>
      </c>
      <c r="M812" s="155"/>
      <c r="O812" s="17" t="s">
        <v>933</v>
      </c>
      <c r="P812" s="22">
        <v>-62.145547222200001</v>
      </c>
      <c r="Q812" s="22">
        <v>-58.926994444400002</v>
      </c>
      <c r="R812" s="22"/>
      <c r="S812" s="22">
        <v>39</v>
      </c>
      <c r="T812" s="22">
        <v>0</v>
      </c>
      <c r="U812" s="23">
        <v>50</v>
      </c>
      <c r="V812" s="149" t="s">
        <v>2461</v>
      </c>
      <c r="X812" s="22">
        <f t="shared" si="23"/>
        <v>39</v>
      </c>
      <c r="Y812" s="22">
        <v>1.2</v>
      </c>
      <c r="Z812" s="22">
        <v>2.7</v>
      </c>
      <c r="AA812" s="17" t="s">
        <v>84</v>
      </c>
      <c r="AB812" s="26">
        <v>6608</v>
      </c>
      <c r="AC812" s="26">
        <v>359</v>
      </c>
      <c r="AD812" s="26">
        <v>530</v>
      </c>
      <c r="AE812" s="27">
        <v>36900</v>
      </c>
      <c r="AF812" s="27">
        <v>2000</v>
      </c>
      <c r="AG812" s="28"/>
      <c r="AH812" s="28"/>
      <c r="AI812" s="17">
        <v>2020</v>
      </c>
      <c r="AJ812" s="17">
        <v>0</v>
      </c>
      <c r="AK812" s="17">
        <v>0</v>
      </c>
    </row>
    <row r="813" spans="1:37" ht="13">
      <c r="A813" s="49" t="s">
        <v>936</v>
      </c>
      <c r="B813" s="33" t="s">
        <v>937</v>
      </c>
      <c r="C813" s="27">
        <v>85</v>
      </c>
      <c r="D813" s="20" t="s">
        <v>196</v>
      </c>
      <c r="E813" s="33">
        <v>0</v>
      </c>
      <c r="F813" s="33" t="s">
        <v>938</v>
      </c>
      <c r="G813" s="33"/>
      <c r="H813" s="33" t="s">
        <v>932</v>
      </c>
      <c r="I813" s="17" t="b">
        <v>0</v>
      </c>
      <c r="J813" s="17" t="s">
        <v>43</v>
      </c>
      <c r="K813" s="21" t="str">
        <f t="shared" si="18"/>
        <v>https://version2.ice-d.org/antarctica/sample/J2018-F007/</v>
      </c>
      <c r="L813" s="49" t="s">
        <v>39</v>
      </c>
      <c r="M813" s="174" t="s">
        <v>44</v>
      </c>
      <c r="O813" s="17" t="s">
        <v>939</v>
      </c>
      <c r="P813" s="22">
        <v>-66.016369999999995</v>
      </c>
      <c r="Q813" s="22">
        <v>-60.567889999999998</v>
      </c>
      <c r="R813" s="22"/>
      <c r="S813" s="22">
        <v>127</v>
      </c>
      <c r="T813" s="22">
        <v>0</v>
      </c>
      <c r="U813" s="23">
        <v>490</v>
      </c>
      <c r="V813" s="149" t="s">
        <v>2434</v>
      </c>
      <c r="W813" s="44" t="s">
        <v>2433</v>
      </c>
      <c r="X813" s="22">
        <f t="shared" si="23"/>
        <v>127</v>
      </c>
      <c r="Y813" s="22">
        <v>3.5</v>
      </c>
      <c r="Z813" s="22">
        <v>2.65</v>
      </c>
      <c r="AA813" s="17" t="s">
        <v>73</v>
      </c>
      <c r="AB813" s="26">
        <v>15232</v>
      </c>
      <c r="AC813" s="26">
        <v>201</v>
      </c>
      <c r="AD813" s="26">
        <v>924</v>
      </c>
      <c r="AE813" s="27">
        <v>91400</v>
      </c>
      <c r="AF813" s="27">
        <v>1200</v>
      </c>
      <c r="AG813" s="28"/>
      <c r="AH813" s="28"/>
      <c r="AI813" s="17">
        <v>2013</v>
      </c>
      <c r="AJ813" s="17">
        <v>1</v>
      </c>
      <c r="AK813" s="17">
        <v>0</v>
      </c>
    </row>
    <row r="814" spans="1:37" ht="13">
      <c r="A814" s="49" t="s">
        <v>940</v>
      </c>
      <c r="B814" s="33" t="s">
        <v>937</v>
      </c>
      <c r="C814" s="27">
        <v>85</v>
      </c>
      <c r="D814" s="20" t="s">
        <v>196</v>
      </c>
      <c r="E814" s="33">
        <v>0</v>
      </c>
      <c r="F814" s="33" t="s">
        <v>938</v>
      </c>
      <c r="G814" s="33" t="s">
        <v>941</v>
      </c>
      <c r="H814" s="33" t="s">
        <v>932</v>
      </c>
      <c r="I814" s="17" t="b">
        <v>0</v>
      </c>
      <c r="J814" s="17" t="s">
        <v>43</v>
      </c>
      <c r="K814" s="21" t="str">
        <f t="shared" si="18"/>
        <v>https://version2.ice-d.org/antarctica/sample/J2018-F008/</v>
      </c>
      <c r="L814" s="49" t="s">
        <v>39</v>
      </c>
      <c r="M814" s="155"/>
      <c r="O814" s="17" t="s">
        <v>939</v>
      </c>
      <c r="P814" s="22">
        <v>-66.015929999999997</v>
      </c>
      <c r="Q814" s="22">
        <v>-60.568049999999999</v>
      </c>
      <c r="R814" s="22"/>
      <c r="S814" s="22">
        <v>126</v>
      </c>
      <c r="T814" s="22">
        <v>0</v>
      </c>
      <c r="U814" s="23">
        <v>490</v>
      </c>
      <c r="V814" s="149" t="s">
        <v>2434</v>
      </c>
      <c r="W814" s="44" t="s">
        <v>2433</v>
      </c>
      <c r="X814" s="22">
        <f t="shared" si="23"/>
        <v>126</v>
      </c>
      <c r="Y814" s="22">
        <v>7.5</v>
      </c>
      <c r="Z814" s="22">
        <v>2.65</v>
      </c>
      <c r="AA814" s="17" t="s">
        <v>73</v>
      </c>
      <c r="AB814" s="26">
        <v>14727</v>
      </c>
      <c r="AC814" s="26">
        <v>346</v>
      </c>
      <c r="AD814" s="26">
        <v>938</v>
      </c>
      <c r="AE814" s="27">
        <v>85500</v>
      </c>
      <c r="AF814" s="27">
        <v>2000</v>
      </c>
      <c r="AG814" s="28"/>
      <c r="AH814" s="28"/>
      <c r="AI814" s="17">
        <v>2013</v>
      </c>
      <c r="AJ814" s="17">
        <v>1</v>
      </c>
      <c r="AK814" s="17">
        <v>0</v>
      </c>
    </row>
    <row r="815" spans="1:37" ht="13">
      <c r="A815" s="49" t="s">
        <v>940</v>
      </c>
      <c r="B815" s="33" t="s">
        <v>937</v>
      </c>
      <c r="C815" s="27">
        <v>85</v>
      </c>
      <c r="D815" s="20" t="s">
        <v>196</v>
      </c>
      <c r="E815" s="33">
        <v>0</v>
      </c>
      <c r="F815" s="33" t="s">
        <v>938</v>
      </c>
      <c r="G815" s="33" t="s">
        <v>941</v>
      </c>
      <c r="H815" s="33" t="s">
        <v>932</v>
      </c>
      <c r="I815" s="17" t="b">
        <v>0</v>
      </c>
      <c r="J815" s="17" t="s">
        <v>247</v>
      </c>
      <c r="K815" s="21" t="str">
        <f t="shared" si="18"/>
        <v>https://version2.ice-d.org/antarctica/sample/J2018-F008/</v>
      </c>
      <c r="L815" s="49" t="s">
        <v>39</v>
      </c>
      <c r="M815" s="155"/>
      <c r="O815" s="17" t="s">
        <v>939</v>
      </c>
      <c r="P815" s="22">
        <v>-66.015929999999997</v>
      </c>
      <c r="Q815" s="22">
        <v>-60.568049999999999</v>
      </c>
      <c r="R815" s="22"/>
      <c r="S815" s="22">
        <v>126</v>
      </c>
      <c r="T815" s="22">
        <v>0</v>
      </c>
      <c r="U815" s="23">
        <v>490</v>
      </c>
      <c r="V815" s="149" t="s">
        <v>2434</v>
      </c>
      <c r="W815" s="44" t="s">
        <v>2433</v>
      </c>
      <c r="X815" s="22">
        <f t="shared" si="23"/>
        <v>126</v>
      </c>
      <c r="Y815" s="22">
        <v>7.5</v>
      </c>
      <c r="Z815" s="22">
        <v>2.65</v>
      </c>
      <c r="AA815" s="17" t="s">
        <v>73</v>
      </c>
      <c r="AB815" s="26">
        <v>15906</v>
      </c>
      <c r="AC815" s="26">
        <v>1624</v>
      </c>
      <c r="AD815" s="26">
        <v>2912</v>
      </c>
      <c r="AE815" s="27">
        <v>85500</v>
      </c>
      <c r="AF815" s="27">
        <v>2000</v>
      </c>
      <c r="AG815" s="28"/>
      <c r="AH815" s="28"/>
      <c r="AI815" s="17">
        <v>2013</v>
      </c>
      <c r="AJ815" s="17">
        <v>1</v>
      </c>
      <c r="AK815" s="17">
        <v>0</v>
      </c>
    </row>
    <row r="816" spans="1:37" ht="13">
      <c r="A816" s="49" t="s">
        <v>942</v>
      </c>
      <c r="B816" s="33" t="s">
        <v>937</v>
      </c>
      <c r="C816" s="27">
        <v>85</v>
      </c>
      <c r="D816" s="20" t="s">
        <v>196</v>
      </c>
      <c r="E816" s="33">
        <v>0</v>
      </c>
      <c r="F816" s="33" t="s">
        <v>938</v>
      </c>
      <c r="G816" s="33" t="s">
        <v>941</v>
      </c>
      <c r="H816" s="33" t="s">
        <v>932</v>
      </c>
      <c r="I816" s="17" t="b">
        <v>0</v>
      </c>
      <c r="J816" s="17" t="s">
        <v>247</v>
      </c>
      <c r="K816" s="21" t="str">
        <f t="shared" si="18"/>
        <v>https://version2.ice-d.org/antarctica/sample/J2018-F009/</v>
      </c>
      <c r="L816" s="49" t="s">
        <v>39</v>
      </c>
      <c r="M816" s="155"/>
      <c r="O816" s="17" t="s">
        <v>939</v>
      </c>
      <c r="P816" s="22">
        <v>-66.014769999999999</v>
      </c>
      <c r="Q816" s="22">
        <v>-60.558410000000002</v>
      </c>
      <c r="R816" s="22"/>
      <c r="S816" s="22">
        <v>92</v>
      </c>
      <c r="T816" s="22">
        <v>0</v>
      </c>
      <c r="U816" s="23">
        <v>490</v>
      </c>
      <c r="V816" s="149" t="s">
        <v>2434</v>
      </c>
      <c r="W816" s="44" t="s">
        <v>2433</v>
      </c>
      <c r="X816" s="22">
        <f t="shared" si="23"/>
        <v>92</v>
      </c>
      <c r="Y816" s="22">
        <v>6</v>
      </c>
      <c r="Z816" s="22">
        <v>2.65</v>
      </c>
      <c r="AA816" s="17" t="s">
        <v>73</v>
      </c>
      <c r="AB816" s="26">
        <v>7796</v>
      </c>
      <c r="AC816" s="26">
        <v>688</v>
      </c>
      <c r="AD816" s="26">
        <v>945</v>
      </c>
      <c r="AE816" s="27">
        <v>69300</v>
      </c>
      <c r="AF816" s="27">
        <v>1300</v>
      </c>
      <c r="AG816" s="28"/>
      <c r="AH816" s="28"/>
      <c r="AI816" s="17">
        <v>2013</v>
      </c>
      <c r="AJ816" s="17">
        <v>1</v>
      </c>
      <c r="AK816" s="17">
        <v>0</v>
      </c>
    </row>
    <row r="817" spans="1:38" ht="13">
      <c r="A817" s="49" t="s">
        <v>942</v>
      </c>
      <c r="B817" s="33" t="s">
        <v>937</v>
      </c>
      <c r="C817" s="27">
        <v>85</v>
      </c>
      <c r="D817" s="20" t="s">
        <v>196</v>
      </c>
      <c r="E817" s="33">
        <v>0</v>
      </c>
      <c r="F817" s="33" t="s">
        <v>938</v>
      </c>
      <c r="G817" s="33" t="s">
        <v>941</v>
      </c>
      <c r="H817" s="33" t="s">
        <v>932</v>
      </c>
      <c r="I817" s="17" t="b">
        <v>0</v>
      </c>
      <c r="J817" s="17" t="s">
        <v>43</v>
      </c>
      <c r="K817" s="21" t="str">
        <f t="shared" si="18"/>
        <v>https://version2.ice-d.org/antarctica/sample/J2018-F009/</v>
      </c>
      <c r="L817" s="49" t="s">
        <v>39</v>
      </c>
      <c r="M817" s="155"/>
      <c r="O817" s="17" t="s">
        <v>939</v>
      </c>
      <c r="P817" s="22">
        <v>-66.014769999999999</v>
      </c>
      <c r="Q817" s="22">
        <v>-60.558410000000002</v>
      </c>
      <c r="R817" s="22"/>
      <c r="S817" s="22">
        <v>92</v>
      </c>
      <c r="T817" s="22">
        <v>0</v>
      </c>
      <c r="U817" s="23">
        <v>490</v>
      </c>
      <c r="V817" s="149" t="s">
        <v>2434</v>
      </c>
      <c r="W817" s="44" t="s">
        <v>2433</v>
      </c>
      <c r="X817" s="22">
        <f t="shared" si="23"/>
        <v>92</v>
      </c>
      <c r="Y817" s="22">
        <v>6</v>
      </c>
      <c r="Z817" s="22">
        <v>2.65</v>
      </c>
      <c r="AA817" s="17" t="s">
        <v>73</v>
      </c>
      <c r="AB817" s="26">
        <v>12193</v>
      </c>
      <c r="AC817" s="26">
        <v>229</v>
      </c>
      <c r="AD817" s="26">
        <v>757</v>
      </c>
      <c r="AE817" s="27">
        <v>69300</v>
      </c>
      <c r="AF817" s="27">
        <v>1300</v>
      </c>
      <c r="AG817" s="28"/>
      <c r="AH817" s="28"/>
      <c r="AI817" s="17">
        <v>2013</v>
      </c>
      <c r="AJ817" s="17">
        <v>1</v>
      </c>
      <c r="AK817" s="17">
        <v>0</v>
      </c>
    </row>
    <row r="818" spans="1:38" ht="13">
      <c r="A818" s="49" t="s">
        <v>943</v>
      </c>
      <c r="B818" s="33" t="s">
        <v>937</v>
      </c>
      <c r="C818" s="27">
        <v>85</v>
      </c>
      <c r="D818" s="20" t="s">
        <v>196</v>
      </c>
      <c r="E818" s="33">
        <v>0</v>
      </c>
      <c r="F818" s="33" t="s">
        <v>938</v>
      </c>
      <c r="G818" s="33" t="s">
        <v>941</v>
      </c>
      <c r="H818" s="33" t="s">
        <v>932</v>
      </c>
      <c r="I818" s="17" t="b">
        <v>0</v>
      </c>
      <c r="J818" s="17" t="s">
        <v>247</v>
      </c>
      <c r="K818" s="21" t="str">
        <f t="shared" si="18"/>
        <v>https://version2.ice-d.org/antarctica/sample/J2018-F010/</v>
      </c>
      <c r="L818" s="49" t="s">
        <v>39</v>
      </c>
      <c r="M818" s="155"/>
      <c r="O818" s="17" t="s">
        <v>939</v>
      </c>
      <c r="P818" s="22">
        <v>-66.014660000000006</v>
      </c>
      <c r="Q818" s="22">
        <v>-60.558549999999997</v>
      </c>
      <c r="R818" s="22"/>
      <c r="S818" s="22">
        <v>92</v>
      </c>
      <c r="T818" s="22">
        <v>0</v>
      </c>
      <c r="U818" s="23">
        <v>490</v>
      </c>
      <c r="V818" s="149" t="s">
        <v>2434</v>
      </c>
      <c r="W818" s="44" t="s">
        <v>2433</v>
      </c>
      <c r="X818" s="22">
        <f t="shared" si="23"/>
        <v>92</v>
      </c>
      <c r="Y818" s="22">
        <v>5.5</v>
      </c>
      <c r="Z818" s="22">
        <v>2.65</v>
      </c>
      <c r="AA818" s="17" t="s">
        <v>73</v>
      </c>
      <c r="AB818" s="26">
        <v>6171</v>
      </c>
      <c r="AC818" s="26">
        <v>699</v>
      </c>
      <c r="AD818" s="26">
        <v>836</v>
      </c>
      <c r="AE818" s="27">
        <v>49600</v>
      </c>
      <c r="AF818" s="27">
        <v>800</v>
      </c>
      <c r="AG818" s="28"/>
      <c r="AH818" s="28"/>
      <c r="AI818" s="17">
        <v>2013</v>
      </c>
      <c r="AJ818" s="17">
        <v>1</v>
      </c>
      <c r="AK818" s="17">
        <v>0</v>
      </c>
    </row>
    <row r="819" spans="1:38" ht="13">
      <c r="A819" s="49" t="s">
        <v>943</v>
      </c>
      <c r="B819" s="33" t="s">
        <v>937</v>
      </c>
      <c r="C819" s="27">
        <v>85</v>
      </c>
      <c r="D819" s="20" t="s">
        <v>196</v>
      </c>
      <c r="E819" s="33">
        <v>0</v>
      </c>
      <c r="F819" s="33" t="s">
        <v>938</v>
      </c>
      <c r="G819" s="33" t="s">
        <v>941</v>
      </c>
      <c r="H819" s="33" t="s">
        <v>932</v>
      </c>
      <c r="I819" s="17" t="b">
        <v>0</v>
      </c>
      <c r="J819" s="17" t="s">
        <v>43</v>
      </c>
      <c r="K819" s="21" t="str">
        <f t="shared" si="18"/>
        <v>https://version2.ice-d.org/antarctica/sample/J2018-F010/</v>
      </c>
      <c r="L819" s="49" t="s">
        <v>39</v>
      </c>
      <c r="M819" s="155"/>
      <c r="O819" s="17" t="s">
        <v>939</v>
      </c>
      <c r="P819" s="22">
        <v>-66.014660000000006</v>
      </c>
      <c r="Q819" s="22">
        <v>-60.558549999999997</v>
      </c>
      <c r="R819" s="22"/>
      <c r="S819" s="22">
        <v>92</v>
      </c>
      <c r="T819" s="22">
        <v>0</v>
      </c>
      <c r="U819" s="23">
        <v>490</v>
      </c>
      <c r="V819" s="149" t="s">
        <v>2434</v>
      </c>
      <c r="W819" s="44" t="s">
        <v>2433</v>
      </c>
      <c r="X819" s="22">
        <f t="shared" si="23"/>
        <v>92</v>
      </c>
      <c r="Y819" s="22">
        <v>5.5</v>
      </c>
      <c r="Z819" s="22">
        <v>2.65</v>
      </c>
      <c r="AA819" s="17" t="s">
        <v>73</v>
      </c>
      <c r="AB819" s="26">
        <v>8651</v>
      </c>
      <c r="AC819" s="26">
        <v>140</v>
      </c>
      <c r="AD819" s="26">
        <v>530</v>
      </c>
      <c r="AE819" s="27">
        <v>49600</v>
      </c>
      <c r="AF819" s="27">
        <v>800</v>
      </c>
      <c r="AG819" s="28"/>
      <c r="AH819" s="28"/>
      <c r="AI819" s="17">
        <v>2013</v>
      </c>
      <c r="AJ819" s="17">
        <v>1</v>
      </c>
      <c r="AK819" s="17">
        <v>0</v>
      </c>
    </row>
    <row r="820" spans="1:38" ht="13">
      <c r="A820" s="49" t="s">
        <v>944</v>
      </c>
      <c r="B820" s="33" t="s">
        <v>937</v>
      </c>
      <c r="C820" s="27">
        <v>85</v>
      </c>
      <c r="D820" s="20" t="s">
        <v>196</v>
      </c>
      <c r="E820" s="33">
        <v>0</v>
      </c>
      <c r="F820" s="33" t="s">
        <v>938</v>
      </c>
      <c r="G820" s="33" t="s">
        <v>941</v>
      </c>
      <c r="H820" s="33" t="s">
        <v>932</v>
      </c>
      <c r="I820" s="17" t="b">
        <v>0</v>
      </c>
      <c r="J820" s="17" t="s">
        <v>43</v>
      </c>
      <c r="K820" s="21" t="str">
        <f t="shared" si="18"/>
        <v>https://version2.ice-d.org/antarctica/sample/J2018-F011/</v>
      </c>
      <c r="L820" s="49" t="s">
        <v>39</v>
      </c>
      <c r="M820" s="155"/>
      <c r="O820" s="17" t="s">
        <v>939</v>
      </c>
      <c r="P820" s="22">
        <v>-66.014780000000002</v>
      </c>
      <c r="Q820" s="22">
        <v>-60.558340000000001</v>
      </c>
      <c r="R820" s="22"/>
      <c r="S820" s="22">
        <v>90</v>
      </c>
      <c r="T820" s="22">
        <v>0</v>
      </c>
      <c r="U820" s="23">
        <v>490</v>
      </c>
      <c r="V820" s="149" t="s">
        <v>2434</v>
      </c>
      <c r="W820" s="44" t="s">
        <v>2433</v>
      </c>
      <c r="X820" s="22">
        <f t="shared" si="23"/>
        <v>90</v>
      </c>
      <c r="Y820" s="22">
        <v>6.5</v>
      </c>
      <c r="Z820" s="22">
        <v>2.65</v>
      </c>
      <c r="AA820" s="17" t="s">
        <v>73</v>
      </c>
      <c r="AB820" s="26">
        <v>7317</v>
      </c>
      <c r="AC820" s="26">
        <v>177</v>
      </c>
      <c r="AD820" s="26">
        <v>467</v>
      </c>
      <c r="AE820" s="27">
        <v>41400</v>
      </c>
      <c r="AF820" s="27">
        <v>1000</v>
      </c>
      <c r="AG820" s="28"/>
      <c r="AH820" s="28"/>
      <c r="AI820" s="17">
        <v>2013</v>
      </c>
      <c r="AJ820" s="17">
        <v>1</v>
      </c>
      <c r="AK820" s="17">
        <v>0</v>
      </c>
    </row>
    <row r="821" spans="1:38" ht="13">
      <c r="A821" s="49" t="s">
        <v>945</v>
      </c>
      <c r="B821" s="33" t="s">
        <v>937</v>
      </c>
      <c r="C821" s="27">
        <v>85</v>
      </c>
      <c r="D821" s="20" t="s">
        <v>196</v>
      </c>
      <c r="E821" s="33">
        <v>0</v>
      </c>
      <c r="F821" s="33" t="s">
        <v>938</v>
      </c>
      <c r="G821" s="33" t="s">
        <v>941</v>
      </c>
      <c r="H821" s="33" t="s">
        <v>932</v>
      </c>
      <c r="I821" s="17" t="b">
        <v>0</v>
      </c>
      <c r="J821" s="17" t="s">
        <v>43</v>
      </c>
      <c r="K821" s="21" t="str">
        <f t="shared" si="18"/>
        <v>https://version2.ice-d.org/antarctica/sample/J2018-F012/</v>
      </c>
      <c r="L821" s="49" t="s">
        <v>39</v>
      </c>
      <c r="M821" s="155"/>
      <c r="O821" s="17" t="s">
        <v>939</v>
      </c>
      <c r="P821" s="22">
        <v>-66.014769999999999</v>
      </c>
      <c r="Q821" s="22">
        <v>-60.558410000000002</v>
      </c>
      <c r="R821" s="22"/>
      <c r="S821" s="22">
        <v>92</v>
      </c>
      <c r="T821" s="22">
        <v>0</v>
      </c>
      <c r="U821" s="23">
        <v>490</v>
      </c>
      <c r="V821" s="149" t="s">
        <v>2434</v>
      </c>
      <c r="W821" s="44" t="s">
        <v>2433</v>
      </c>
      <c r="X821" s="22">
        <f t="shared" si="23"/>
        <v>92</v>
      </c>
      <c r="Y821" s="22">
        <v>6</v>
      </c>
      <c r="Z821" s="22">
        <v>2.65</v>
      </c>
      <c r="AA821" s="17" t="s">
        <v>73</v>
      </c>
      <c r="AB821" s="26">
        <v>6666</v>
      </c>
      <c r="AC821" s="26">
        <v>124</v>
      </c>
      <c r="AD821" s="26">
        <v>413</v>
      </c>
      <c r="AE821" s="27">
        <v>37800</v>
      </c>
      <c r="AF821" s="27">
        <v>700</v>
      </c>
      <c r="AG821" s="28"/>
      <c r="AH821" s="28"/>
      <c r="AI821" s="17">
        <v>2013</v>
      </c>
      <c r="AJ821" s="17">
        <v>1</v>
      </c>
      <c r="AK821" s="17">
        <v>0</v>
      </c>
    </row>
    <row r="822" spans="1:38" ht="13">
      <c r="A822" s="49" t="s">
        <v>946</v>
      </c>
      <c r="B822" s="33" t="s">
        <v>937</v>
      </c>
      <c r="C822" s="27">
        <v>85</v>
      </c>
      <c r="D822" s="20" t="s">
        <v>196</v>
      </c>
      <c r="E822" s="33">
        <v>0</v>
      </c>
      <c r="F822" s="33" t="s">
        <v>938</v>
      </c>
      <c r="G822" s="33" t="s">
        <v>941</v>
      </c>
      <c r="H822" s="33" t="s">
        <v>932</v>
      </c>
      <c r="I822" s="17" t="b">
        <v>0</v>
      </c>
      <c r="J822" s="17" t="s">
        <v>43</v>
      </c>
      <c r="K822" s="21" t="str">
        <f t="shared" si="18"/>
        <v>https://version2.ice-d.org/antarctica/sample/J2018-F014/</v>
      </c>
      <c r="L822" s="49" t="s">
        <v>39</v>
      </c>
      <c r="M822" s="155"/>
      <c r="O822" s="17" t="s">
        <v>939</v>
      </c>
      <c r="P822" s="22">
        <v>-66.01549</v>
      </c>
      <c r="Q822" s="22">
        <v>-60.565199999999997</v>
      </c>
      <c r="R822" s="22"/>
      <c r="S822" s="22">
        <v>118</v>
      </c>
      <c r="T822" s="22">
        <v>0</v>
      </c>
      <c r="U822" s="23">
        <v>490</v>
      </c>
      <c r="V822" s="149" t="s">
        <v>2434</v>
      </c>
      <c r="W822" s="44" t="s">
        <v>2433</v>
      </c>
      <c r="X822" s="22">
        <f t="shared" si="23"/>
        <v>118</v>
      </c>
      <c r="Y822" s="22">
        <v>7</v>
      </c>
      <c r="Z822" s="22">
        <v>2.65</v>
      </c>
      <c r="AA822" s="17" t="s">
        <v>73</v>
      </c>
      <c r="AB822" s="26">
        <v>12338</v>
      </c>
      <c r="AC822" s="26">
        <v>693</v>
      </c>
      <c r="AD822" s="26">
        <v>1007</v>
      </c>
      <c r="AE822" s="27">
        <v>71400</v>
      </c>
      <c r="AF822" s="27">
        <v>4000</v>
      </c>
      <c r="AG822" s="28"/>
      <c r="AH822" s="28"/>
      <c r="AI822" s="17">
        <v>2013</v>
      </c>
      <c r="AJ822" s="17">
        <v>1</v>
      </c>
      <c r="AK822" s="17">
        <v>0</v>
      </c>
    </row>
    <row r="823" spans="1:38" ht="13">
      <c r="A823" s="49" t="s">
        <v>947</v>
      </c>
      <c r="B823" s="33" t="s">
        <v>937</v>
      </c>
      <c r="C823" s="27">
        <v>85</v>
      </c>
      <c r="D823" s="20" t="s">
        <v>196</v>
      </c>
      <c r="E823" s="33">
        <v>0</v>
      </c>
      <c r="F823" s="33" t="s">
        <v>938</v>
      </c>
      <c r="G823" s="33" t="s">
        <v>941</v>
      </c>
      <c r="H823" s="33" t="s">
        <v>932</v>
      </c>
      <c r="I823" s="17" t="b">
        <v>0</v>
      </c>
      <c r="J823" s="17" t="s">
        <v>43</v>
      </c>
      <c r="K823" s="21" t="str">
        <f t="shared" si="18"/>
        <v>https://version2.ice-d.org/antarctica/sample/J2018-F015/</v>
      </c>
      <c r="L823" s="49" t="s">
        <v>39</v>
      </c>
      <c r="M823" s="155"/>
      <c r="O823" s="17" t="s">
        <v>939</v>
      </c>
      <c r="P823" s="22">
        <v>-66.015420000000006</v>
      </c>
      <c r="Q823" s="22">
        <v>-60.565800000000003</v>
      </c>
      <c r="R823" s="22"/>
      <c r="S823" s="22">
        <v>121</v>
      </c>
      <c r="T823" s="22">
        <v>0</v>
      </c>
      <c r="U823" s="23">
        <v>490</v>
      </c>
      <c r="V823" s="149" t="s">
        <v>2434</v>
      </c>
      <c r="W823" s="44" t="s">
        <v>2433</v>
      </c>
      <c r="X823" s="22">
        <f t="shared" si="23"/>
        <v>121</v>
      </c>
      <c r="Y823" s="22">
        <v>7</v>
      </c>
      <c r="Z823" s="22">
        <v>2.65</v>
      </c>
      <c r="AA823" s="17" t="s">
        <v>73</v>
      </c>
      <c r="AB823" s="26">
        <v>14188</v>
      </c>
      <c r="AC823" s="26">
        <v>3979</v>
      </c>
      <c r="AD823" s="26">
        <v>4067</v>
      </c>
      <c r="AE823" s="27">
        <v>82300</v>
      </c>
      <c r="AF823" s="27">
        <v>23000</v>
      </c>
      <c r="AG823" s="28"/>
      <c r="AH823" s="28"/>
      <c r="AI823" s="17">
        <v>2013</v>
      </c>
      <c r="AJ823" s="17">
        <v>1</v>
      </c>
      <c r="AK823" s="17">
        <v>0</v>
      </c>
    </row>
    <row r="824" spans="1:38" ht="13">
      <c r="A824" s="49" t="s">
        <v>948</v>
      </c>
      <c r="B824" s="33" t="s">
        <v>949</v>
      </c>
      <c r="C824" s="27">
        <v>86</v>
      </c>
      <c r="D824" s="20" t="s">
        <v>196</v>
      </c>
      <c r="E824" s="33">
        <v>0</v>
      </c>
      <c r="F824" s="33" t="s">
        <v>938</v>
      </c>
      <c r="G824" s="33" t="s">
        <v>941</v>
      </c>
      <c r="H824" s="33" t="s">
        <v>932</v>
      </c>
      <c r="I824" s="17" t="b">
        <v>0</v>
      </c>
      <c r="J824" s="17" t="s">
        <v>43</v>
      </c>
      <c r="K824" s="21" t="str">
        <f t="shared" si="18"/>
        <v>https://version2.ice-d.org/antarctica/sample/J2018-R001/</v>
      </c>
      <c r="L824" s="49" t="s">
        <v>39</v>
      </c>
      <c r="M824" s="155"/>
      <c r="O824" s="17" t="s">
        <v>939</v>
      </c>
      <c r="P824" s="22">
        <v>-65.245249999999999</v>
      </c>
      <c r="Q824" s="22">
        <v>-59.445500000000003</v>
      </c>
      <c r="R824" s="22"/>
      <c r="S824" s="22">
        <v>48</v>
      </c>
      <c r="T824" s="22">
        <v>0</v>
      </c>
      <c r="U824" s="23">
        <v>490</v>
      </c>
      <c r="V824" s="149" t="s">
        <v>2434</v>
      </c>
      <c r="W824" s="44" t="s">
        <v>2433</v>
      </c>
      <c r="X824" s="22">
        <f t="shared" si="23"/>
        <v>48</v>
      </c>
      <c r="Y824" s="22">
        <v>4.7</v>
      </c>
      <c r="Z824" s="22">
        <v>2.65</v>
      </c>
      <c r="AA824" s="17" t="s">
        <v>73</v>
      </c>
      <c r="AB824" s="26">
        <v>2072</v>
      </c>
      <c r="AC824" s="26">
        <v>177</v>
      </c>
      <c r="AD824" s="26">
        <v>215</v>
      </c>
      <c r="AE824" s="27">
        <v>11700</v>
      </c>
      <c r="AF824" s="27">
        <v>1000</v>
      </c>
      <c r="AG824" s="28"/>
      <c r="AH824" s="28"/>
      <c r="AI824" s="17">
        <v>2013</v>
      </c>
      <c r="AJ824" s="17">
        <v>1</v>
      </c>
      <c r="AK824" s="17">
        <v>0</v>
      </c>
    </row>
    <row r="825" spans="1:38" ht="13">
      <c r="A825" s="49" t="s">
        <v>948</v>
      </c>
      <c r="B825" s="33" t="s">
        <v>949</v>
      </c>
      <c r="C825" s="27">
        <v>86</v>
      </c>
      <c r="D825" s="20" t="s">
        <v>196</v>
      </c>
      <c r="E825" s="33">
        <v>0</v>
      </c>
      <c r="F825" s="33" t="s">
        <v>938</v>
      </c>
      <c r="G825" s="33" t="s">
        <v>941</v>
      </c>
      <c r="H825" s="33" t="s">
        <v>932</v>
      </c>
      <c r="I825" s="17" t="b">
        <v>0</v>
      </c>
      <c r="J825" s="17" t="s">
        <v>247</v>
      </c>
      <c r="K825" s="21" t="str">
        <f t="shared" si="18"/>
        <v>https://version2.ice-d.org/antarctica/sample/J2018-R001/</v>
      </c>
      <c r="L825" s="49" t="s">
        <v>39</v>
      </c>
      <c r="M825" s="155"/>
      <c r="O825" s="17" t="s">
        <v>939</v>
      </c>
      <c r="P825" s="22">
        <v>-65.245249999999999</v>
      </c>
      <c r="Q825" s="22">
        <v>-59.445500000000003</v>
      </c>
      <c r="R825" s="22"/>
      <c r="S825" s="22">
        <v>48</v>
      </c>
      <c r="T825" s="22">
        <v>0</v>
      </c>
      <c r="U825" s="23">
        <v>490</v>
      </c>
      <c r="V825" s="149" t="s">
        <v>2434</v>
      </c>
      <c r="W825" s="44" t="s">
        <v>2433</v>
      </c>
      <c r="X825" s="22">
        <f t="shared" si="23"/>
        <v>48</v>
      </c>
      <c r="Y825" s="22">
        <v>4.7</v>
      </c>
      <c r="Z825" s="22">
        <v>2.65</v>
      </c>
      <c r="AA825" s="17" t="s">
        <v>73</v>
      </c>
      <c r="AB825" s="26">
        <v>2229</v>
      </c>
      <c r="AC825" s="26">
        <v>126</v>
      </c>
      <c r="AD825" s="26">
        <v>179</v>
      </c>
      <c r="AE825" s="27">
        <v>11700</v>
      </c>
      <c r="AF825" s="27">
        <v>1000</v>
      </c>
      <c r="AG825" s="28"/>
      <c r="AH825" s="28"/>
      <c r="AI825" s="17">
        <v>2013</v>
      </c>
      <c r="AJ825" s="17">
        <v>1</v>
      </c>
      <c r="AK825" s="17">
        <v>0</v>
      </c>
    </row>
    <row r="826" spans="1:38" ht="13">
      <c r="A826" s="49" t="s">
        <v>950</v>
      </c>
      <c r="B826" s="33" t="s">
        <v>949</v>
      </c>
      <c r="C826" s="27">
        <v>86</v>
      </c>
      <c r="D826" s="20" t="s">
        <v>196</v>
      </c>
      <c r="E826" s="33">
        <v>0</v>
      </c>
      <c r="F826" s="33" t="s">
        <v>938</v>
      </c>
      <c r="G826" s="33" t="s">
        <v>941</v>
      </c>
      <c r="H826" s="33" t="s">
        <v>932</v>
      </c>
      <c r="I826" s="17" t="b">
        <v>0</v>
      </c>
      <c r="J826" s="17" t="s">
        <v>43</v>
      </c>
      <c r="K826" s="21" t="str">
        <f t="shared" si="18"/>
        <v>https://version2.ice-d.org/antarctica/sample/J2018-R002/</v>
      </c>
      <c r="L826" s="49" t="s">
        <v>39</v>
      </c>
      <c r="M826" s="155"/>
      <c r="O826" s="17" t="s">
        <v>939</v>
      </c>
      <c r="P826" s="22">
        <v>-65.245180000000005</v>
      </c>
      <c r="Q826" s="22">
        <v>-59.445270000000001</v>
      </c>
      <c r="R826" s="22"/>
      <c r="S826" s="22">
        <v>48</v>
      </c>
      <c r="T826" s="22">
        <v>0</v>
      </c>
      <c r="U826" s="23">
        <v>490</v>
      </c>
      <c r="V826" s="149" t="s">
        <v>2434</v>
      </c>
      <c r="W826" s="44" t="s">
        <v>2433</v>
      </c>
      <c r="X826" s="22">
        <f t="shared" si="23"/>
        <v>48</v>
      </c>
      <c r="Y826" s="22">
        <v>4.5</v>
      </c>
      <c r="Z826" s="22">
        <v>2.65</v>
      </c>
      <c r="AA826" s="17" t="s">
        <v>73</v>
      </c>
      <c r="AB826" s="26">
        <v>1066</v>
      </c>
      <c r="AC826" s="26">
        <v>140</v>
      </c>
      <c r="AD826" s="26">
        <v>153</v>
      </c>
      <c r="AE826" s="27">
        <v>6100</v>
      </c>
      <c r="AF826" s="27">
        <v>800</v>
      </c>
      <c r="AG826" s="28"/>
      <c r="AH826" s="28"/>
      <c r="AI826" s="17">
        <v>2013</v>
      </c>
      <c r="AJ826" s="17">
        <v>1</v>
      </c>
      <c r="AK826" s="17">
        <v>0</v>
      </c>
    </row>
    <row r="827" spans="1:38" ht="13">
      <c r="A827" s="49" t="s">
        <v>951</v>
      </c>
      <c r="B827" s="33" t="s">
        <v>949</v>
      </c>
      <c r="C827" s="27">
        <v>86</v>
      </c>
      <c r="D827" s="20" t="s">
        <v>196</v>
      </c>
      <c r="E827" s="33">
        <v>0</v>
      </c>
      <c r="F827" s="33" t="s">
        <v>938</v>
      </c>
      <c r="G827" s="33" t="s">
        <v>941</v>
      </c>
      <c r="H827" s="33" t="s">
        <v>932</v>
      </c>
      <c r="I827" s="17" t="b">
        <v>0</v>
      </c>
      <c r="J827" s="17" t="s">
        <v>43</v>
      </c>
      <c r="K827" s="21" t="str">
        <f t="shared" si="18"/>
        <v>https://version2.ice-d.org/antarctica/sample/J2018-R003/</v>
      </c>
      <c r="L827" s="49" t="s">
        <v>39</v>
      </c>
      <c r="M827" s="155"/>
      <c r="O827" s="17" t="s">
        <v>939</v>
      </c>
      <c r="P827" s="22">
        <v>-65.245609999999999</v>
      </c>
      <c r="Q827" s="22">
        <v>-59.4452</v>
      </c>
      <c r="R827" s="22"/>
      <c r="S827" s="22">
        <v>49</v>
      </c>
      <c r="T827" s="22">
        <v>0</v>
      </c>
      <c r="U827" s="23">
        <v>490</v>
      </c>
      <c r="V827" s="149" t="s">
        <v>2434</v>
      </c>
      <c r="W827" s="44" t="s">
        <v>2433</v>
      </c>
      <c r="X827" s="22">
        <f t="shared" si="23"/>
        <v>49</v>
      </c>
      <c r="Y827" s="22">
        <v>6</v>
      </c>
      <c r="Z827" s="22">
        <v>2.65</v>
      </c>
      <c r="AA827" s="17" t="s">
        <v>73</v>
      </c>
      <c r="AB827" s="26">
        <v>5427</v>
      </c>
      <c r="AC827" s="26">
        <v>1982</v>
      </c>
      <c r="AD827" s="26">
        <v>2008</v>
      </c>
      <c r="AE827" s="27">
        <v>29340</v>
      </c>
      <c r="AF827" s="27">
        <v>10700</v>
      </c>
      <c r="AG827" s="28"/>
      <c r="AH827" s="28"/>
      <c r="AI827" s="17">
        <v>2013</v>
      </c>
      <c r="AJ827" s="17">
        <v>1</v>
      </c>
      <c r="AK827" s="17">
        <v>0</v>
      </c>
    </row>
    <row r="828" spans="1:38" ht="13">
      <c r="A828" s="49" t="s">
        <v>952</v>
      </c>
      <c r="B828" s="33" t="s">
        <v>949</v>
      </c>
      <c r="C828" s="27">
        <v>86</v>
      </c>
      <c r="D828" s="20" t="s">
        <v>196</v>
      </c>
      <c r="E828" s="33">
        <v>0</v>
      </c>
      <c r="F828" s="33" t="s">
        <v>938</v>
      </c>
      <c r="G828" s="33" t="s">
        <v>941</v>
      </c>
      <c r="H828" s="33" t="s">
        <v>932</v>
      </c>
      <c r="I828" s="17" t="b">
        <v>0</v>
      </c>
      <c r="J828" s="17" t="s">
        <v>43</v>
      </c>
      <c r="K828" s="21" t="str">
        <f t="shared" si="18"/>
        <v>https://version2.ice-d.org/antarctica/sample/J2018-R004/</v>
      </c>
      <c r="L828" s="49" t="s">
        <v>39</v>
      </c>
      <c r="M828" s="155"/>
      <c r="O828" s="17" t="s">
        <v>939</v>
      </c>
      <c r="P828" s="22">
        <v>-65.246440000000007</v>
      </c>
      <c r="Q828" s="22">
        <v>-59.444569999999999</v>
      </c>
      <c r="R828" s="22"/>
      <c r="S828" s="22">
        <v>46</v>
      </c>
      <c r="T828" s="22">
        <v>0</v>
      </c>
      <c r="U828" s="23">
        <v>490</v>
      </c>
      <c r="V828" s="149" t="s">
        <v>2434</v>
      </c>
      <c r="W828" s="44" t="s">
        <v>2433</v>
      </c>
      <c r="X828" s="22">
        <f t="shared" si="23"/>
        <v>46</v>
      </c>
      <c r="Y828" s="22">
        <v>5.5</v>
      </c>
      <c r="Z828" s="22">
        <v>2.65</v>
      </c>
      <c r="AA828" s="17" t="s">
        <v>73</v>
      </c>
      <c r="AB828" s="26">
        <v>5267</v>
      </c>
      <c r="AC828" s="26">
        <v>167</v>
      </c>
      <c r="AD828" s="26">
        <v>353</v>
      </c>
      <c r="AE828" s="27">
        <v>28470</v>
      </c>
      <c r="AF828" s="27">
        <v>900</v>
      </c>
      <c r="AG828" s="28"/>
      <c r="AH828" s="28"/>
      <c r="AI828" s="17">
        <v>2013</v>
      </c>
      <c r="AJ828" s="17">
        <v>1</v>
      </c>
      <c r="AK828" s="17">
        <v>0</v>
      </c>
    </row>
    <row r="829" spans="1:38" ht="13">
      <c r="A829" s="49" t="s">
        <v>952</v>
      </c>
      <c r="B829" s="33" t="s">
        <v>949</v>
      </c>
      <c r="C829" s="27">
        <v>86</v>
      </c>
      <c r="D829" s="20" t="s">
        <v>196</v>
      </c>
      <c r="E829" s="33">
        <v>0</v>
      </c>
      <c r="F829" s="33" t="s">
        <v>938</v>
      </c>
      <c r="G829" s="33" t="s">
        <v>941</v>
      </c>
      <c r="H829" s="33" t="s">
        <v>932</v>
      </c>
      <c r="I829" s="17" t="b">
        <v>0</v>
      </c>
      <c r="J829" s="17" t="s">
        <v>247</v>
      </c>
      <c r="K829" s="21" t="str">
        <f t="shared" si="18"/>
        <v>https://version2.ice-d.org/antarctica/sample/J2018-R004/</v>
      </c>
      <c r="L829" s="49" t="s">
        <v>39</v>
      </c>
      <c r="M829" s="155"/>
      <c r="O829" s="17" t="s">
        <v>939</v>
      </c>
      <c r="P829" s="22">
        <v>-65.246440000000007</v>
      </c>
      <c r="Q829" s="22">
        <v>-59.444569999999999</v>
      </c>
      <c r="R829" s="22"/>
      <c r="S829" s="22">
        <v>46</v>
      </c>
      <c r="T829" s="22">
        <v>0</v>
      </c>
      <c r="U829" s="23">
        <v>490</v>
      </c>
      <c r="V829" s="149" t="s">
        <v>2434</v>
      </c>
      <c r="W829" s="44" t="s">
        <v>2433</v>
      </c>
      <c r="X829" s="22">
        <f t="shared" si="23"/>
        <v>46</v>
      </c>
      <c r="Y829" s="22">
        <v>5.5</v>
      </c>
      <c r="Z829" s="22">
        <v>2.65</v>
      </c>
      <c r="AA829" s="17" t="s">
        <v>73</v>
      </c>
      <c r="AB829" s="26">
        <v>5425</v>
      </c>
      <c r="AC829" s="26">
        <v>222</v>
      </c>
      <c r="AD829" s="26">
        <v>443</v>
      </c>
      <c r="AE829" s="27">
        <v>28470</v>
      </c>
      <c r="AF829" s="27">
        <v>900</v>
      </c>
      <c r="AG829" s="28"/>
      <c r="AH829" s="28"/>
      <c r="AI829" s="17">
        <v>2013</v>
      </c>
      <c r="AJ829" s="17">
        <v>1</v>
      </c>
      <c r="AK829" s="17">
        <v>0</v>
      </c>
    </row>
    <row r="830" spans="1:38" ht="13">
      <c r="A830" s="49" t="s">
        <v>953</v>
      </c>
      <c r="B830" s="33" t="s">
        <v>949</v>
      </c>
      <c r="C830" s="27">
        <v>86</v>
      </c>
      <c r="D830" s="20" t="s">
        <v>196</v>
      </c>
      <c r="E830" s="33">
        <v>0</v>
      </c>
      <c r="F830" s="33" t="s">
        <v>938</v>
      </c>
      <c r="G830" s="33" t="s">
        <v>941</v>
      </c>
      <c r="H830" s="33" t="s">
        <v>932</v>
      </c>
      <c r="I830" s="17" t="b">
        <v>0</v>
      </c>
      <c r="J830" s="17" t="s">
        <v>43</v>
      </c>
      <c r="K830" s="21" t="str">
        <f t="shared" si="18"/>
        <v>https://version2.ice-d.org/antarctica/sample/J2018-R005/</v>
      </c>
      <c r="L830" s="49" t="s">
        <v>39</v>
      </c>
      <c r="M830" s="155"/>
      <c r="O830" s="17" t="s">
        <v>939</v>
      </c>
      <c r="P830" s="22">
        <v>-65.246459999999999</v>
      </c>
      <c r="Q830" s="22">
        <v>-59.444600000000001</v>
      </c>
      <c r="R830" s="22"/>
      <c r="S830" s="22">
        <v>47</v>
      </c>
      <c r="T830" s="22">
        <v>0</v>
      </c>
      <c r="U830" s="23">
        <v>490</v>
      </c>
      <c r="V830" s="149" t="s">
        <v>2434</v>
      </c>
      <c r="W830" s="44" t="s">
        <v>2433</v>
      </c>
      <c r="X830" s="22">
        <f t="shared" si="23"/>
        <v>47</v>
      </c>
      <c r="Y830" s="22">
        <v>6</v>
      </c>
      <c r="Z830" s="22">
        <v>2.65</v>
      </c>
      <c r="AA830" s="17" t="s">
        <v>73</v>
      </c>
      <c r="AB830" s="26">
        <v>1117</v>
      </c>
      <c r="AC830" s="26">
        <v>461</v>
      </c>
      <c r="AD830" s="26">
        <v>466</v>
      </c>
      <c r="AE830" s="27">
        <v>6300</v>
      </c>
      <c r="AF830" s="27">
        <v>2600</v>
      </c>
      <c r="AG830" s="28"/>
      <c r="AH830" s="28"/>
      <c r="AI830" s="17">
        <v>2013</v>
      </c>
      <c r="AJ830" s="17">
        <v>1</v>
      </c>
      <c r="AK830" s="17">
        <v>0</v>
      </c>
    </row>
    <row r="831" spans="1:38" ht="13">
      <c r="A831" s="49" t="s">
        <v>954</v>
      </c>
      <c r="B831" s="33" t="s">
        <v>949</v>
      </c>
      <c r="C831" s="27">
        <v>86</v>
      </c>
      <c r="D831" s="20" t="s">
        <v>196</v>
      </c>
      <c r="E831" s="33">
        <v>0</v>
      </c>
      <c r="F831" s="33" t="s">
        <v>938</v>
      </c>
      <c r="G831" s="33" t="s">
        <v>941</v>
      </c>
      <c r="H831" s="33" t="s">
        <v>932</v>
      </c>
      <c r="I831" s="17" t="b">
        <v>0</v>
      </c>
      <c r="J831" s="17" t="s">
        <v>247</v>
      </c>
      <c r="K831" s="21" t="str">
        <f t="shared" si="18"/>
        <v>https://version2.ice-d.org/antarctica/sample/J2018-R006/</v>
      </c>
      <c r="L831" s="49" t="s">
        <v>39</v>
      </c>
      <c r="M831" s="155"/>
      <c r="O831" s="17" t="s">
        <v>939</v>
      </c>
      <c r="P831" s="22">
        <v>-65.246470000000002</v>
      </c>
      <c r="Q831" s="22">
        <v>-59.444659999999999</v>
      </c>
      <c r="R831" s="22"/>
      <c r="S831" s="22">
        <v>47</v>
      </c>
      <c r="T831" s="22">
        <v>0</v>
      </c>
      <c r="U831" s="23">
        <v>490</v>
      </c>
      <c r="V831" s="149" t="s">
        <v>2434</v>
      </c>
      <c r="W831" s="44" t="s">
        <v>2433</v>
      </c>
      <c r="X831" s="22">
        <f t="shared" si="23"/>
        <v>47</v>
      </c>
      <c r="Y831" s="22">
        <v>3</v>
      </c>
      <c r="Z831" s="22">
        <v>2.65</v>
      </c>
      <c r="AA831" s="17" t="s">
        <v>73</v>
      </c>
      <c r="AB831" s="26">
        <v>340</v>
      </c>
      <c r="AC831" s="26">
        <v>23</v>
      </c>
      <c r="AD831" s="26">
        <v>29</v>
      </c>
      <c r="AE831" s="27">
        <v>10300</v>
      </c>
      <c r="AF831" s="27">
        <v>1000</v>
      </c>
      <c r="AG831" s="28"/>
      <c r="AH831" s="28"/>
      <c r="AI831" s="17">
        <v>2013</v>
      </c>
      <c r="AJ831" s="17">
        <v>1</v>
      </c>
      <c r="AK831" s="17">
        <v>1</v>
      </c>
      <c r="AL831" s="17" t="s">
        <v>955</v>
      </c>
    </row>
    <row r="832" spans="1:38" ht="13">
      <c r="A832" s="49" t="s">
        <v>954</v>
      </c>
      <c r="B832" s="33" t="s">
        <v>949</v>
      </c>
      <c r="C832" s="27">
        <v>86</v>
      </c>
      <c r="D832" s="20" t="s">
        <v>196</v>
      </c>
      <c r="E832" s="33">
        <v>0</v>
      </c>
      <c r="F832" s="33" t="s">
        <v>938</v>
      </c>
      <c r="G832" s="33" t="s">
        <v>941</v>
      </c>
      <c r="H832" s="33" t="s">
        <v>932</v>
      </c>
      <c r="I832" s="17" t="b">
        <v>0</v>
      </c>
      <c r="J832" s="17" t="s">
        <v>43</v>
      </c>
      <c r="K832" s="21" t="str">
        <f t="shared" si="18"/>
        <v>https://version2.ice-d.org/antarctica/sample/J2018-R006/</v>
      </c>
      <c r="L832" s="49" t="s">
        <v>39</v>
      </c>
      <c r="M832" s="155"/>
      <c r="O832" s="17" t="s">
        <v>939</v>
      </c>
      <c r="P832" s="22">
        <v>-65.246470000000002</v>
      </c>
      <c r="Q832" s="22">
        <v>-59.444659999999999</v>
      </c>
      <c r="R832" s="22"/>
      <c r="S832" s="22">
        <v>47</v>
      </c>
      <c r="T832" s="22">
        <v>0</v>
      </c>
      <c r="U832" s="23">
        <v>490</v>
      </c>
      <c r="V832" s="149" t="s">
        <v>2434</v>
      </c>
      <c r="W832" s="44" t="s">
        <v>2433</v>
      </c>
      <c r="X832" s="22">
        <f t="shared" si="23"/>
        <v>47</v>
      </c>
      <c r="Y832" s="22">
        <v>3</v>
      </c>
      <c r="Z832" s="22">
        <v>2.65</v>
      </c>
      <c r="AA832" s="17" t="s">
        <v>73</v>
      </c>
      <c r="AB832" s="26">
        <v>1793</v>
      </c>
      <c r="AC832" s="26">
        <v>174</v>
      </c>
      <c r="AD832" s="26">
        <v>204</v>
      </c>
      <c r="AE832" s="27">
        <v>10300</v>
      </c>
      <c r="AF832" s="27">
        <v>1000</v>
      </c>
      <c r="AG832" s="28"/>
      <c r="AH832" s="28"/>
      <c r="AI832" s="17">
        <v>2013</v>
      </c>
      <c r="AJ832" s="17">
        <v>1</v>
      </c>
      <c r="AK832" s="17">
        <v>1</v>
      </c>
      <c r="AL832" s="17" t="s">
        <v>955</v>
      </c>
    </row>
    <row r="833" spans="1:38" ht="12.75" customHeight="1">
      <c r="A833" s="121" t="s">
        <v>956</v>
      </c>
      <c r="B833" s="19" t="s">
        <v>957</v>
      </c>
      <c r="C833" s="27">
        <v>87</v>
      </c>
      <c r="D833" s="20" t="s">
        <v>196</v>
      </c>
      <c r="E833" s="33">
        <v>0</v>
      </c>
      <c r="F833" s="33" t="s">
        <v>958</v>
      </c>
      <c r="G833" s="33" t="s">
        <v>959</v>
      </c>
      <c r="H833" s="33" t="s">
        <v>932</v>
      </c>
      <c r="I833" s="17" t="b">
        <v>0</v>
      </c>
      <c r="J833" s="17" t="s">
        <v>43</v>
      </c>
      <c r="K833" s="17" t="s">
        <v>817</v>
      </c>
      <c r="L833" s="121" t="s">
        <v>39</v>
      </c>
      <c r="M833" s="121"/>
      <c r="O833" s="21" t="s">
        <v>960</v>
      </c>
      <c r="P833" s="122">
        <v>-64.016599999999997</v>
      </c>
      <c r="Q833" s="122">
        <v>-57.689700000000002</v>
      </c>
      <c r="R833" s="22"/>
      <c r="S833" s="19">
        <v>194</v>
      </c>
      <c r="T833" s="22">
        <v>0</v>
      </c>
      <c r="U833" s="23">
        <v>780</v>
      </c>
      <c r="V833" s="7" t="s">
        <v>2462</v>
      </c>
      <c r="W833" s="44" t="s">
        <v>2463</v>
      </c>
      <c r="X833" s="22">
        <f t="shared" si="23"/>
        <v>194</v>
      </c>
      <c r="Y833" s="22"/>
      <c r="Z833" s="22"/>
      <c r="AB833" s="35">
        <v>7053</v>
      </c>
      <c r="AC833" s="35">
        <v>420</v>
      </c>
      <c r="AD833" s="35">
        <v>420</v>
      </c>
      <c r="AE833" s="27"/>
      <c r="AF833" s="27"/>
      <c r="AG833" s="28"/>
      <c r="AH833" s="28"/>
      <c r="AK833" s="17">
        <v>0</v>
      </c>
    </row>
    <row r="834" spans="1:38" ht="12.75" customHeight="1">
      <c r="A834" s="121" t="s">
        <v>956</v>
      </c>
      <c r="B834" s="19" t="s">
        <v>957</v>
      </c>
      <c r="C834" s="27">
        <v>87</v>
      </c>
      <c r="D834" s="20" t="s">
        <v>196</v>
      </c>
      <c r="E834" s="33">
        <v>0</v>
      </c>
      <c r="F834" s="33" t="s">
        <v>958</v>
      </c>
      <c r="G834" s="33" t="s">
        <v>959</v>
      </c>
      <c r="H834" s="33" t="s">
        <v>932</v>
      </c>
      <c r="I834" s="17" t="b">
        <v>0</v>
      </c>
      <c r="J834" s="17" t="s">
        <v>64</v>
      </c>
      <c r="K834" s="17" t="s">
        <v>817</v>
      </c>
      <c r="L834" s="121" t="s">
        <v>39</v>
      </c>
      <c r="M834" s="121"/>
      <c r="O834" s="21" t="s">
        <v>960</v>
      </c>
      <c r="P834" s="122">
        <v>-64.016599999999997</v>
      </c>
      <c r="Q834" s="122">
        <v>-57.689700000000002</v>
      </c>
      <c r="R834" s="22"/>
      <c r="S834" s="19">
        <v>194</v>
      </c>
      <c r="T834" s="22">
        <v>0</v>
      </c>
      <c r="U834" s="23">
        <v>780</v>
      </c>
      <c r="V834" s="7" t="s">
        <v>2435</v>
      </c>
      <c r="W834" s="44" t="s">
        <v>2463</v>
      </c>
      <c r="X834" s="22">
        <f t="shared" si="23"/>
        <v>194</v>
      </c>
      <c r="Y834" s="22"/>
      <c r="Z834" s="22"/>
      <c r="AB834" s="35">
        <v>4716</v>
      </c>
      <c r="AC834" s="35">
        <v>443</v>
      </c>
      <c r="AD834" s="35">
        <v>443</v>
      </c>
      <c r="AE834" s="27"/>
      <c r="AF834" s="27"/>
      <c r="AG834" s="28"/>
      <c r="AH834" s="28"/>
      <c r="AK834" s="17">
        <v>0</v>
      </c>
    </row>
    <row r="835" spans="1:38" ht="12.75" customHeight="1">
      <c r="A835" s="121" t="s">
        <v>961</v>
      </c>
      <c r="B835" s="19" t="s">
        <v>957</v>
      </c>
      <c r="C835" s="27">
        <v>87</v>
      </c>
      <c r="D835" s="20" t="s">
        <v>196</v>
      </c>
      <c r="E835" s="33">
        <v>0</v>
      </c>
      <c r="F835" s="33" t="s">
        <v>958</v>
      </c>
      <c r="G835" s="33" t="s">
        <v>959</v>
      </c>
      <c r="H835" s="33" t="s">
        <v>932</v>
      </c>
      <c r="I835" s="17" t="b">
        <v>0</v>
      </c>
      <c r="J835" s="17" t="s">
        <v>43</v>
      </c>
      <c r="K835" s="17" t="s">
        <v>817</v>
      </c>
      <c r="L835" s="121" t="s">
        <v>39</v>
      </c>
      <c r="M835" s="121"/>
      <c r="O835" s="21" t="s">
        <v>960</v>
      </c>
      <c r="P835" s="122">
        <v>-64.034440000000004</v>
      </c>
      <c r="Q835" s="122">
        <v>-57.680109999999999</v>
      </c>
      <c r="R835" s="22"/>
      <c r="S835" s="22">
        <v>170</v>
      </c>
      <c r="T835" s="22">
        <v>0</v>
      </c>
      <c r="U835" s="23">
        <v>780</v>
      </c>
      <c r="V835" s="7" t="s">
        <v>2435</v>
      </c>
      <c r="W835" s="44" t="s">
        <v>2463</v>
      </c>
      <c r="X835" s="22">
        <f t="shared" si="23"/>
        <v>170</v>
      </c>
      <c r="Y835" s="22"/>
      <c r="Z835" s="22"/>
      <c r="AB835" s="35">
        <v>6600</v>
      </c>
      <c r="AC835" s="35">
        <v>617</v>
      </c>
      <c r="AD835" s="35">
        <v>617</v>
      </c>
      <c r="AE835" s="27"/>
      <c r="AF835" s="27"/>
      <c r="AG835" s="28"/>
      <c r="AH835" s="28"/>
      <c r="AK835" s="17">
        <v>0</v>
      </c>
    </row>
    <row r="836" spans="1:38" ht="12.75" customHeight="1">
      <c r="A836" s="121" t="s">
        <v>961</v>
      </c>
      <c r="B836" s="19" t="s">
        <v>957</v>
      </c>
      <c r="C836" s="27">
        <v>87</v>
      </c>
      <c r="D836" s="20" t="s">
        <v>196</v>
      </c>
      <c r="E836" s="33">
        <v>0</v>
      </c>
      <c r="F836" s="33" t="s">
        <v>958</v>
      </c>
      <c r="G836" s="33" t="s">
        <v>959</v>
      </c>
      <c r="H836" s="33" t="s">
        <v>932</v>
      </c>
      <c r="I836" s="17" t="b">
        <v>0</v>
      </c>
      <c r="J836" s="17" t="s">
        <v>64</v>
      </c>
      <c r="K836" s="17" t="s">
        <v>817</v>
      </c>
      <c r="L836" s="121" t="s">
        <v>39</v>
      </c>
      <c r="M836" s="121"/>
      <c r="O836" s="21" t="s">
        <v>960</v>
      </c>
      <c r="P836" s="122">
        <v>-64.034440000000004</v>
      </c>
      <c r="Q836" s="122">
        <v>-57.680109999999999</v>
      </c>
      <c r="R836" s="22"/>
      <c r="S836" s="22">
        <v>170</v>
      </c>
      <c r="T836" s="22">
        <v>0</v>
      </c>
      <c r="U836" s="23">
        <v>780</v>
      </c>
      <c r="V836" s="7" t="s">
        <v>2435</v>
      </c>
      <c r="W836" s="44" t="s">
        <v>2463</v>
      </c>
      <c r="X836" s="22">
        <f t="shared" si="23"/>
        <v>170</v>
      </c>
      <c r="Y836" s="22"/>
      <c r="Z836" s="22"/>
      <c r="AB836" s="35">
        <v>5800</v>
      </c>
      <c r="AC836" s="35">
        <v>992</v>
      </c>
      <c r="AD836" s="35">
        <v>992</v>
      </c>
      <c r="AE836" s="27"/>
      <c r="AF836" s="27"/>
      <c r="AG836" s="28"/>
      <c r="AH836" s="28"/>
      <c r="AK836" s="17">
        <v>0</v>
      </c>
    </row>
    <row r="837" spans="1:38" ht="12.75" customHeight="1">
      <c r="A837" s="121" t="s">
        <v>962</v>
      </c>
      <c r="B837" s="19" t="s">
        <v>963</v>
      </c>
      <c r="C837" s="27">
        <v>87</v>
      </c>
      <c r="D837" s="20" t="s">
        <v>196</v>
      </c>
      <c r="E837" s="33">
        <v>0</v>
      </c>
      <c r="F837" s="33" t="s">
        <v>958</v>
      </c>
      <c r="G837" s="33" t="s">
        <v>959</v>
      </c>
      <c r="H837" s="33" t="s">
        <v>932</v>
      </c>
      <c r="I837" s="17" t="b">
        <v>0</v>
      </c>
      <c r="J837" s="17" t="s">
        <v>964</v>
      </c>
      <c r="K837" s="17" t="s">
        <v>817</v>
      </c>
      <c r="L837" s="121" t="s">
        <v>39</v>
      </c>
      <c r="M837" s="121"/>
      <c r="O837" s="21" t="s">
        <v>960</v>
      </c>
      <c r="P837" s="122">
        <v>-63.901290000000003</v>
      </c>
      <c r="Q837" s="122">
        <v>-57.612310000000001</v>
      </c>
      <c r="R837" s="22"/>
      <c r="S837" s="22">
        <v>196</v>
      </c>
      <c r="T837" s="22">
        <v>0</v>
      </c>
      <c r="U837" s="23">
        <v>780</v>
      </c>
      <c r="V837" s="7" t="s">
        <v>2435</v>
      </c>
      <c r="W837" s="44" t="s">
        <v>2463</v>
      </c>
      <c r="X837" s="22">
        <f t="shared" si="23"/>
        <v>196</v>
      </c>
      <c r="Y837" s="22"/>
      <c r="Z837" s="22"/>
      <c r="AB837" s="35">
        <v>7291</v>
      </c>
      <c r="AC837" s="35">
        <v>558</v>
      </c>
      <c r="AD837" s="35">
        <v>558</v>
      </c>
      <c r="AE837" s="27"/>
      <c r="AF837" s="27"/>
      <c r="AG837" s="28"/>
      <c r="AH837" s="28"/>
      <c r="AK837" s="17">
        <v>0</v>
      </c>
    </row>
    <row r="838" spans="1:38" ht="12.75" customHeight="1">
      <c r="A838" s="121" t="s">
        <v>962</v>
      </c>
      <c r="B838" s="19" t="s">
        <v>963</v>
      </c>
      <c r="C838" s="27">
        <v>87</v>
      </c>
      <c r="D838" s="20" t="s">
        <v>196</v>
      </c>
      <c r="E838" s="33">
        <v>0</v>
      </c>
      <c r="F838" s="33" t="s">
        <v>958</v>
      </c>
      <c r="G838" s="33" t="s">
        <v>959</v>
      </c>
      <c r="H838" s="33" t="s">
        <v>932</v>
      </c>
      <c r="I838" s="17" t="b">
        <v>0</v>
      </c>
      <c r="J838" s="17" t="s">
        <v>64</v>
      </c>
      <c r="K838" s="17" t="s">
        <v>817</v>
      </c>
      <c r="L838" s="121" t="s">
        <v>39</v>
      </c>
      <c r="M838" s="121"/>
      <c r="O838" s="21" t="s">
        <v>960</v>
      </c>
      <c r="P838" s="122">
        <v>-63.901290000000003</v>
      </c>
      <c r="Q838" s="122">
        <v>-57.612310000000001</v>
      </c>
      <c r="R838" s="22"/>
      <c r="S838" s="22">
        <v>196</v>
      </c>
      <c r="T838" s="22">
        <v>0</v>
      </c>
      <c r="U838" s="23">
        <v>780</v>
      </c>
      <c r="V838" s="7" t="s">
        <v>2435</v>
      </c>
      <c r="W838" s="44" t="s">
        <v>2463</v>
      </c>
      <c r="X838" s="22">
        <f t="shared" si="23"/>
        <v>196</v>
      </c>
      <c r="Y838" s="22"/>
      <c r="Z838" s="22"/>
      <c r="AB838" s="35">
        <v>7957</v>
      </c>
      <c r="AC838" s="35">
        <v>626</v>
      </c>
      <c r="AD838" s="35">
        <v>626</v>
      </c>
      <c r="AE838" s="27"/>
      <c r="AF838" s="27"/>
      <c r="AG838" s="28"/>
      <c r="AH838" s="28"/>
      <c r="AK838" s="17">
        <v>0</v>
      </c>
    </row>
    <row r="839" spans="1:38" ht="12.75" customHeight="1">
      <c r="A839" s="121" t="s">
        <v>965</v>
      </c>
      <c r="B839" s="17" t="s">
        <v>966</v>
      </c>
      <c r="C839" s="27">
        <v>87</v>
      </c>
      <c r="D839" s="20" t="s">
        <v>196</v>
      </c>
      <c r="E839" s="28">
        <v>0</v>
      </c>
      <c r="F839" s="28" t="s">
        <v>958</v>
      </c>
      <c r="G839" s="28" t="s">
        <v>959</v>
      </c>
      <c r="H839" s="28" t="s">
        <v>932</v>
      </c>
      <c r="I839" s="59" t="b">
        <v>0</v>
      </c>
      <c r="J839" s="17" t="s">
        <v>43</v>
      </c>
      <c r="K839" s="17" t="s">
        <v>817</v>
      </c>
      <c r="L839" s="121" t="s">
        <v>39</v>
      </c>
      <c r="M839" s="121"/>
      <c r="O839" s="21" t="s">
        <v>960</v>
      </c>
      <c r="P839" s="123">
        <v>-63.986449999999998</v>
      </c>
      <c r="Q839" s="123">
        <v>-57.579129999999999</v>
      </c>
      <c r="S839" s="22">
        <v>90</v>
      </c>
      <c r="T839" s="22">
        <v>0</v>
      </c>
      <c r="U839" s="23">
        <v>780</v>
      </c>
      <c r="V839" s="7" t="s">
        <v>2435</v>
      </c>
      <c r="W839" s="44" t="s">
        <v>2463</v>
      </c>
      <c r="X839" s="22">
        <f t="shared" si="23"/>
        <v>90</v>
      </c>
      <c r="AB839" s="36">
        <v>6452</v>
      </c>
      <c r="AC839" s="36">
        <v>394</v>
      </c>
      <c r="AD839" s="36">
        <v>394</v>
      </c>
      <c r="AE839" s="28"/>
      <c r="AF839" s="28"/>
      <c r="AG839" s="28"/>
      <c r="AH839" s="28"/>
      <c r="AK839" s="22">
        <v>0</v>
      </c>
    </row>
    <row r="840" spans="1:38" ht="12.75" customHeight="1">
      <c r="A840" s="121" t="s">
        <v>967</v>
      </c>
      <c r="B840" s="28" t="s">
        <v>968</v>
      </c>
      <c r="C840" s="27">
        <v>88</v>
      </c>
      <c r="D840" s="20" t="s">
        <v>196</v>
      </c>
      <c r="E840" s="28">
        <v>0</v>
      </c>
      <c r="F840" s="28" t="s">
        <v>958</v>
      </c>
      <c r="G840" s="28" t="s">
        <v>969</v>
      </c>
      <c r="H840" s="28" t="s">
        <v>932</v>
      </c>
      <c r="I840" s="59" t="b">
        <v>0</v>
      </c>
      <c r="J840" s="17" t="s">
        <v>43</v>
      </c>
      <c r="K840" s="17" t="s">
        <v>817</v>
      </c>
      <c r="L840" s="121" t="s">
        <v>39</v>
      </c>
      <c r="M840" s="121"/>
      <c r="O840" s="21" t="s">
        <v>960</v>
      </c>
      <c r="P840" s="123">
        <v>-64.006900000000002</v>
      </c>
      <c r="Q840" s="123">
        <v>-57.833309999999997</v>
      </c>
      <c r="S840" s="22">
        <v>284</v>
      </c>
      <c r="T840" s="22">
        <v>0</v>
      </c>
      <c r="U840" s="23">
        <v>780</v>
      </c>
      <c r="V840" s="7" t="s">
        <v>2435</v>
      </c>
      <c r="W840" s="44" t="s">
        <v>2463</v>
      </c>
      <c r="X840" s="22">
        <f t="shared" si="23"/>
        <v>284</v>
      </c>
      <c r="AB840" s="36">
        <v>8522</v>
      </c>
      <c r="AC840" s="36">
        <v>1086</v>
      </c>
      <c r="AD840" s="36">
        <v>1086</v>
      </c>
      <c r="AE840" s="28"/>
      <c r="AF840" s="28"/>
      <c r="AG840" s="28"/>
      <c r="AH840" s="28"/>
      <c r="AK840" s="22">
        <v>0</v>
      </c>
    </row>
    <row r="841" spans="1:38" ht="12.75" customHeight="1">
      <c r="A841" s="121" t="s">
        <v>967</v>
      </c>
      <c r="B841" s="33" t="s">
        <v>968</v>
      </c>
      <c r="C841" s="27">
        <v>88</v>
      </c>
      <c r="D841" s="20" t="s">
        <v>196</v>
      </c>
      <c r="E841" s="33">
        <v>0</v>
      </c>
      <c r="F841" s="33" t="s">
        <v>958</v>
      </c>
      <c r="G841" s="33" t="s">
        <v>969</v>
      </c>
      <c r="H841" s="33" t="s">
        <v>932</v>
      </c>
      <c r="I841" s="17" t="b">
        <v>0</v>
      </c>
      <c r="J841" s="17" t="s">
        <v>64</v>
      </c>
      <c r="K841" s="17" t="s">
        <v>817</v>
      </c>
      <c r="L841" s="121" t="s">
        <v>39</v>
      </c>
      <c r="M841" s="121"/>
      <c r="O841" s="21" t="s">
        <v>960</v>
      </c>
      <c r="P841" s="122">
        <v>-64.006900000000002</v>
      </c>
      <c r="Q841" s="122">
        <v>-57.833309999999997</v>
      </c>
      <c r="R841" s="22"/>
      <c r="S841" s="22">
        <v>284</v>
      </c>
      <c r="T841" s="22">
        <v>0</v>
      </c>
      <c r="U841" s="23">
        <v>780</v>
      </c>
      <c r="V841" s="7" t="s">
        <v>2435</v>
      </c>
      <c r="W841" s="44" t="s">
        <v>2463</v>
      </c>
      <c r="X841" s="22">
        <f t="shared" si="23"/>
        <v>284</v>
      </c>
      <c r="Y841" s="22"/>
      <c r="Z841" s="22"/>
      <c r="AB841" s="35">
        <v>5043</v>
      </c>
      <c r="AC841" s="35">
        <v>1484</v>
      </c>
      <c r="AD841" s="35">
        <v>1484</v>
      </c>
      <c r="AE841" s="27"/>
      <c r="AF841" s="27"/>
      <c r="AG841" s="28"/>
      <c r="AH841" s="28"/>
      <c r="AK841" s="17">
        <v>0</v>
      </c>
    </row>
    <row r="842" spans="1:38" ht="12.75" customHeight="1">
      <c r="A842" s="121" t="s">
        <v>970</v>
      </c>
      <c r="B842" s="17" t="s">
        <v>957</v>
      </c>
      <c r="C842" s="27">
        <v>88</v>
      </c>
      <c r="D842" s="20" t="s">
        <v>196</v>
      </c>
      <c r="E842" s="28">
        <v>0</v>
      </c>
      <c r="F842" s="28" t="s">
        <v>958</v>
      </c>
      <c r="G842" s="28" t="s">
        <v>969</v>
      </c>
      <c r="H842" s="28" t="s">
        <v>932</v>
      </c>
      <c r="I842" s="59" t="b">
        <v>0</v>
      </c>
      <c r="J842" s="17" t="s">
        <v>43</v>
      </c>
      <c r="K842" s="17" t="s">
        <v>817</v>
      </c>
      <c r="L842" s="121" t="s">
        <v>39</v>
      </c>
      <c r="M842" s="121"/>
      <c r="O842" s="21" t="s">
        <v>960</v>
      </c>
      <c r="P842" s="123">
        <v>-64.024060000000006</v>
      </c>
      <c r="Q842" s="123">
        <v>-57.722050000000003</v>
      </c>
      <c r="S842" s="22">
        <v>255</v>
      </c>
      <c r="T842" s="22">
        <v>0</v>
      </c>
      <c r="U842" s="23">
        <v>780</v>
      </c>
      <c r="V842" s="7" t="s">
        <v>2435</v>
      </c>
      <c r="W842" s="44" t="s">
        <v>2463</v>
      </c>
      <c r="X842" s="22">
        <f t="shared" si="23"/>
        <v>255</v>
      </c>
      <c r="AB842" s="36">
        <v>8601</v>
      </c>
      <c r="AC842" s="36">
        <v>444</v>
      </c>
      <c r="AD842" s="36">
        <v>444</v>
      </c>
      <c r="AE842" s="28"/>
      <c r="AF842" s="28"/>
      <c r="AG842" s="28"/>
      <c r="AH842" s="28"/>
      <c r="AK842" s="22">
        <v>0</v>
      </c>
    </row>
    <row r="843" spans="1:38" ht="12.75" customHeight="1">
      <c r="A843" s="121" t="s">
        <v>970</v>
      </c>
      <c r="B843" s="19" t="s">
        <v>957</v>
      </c>
      <c r="C843" s="27">
        <v>88</v>
      </c>
      <c r="D843" s="20" t="s">
        <v>196</v>
      </c>
      <c r="E843" s="33">
        <v>0</v>
      </c>
      <c r="F843" s="33" t="s">
        <v>958</v>
      </c>
      <c r="G843" s="33" t="s">
        <v>969</v>
      </c>
      <c r="H843" s="33" t="s">
        <v>932</v>
      </c>
      <c r="I843" s="17" t="b">
        <v>0</v>
      </c>
      <c r="J843" s="17" t="s">
        <v>64</v>
      </c>
      <c r="K843" s="17" t="s">
        <v>817</v>
      </c>
      <c r="L843" s="121" t="s">
        <v>39</v>
      </c>
      <c r="M843" s="121"/>
      <c r="O843" s="21" t="s">
        <v>960</v>
      </c>
      <c r="P843" s="122">
        <v>-64.024060000000006</v>
      </c>
      <c r="Q843" s="122">
        <v>-57.722050000000003</v>
      </c>
      <c r="R843" s="22"/>
      <c r="S843" s="22">
        <v>255</v>
      </c>
      <c r="T843" s="22">
        <v>0</v>
      </c>
      <c r="U843" s="23">
        <v>780</v>
      </c>
      <c r="V843" s="7" t="s">
        <v>2435</v>
      </c>
      <c r="W843" s="44" t="s">
        <v>2463</v>
      </c>
      <c r="X843" s="22">
        <f t="shared" si="23"/>
        <v>255</v>
      </c>
      <c r="Y843" s="22"/>
      <c r="Z843" s="22"/>
      <c r="AB843" s="35">
        <v>7268</v>
      </c>
      <c r="AC843" s="35">
        <v>468</v>
      </c>
      <c r="AD843" s="35">
        <v>468</v>
      </c>
      <c r="AE843" s="27"/>
      <c r="AF843" s="27"/>
      <c r="AG843" s="28"/>
      <c r="AH843" s="28"/>
      <c r="AK843" s="17">
        <v>0</v>
      </c>
    </row>
    <row r="844" spans="1:38" ht="12.75" customHeight="1">
      <c r="A844" s="121" t="s">
        <v>971</v>
      </c>
      <c r="B844" s="17" t="s">
        <v>957</v>
      </c>
      <c r="C844" s="27">
        <v>88</v>
      </c>
      <c r="D844" s="20" t="s">
        <v>196</v>
      </c>
      <c r="E844" s="28">
        <v>0</v>
      </c>
      <c r="F844" s="28" t="s">
        <v>958</v>
      </c>
      <c r="G844" s="28" t="s">
        <v>969</v>
      </c>
      <c r="H844" s="28" t="s">
        <v>932</v>
      </c>
      <c r="I844" s="59" t="b">
        <v>0</v>
      </c>
      <c r="J844" s="17" t="s">
        <v>43</v>
      </c>
      <c r="K844" s="17" t="s">
        <v>817</v>
      </c>
      <c r="L844" s="121" t="s">
        <v>39</v>
      </c>
      <c r="M844" s="121"/>
      <c r="O844" s="21" t="s">
        <v>960</v>
      </c>
      <c r="P844" s="123">
        <v>-64.011390000000006</v>
      </c>
      <c r="Q844" s="123">
        <v>-57.704160000000002</v>
      </c>
      <c r="S844" s="22">
        <v>230</v>
      </c>
      <c r="T844" s="22">
        <v>0</v>
      </c>
      <c r="U844" s="23">
        <v>780</v>
      </c>
      <c r="V844" s="7" t="s">
        <v>2435</v>
      </c>
      <c r="W844" s="44" t="s">
        <v>2463</v>
      </c>
      <c r="X844" s="22">
        <f t="shared" si="23"/>
        <v>230</v>
      </c>
      <c r="AB844" s="36">
        <v>8584</v>
      </c>
      <c r="AC844" s="36">
        <v>798</v>
      </c>
      <c r="AD844" s="36">
        <v>798</v>
      </c>
      <c r="AE844" s="28"/>
      <c r="AF844" s="28"/>
      <c r="AG844" s="28"/>
      <c r="AH844" s="28"/>
      <c r="AK844" s="22">
        <v>0</v>
      </c>
    </row>
    <row r="845" spans="1:38" ht="12.75" customHeight="1">
      <c r="A845" s="121" t="s">
        <v>971</v>
      </c>
      <c r="B845" s="19" t="s">
        <v>957</v>
      </c>
      <c r="C845" s="27">
        <v>88</v>
      </c>
      <c r="D845" s="20" t="s">
        <v>196</v>
      </c>
      <c r="E845" s="33">
        <v>0</v>
      </c>
      <c r="F845" s="33" t="s">
        <v>958</v>
      </c>
      <c r="G845" s="33" t="s">
        <v>969</v>
      </c>
      <c r="H845" s="33" t="s">
        <v>932</v>
      </c>
      <c r="I845" s="17" t="b">
        <v>0</v>
      </c>
      <c r="J845" s="17" t="s">
        <v>64</v>
      </c>
      <c r="K845" s="17" t="s">
        <v>817</v>
      </c>
      <c r="L845" s="121" t="s">
        <v>39</v>
      </c>
      <c r="M845" s="121"/>
      <c r="O845" s="21" t="s">
        <v>960</v>
      </c>
      <c r="P845" s="122">
        <v>-64.011390000000006</v>
      </c>
      <c r="Q845" s="122">
        <v>-57.704160000000002</v>
      </c>
      <c r="R845" s="22"/>
      <c r="S845" s="22">
        <v>230</v>
      </c>
      <c r="T845" s="22">
        <v>0</v>
      </c>
      <c r="U845" s="23">
        <v>780</v>
      </c>
      <c r="V845" s="7" t="s">
        <v>2435</v>
      </c>
      <c r="W845" s="44" t="s">
        <v>2463</v>
      </c>
      <c r="X845" s="22">
        <f t="shared" si="23"/>
        <v>230</v>
      </c>
      <c r="Y845" s="22"/>
      <c r="Z845" s="22"/>
      <c r="AB845" s="35">
        <v>6511</v>
      </c>
      <c r="AC845" s="35">
        <v>705</v>
      </c>
      <c r="AD845" s="35">
        <v>705</v>
      </c>
      <c r="AE845" s="27"/>
      <c r="AF845" s="27"/>
      <c r="AG845" s="28"/>
      <c r="AH845" s="28"/>
      <c r="AK845" s="17">
        <v>0</v>
      </c>
    </row>
    <row r="846" spans="1:38" ht="12.75" customHeight="1">
      <c r="A846" s="121" t="s">
        <v>972</v>
      </c>
      <c r="B846" s="17" t="s">
        <v>963</v>
      </c>
      <c r="C846" s="27">
        <v>88</v>
      </c>
      <c r="D846" s="20" t="s">
        <v>196</v>
      </c>
      <c r="E846" s="17">
        <v>0</v>
      </c>
      <c r="F846" s="17" t="s">
        <v>958</v>
      </c>
      <c r="G846" s="17" t="s">
        <v>969</v>
      </c>
      <c r="H846" s="17" t="s">
        <v>932</v>
      </c>
      <c r="I846" s="59" t="b">
        <v>0</v>
      </c>
      <c r="J846" s="17" t="s">
        <v>43</v>
      </c>
      <c r="K846" s="17" t="s">
        <v>817</v>
      </c>
      <c r="L846" s="121" t="s">
        <v>39</v>
      </c>
      <c r="M846" s="121"/>
      <c r="O846" s="21" t="s">
        <v>960</v>
      </c>
      <c r="P846" s="124">
        <v>-63.8962</v>
      </c>
      <c r="Q846" s="124">
        <v>-57.60642</v>
      </c>
      <c r="S846" s="22">
        <v>183</v>
      </c>
      <c r="T846" s="22">
        <v>0</v>
      </c>
      <c r="U846" s="23">
        <v>780</v>
      </c>
      <c r="V846" s="7" t="s">
        <v>2435</v>
      </c>
      <c r="W846" s="44" t="s">
        <v>2463</v>
      </c>
      <c r="X846" s="22">
        <f t="shared" si="23"/>
        <v>183</v>
      </c>
      <c r="AB846" s="35">
        <v>8122</v>
      </c>
      <c r="AC846" s="35">
        <v>689</v>
      </c>
      <c r="AD846" s="35">
        <v>689</v>
      </c>
      <c r="AK846" s="22">
        <v>0</v>
      </c>
    </row>
    <row r="847" spans="1:38" ht="12.75" customHeight="1">
      <c r="A847" s="121" t="s">
        <v>972</v>
      </c>
      <c r="B847" s="17" t="s">
        <v>963</v>
      </c>
      <c r="C847" s="27">
        <v>88</v>
      </c>
      <c r="D847" s="20" t="s">
        <v>196</v>
      </c>
      <c r="E847" s="17">
        <v>0</v>
      </c>
      <c r="F847" s="17" t="s">
        <v>958</v>
      </c>
      <c r="G847" s="17" t="s">
        <v>969</v>
      </c>
      <c r="H847" s="17" t="s">
        <v>932</v>
      </c>
      <c r="I847" s="59" t="b">
        <v>0</v>
      </c>
      <c r="J847" s="17" t="s">
        <v>64</v>
      </c>
      <c r="K847" s="17" t="s">
        <v>817</v>
      </c>
      <c r="L847" s="121" t="s">
        <v>39</v>
      </c>
      <c r="M847" s="121"/>
      <c r="O847" s="21" t="s">
        <v>960</v>
      </c>
      <c r="P847" s="124">
        <v>-63.8962</v>
      </c>
      <c r="Q847" s="124">
        <v>-57.60642</v>
      </c>
      <c r="S847" s="22">
        <v>183</v>
      </c>
      <c r="T847" s="22">
        <v>0</v>
      </c>
      <c r="U847" s="23">
        <v>780</v>
      </c>
      <c r="V847" s="7" t="s">
        <v>2435</v>
      </c>
      <c r="W847" s="44" t="s">
        <v>2463</v>
      </c>
      <c r="X847" s="22">
        <f t="shared" si="23"/>
        <v>183</v>
      </c>
      <c r="AB847" s="35">
        <v>7659</v>
      </c>
      <c r="AC847" s="35">
        <v>534</v>
      </c>
      <c r="AD847" s="35">
        <v>534</v>
      </c>
      <c r="AK847" s="22">
        <v>0</v>
      </c>
    </row>
    <row r="848" spans="1:38" ht="12.75" customHeight="1">
      <c r="A848" s="121" t="s">
        <v>973</v>
      </c>
      <c r="B848" s="17" t="s">
        <v>966</v>
      </c>
      <c r="C848" s="27">
        <v>88</v>
      </c>
      <c r="D848" s="20" t="s">
        <v>196</v>
      </c>
      <c r="E848" s="22">
        <v>0</v>
      </c>
      <c r="F848" s="17" t="s">
        <v>958</v>
      </c>
      <c r="G848" s="17" t="s">
        <v>969</v>
      </c>
      <c r="H848" s="17" t="s">
        <v>932</v>
      </c>
      <c r="I848" s="59" t="b">
        <v>0</v>
      </c>
      <c r="J848" s="17" t="s">
        <v>43</v>
      </c>
      <c r="K848" s="17" t="s">
        <v>817</v>
      </c>
      <c r="L848" s="121" t="s">
        <v>39</v>
      </c>
      <c r="M848" s="121"/>
      <c r="O848" s="21" t="s">
        <v>960</v>
      </c>
      <c r="P848" s="125">
        <v>-63.98274</v>
      </c>
      <c r="Q848" s="125">
        <v>-57.603810000000003</v>
      </c>
      <c r="S848" s="22">
        <v>35</v>
      </c>
      <c r="T848" s="22">
        <v>0</v>
      </c>
      <c r="U848" s="23">
        <v>780</v>
      </c>
      <c r="V848" s="7" t="s">
        <v>2435</v>
      </c>
      <c r="W848" s="44" t="s">
        <v>2463</v>
      </c>
      <c r="X848" s="22">
        <f t="shared" si="23"/>
        <v>35</v>
      </c>
      <c r="AB848" s="126">
        <v>8119</v>
      </c>
      <c r="AC848" s="126">
        <v>429</v>
      </c>
      <c r="AD848" s="126">
        <v>429</v>
      </c>
      <c r="AK848" s="22">
        <v>1</v>
      </c>
      <c r="AL848" s="17" t="s">
        <v>974</v>
      </c>
    </row>
    <row r="849" spans="1:37" ht="12.75" customHeight="1">
      <c r="A849" s="64" t="s">
        <v>975</v>
      </c>
      <c r="B849" s="19" t="s">
        <v>976</v>
      </c>
      <c r="C849" s="17">
        <v>89</v>
      </c>
      <c r="D849" s="20" t="s">
        <v>196</v>
      </c>
      <c r="E849" s="33">
        <v>0</v>
      </c>
      <c r="F849" s="33" t="s">
        <v>958</v>
      </c>
      <c r="G849" s="33" t="s">
        <v>977</v>
      </c>
      <c r="H849" s="33" t="s">
        <v>932</v>
      </c>
      <c r="I849" s="17" t="b">
        <v>0</v>
      </c>
      <c r="J849" s="17" t="s">
        <v>43</v>
      </c>
      <c r="K849" s="21" t="str">
        <f t="shared" ref="K849:K872" si="24">CONCATENATE("https://version2.ice-d.org/antarctica/sample/", A849, "/")</f>
        <v>https://version2.ice-d.org/antarctica/sample/G2014-JRI-26/</v>
      </c>
      <c r="L849" s="64" t="s">
        <v>39</v>
      </c>
      <c r="M849" s="64"/>
      <c r="O849" s="127" t="s">
        <v>978</v>
      </c>
      <c r="P849" s="79">
        <v>-63.908090000000001</v>
      </c>
      <c r="Q849" s="79">
        <v>-57.892890000000001</v>
      </c>
      <c r="S849" s="79">
        <v>170</v>
      </c>
      <c r="T849" s="22">
        <v>0</v>
      </c>
      <c r="U849" s="23">
        <v>780</v>
      </c>
      <c r="V849" s="7" t="s">
        <v>2435</v>
      </c>
      <c r="W849" s="44" t="s">
        <v>2463</v>
      </c>
      <c r="X849" s="22">
        <f t="shared" si="23"/>
        <v>170</v>
      </c>
      <c r="Y849" s="22"/>
      <c r="Z849" s="22"/>
      <c r="AB849" s="81">
        <v>6732</v>
      </c>
      <c r="AC849" s="81">
        <v>365</v>
      </c>
      <c r="AD849" s="60">
        <v>540</v>
      </c>
      <c r="AE849" s="22"/>
      <c r="AF849" s="27"/>
      <c r="AG849" s="28"/>
      <c r="AH849" s="28"/>
      <c r="AK849" s="17">
        <v>0</v>
      </c>
    </row>
    <row r="850" spans="1:37" ht="12.75" customHeight="1">
      <c r="A850" s="64" t="s">
        <v>975</v>
      </c>
      <c r="B850" s="19" t="s">
        <v>976</v>
      </c>
      <c r="C850" s="17">
        <v>89</v>
      </c>
      <c r="D850" s="20" t="s">
        <v>196</v>
      </c>
      <c r="E850" s="33">
        <v>0</v>
      </c>
      <c r="F850" s="33" t="s">
        <v>958</v>
      </c>
      <c r="G850" s="33" t="s">
        <v>977</v>
      </c>
      <c r="H850" s="33" t="s">
        <v>932</v>
      </c>
      <c r="I850" s="17" t="b">
        <v>0</v>
      </c>
      <c r="J850" s="17" t="s">
        <v>64</v>
      </c>
      <c r="K850" s="21" t="str">
        <f t="shared" si="24"/>
        <v>https://version2.ice-d.org/antarctica/sample/G2014-JRI-26/</v>
      </c>
      <c r="L850" s="64" t="s">
        <v>39</v>
      </c>
      <c r="M850" s="64"/>
      <c r="O850" s="127" t="s">
        <v>978</v>
      </c>
      <c r="P850" s="79">
        <v>-63.908090000000001</v>
      </c>
      <c r="Q850" s="79">
        <v>-57.892890000000001</v>
      </c>
      <c r="S850" s="79">
        <v>170</v>
      </c>
      <c r="T850" s="22">
        <v>0</v>
      </c>
      <c r="U850" s="23">
        <v>780</v>
      </c>
      <c r="V850" s="7" t="s">
        <v>2435</v>
      </c>
      <c r="W850" s="44" t="s">
        <v>2463</v>
      </c>
      <c r="X850" s="22">
        <f t="shared" si="23"/>
        <v>170</v>
      </c>
      <c r="Y850" s="22"/>
      <c r="Z850" s="22"/>
      <c r="AB850" s="81">
        <v>7551</v>
      </c>
      <c r="AC850" s="81">
        <v>487</v>
      </c>
      <c r="AD850" s="60">
        <v>814</v>
      </c>
      <c r="AE850" s="22"/>
      <c r="AF850" s="27"/>
      <c r="AG850" s="28"/>
      <c r="AH850" s="28"/>
      <c r="AK850" s="17">
        <v>0</v>
      </c>
    </row>
    <row r="851" spans="1:37" ht="12.75" customHeight="1">
      <c r="A851" s="64" t="s">
        <v>979</v>
      </c>
      <c r="B851" s="19" t="s">
        <v>980</v>
      </c>
      <c r="C851" s="17">
        <v>89</v>
      </c>
      <c r="D851" s="20" t="s">
        <v>196</v>
      </c>
      <c r="E851" s="33">
        <v>0</v>
      </c>
      <c r="F851" s="33" t="s">
        <v>958</v>
      </c>
      <c r="G851" s="33" t="s">
        <v>977</v>
      </c>
      <c r="H851" s="33" t="s">
        <v>932</v>
      </c>
      <c r="I851" s="17" t="b">
        <v>0</v>
      </c>
      <c r="J851" s="17" t="s">
        <v>43</v>
      </c>
      <c r="K851" s="21" t="str">
        <f t="shared" si="24"/>
        <v>https://version2.ice-d.org/antarctica/sample/G2014-JRI-29/</v>
      </c>
      <c r="L851" s="64" t="s">
        <v>39</v>
      </c>
      <c r="M851" s="64"/>
      <c r="O851" s="127" t="s">
        <v>978</v>
      </c>
      <c r="P851" s="79">
        <v>-63.935960000000001</v>
      </c>
      <c r="Q851" s="79">
        <v>-57.812150000000003</v>
      </c>
      <c r="S851" s="79">
        <v>25</v>
      </c>
      <c r="T851" s="22">
        <v>0</v>
      </c>
      <c r="U851" s="23">
        <v>780</v>
      </c>
      <c r="V851" s="7" t="s">
        <v>2435</v>
      </c>
      <c r="W851" s="44" t="s">
        <v>2463</v>
      </c>
      <c r="X851" s="22">
        <f t="shared" si="23"/>
        <v>25</v>
      </c>
      <c r="Y851" s="22"/>
      <c r="Z851" s="22"/>
      <c r="AB851" s="81">
        <v>6528</v>
      </c>
      <c r="AC851" s="81">
        <v>382</v>
      </c>
      <c r="AD851" s="60">
        <v>543</v>
      </c>
      <c r="AE851" s="22"/>
      <c r="AF851" s="27"/>
      <c r="AG851" s="28"/>
      <c r="AH851" s="28"/>
      <c r="AK851" s="17">
        <v>0</v>
      </c>
    </row>
    <row r="852" spans="1:37" ht="12.75" customHeight="1">
      <c r="A852" s="64" t="s">
        <v>979</v>
      </c>
      <c r="B852" s="19" t="s">
        <v>980</v>
      </c>
      <c r="C852" s="17">
        <v>89</v>
      </c>
      <c r="D852" s="20" t="s">
        <v>196</v>
      </c>
      <c r="E852" s="33">
        <v>0</v>
      </c>
      <c r="F852" s="33" t="s">
        <v>958</v>
      </c>
      <c r="G852" s="33" t="s">
        <v>977</v>
      </c>
      <c r="H852" s="33" t="s">
        <v>932</v>
      </c>
      <c r="I852" s="17" t="b">
        <v>0</v>
      </c>
      <c r="J852" s="17" t="s">
        <v>64</v>
      </c>
      <c r="K852" s="21" t="str">
        <f t="shared" si="24"/>
        <v>https://version2.ice-d.org/antarctica/sample/G2014-JRI-29/</v>
      </c>
      <c r="L852" s="64" t="s">
        <v>39</v>
      </c>
      <c r="M852" s="64"/>
      <c r="O852" s="127" t="s">
        <v>978</v>
      </c>
      <c r="P852" s="79">
        <v>-63.935960000000001</v>
      </c>
      <c r="Q852" s="79">
        <v>-57.812150000000003</v>
      </c>
      <c r="S852" s="79">
        <v>25</v>
      </c>
      <c r="T852" s="22">
        <v>0</v>
      </c>
      <c r="U852" s="23">
        <v>780</v>
      </c>
      <c r="V852" s="7" t="s">
        <v>2435</v>
      </c>
      <c r="W852" s="44" t="s">
        <v>2463</v>
      </c>
      <c r="X852" s="22">
        <f t="shared" si="23"/>
        <v>25</v>
      </c>
      <c r="Y852" s="22"/>
      <c r="Z852" s="22"/>
      <c r="AB852" s="81">
        <v>6197</v>
      </c>
      <c r="AC852" s="81">
        <v>726</v>
      </c>
      <c r="AD852" s="60">
        <v>902</v>
      </c>
      <c r="AE852" s="22"/>
      <c r="AF852" s="27"/>
      <c r="AG852" s="28"/>
      <c r="AH852" s="28"/>
      <c r="AK852" s="17">
        <v>0</v>
      </c>
    </row>
    <row r="853" spans="1:37" ht="12.75" customHeight="1">
      <c r="A853" s="64" t="s">
        <v>981</v>
      </c>
      <c r="B853" s="19" t="s">
        <v>982</v>
      </c>
      <c r="C853" s="17">
        <v>90</v>
      </c>
      <c r="D853" s="20" t="s">
        <v>196</v>
      </c>
      <c r="E853" s="33">
        <v>0</v>
      </c>
      <c r="F853" s="33" t="s">
        <v>958</v>
      </c>
      <c r="G853" s="33" t="s">
        <v>977</v>
      </c>
      <c r="H853" s="33" t="s">
        <v>932</v>
      </c>
      <c r="I853" s="17" t="b">
        <v>0</v>
      </c>
      <c r="J853" s="17" t="s">
        <v>43</v>
      </c>
      <c r="K853" s="21" t="str">
        <f t="shared" si="24"/>
        <v>https://version2.ice-d.org/antarctica/sample/G2014-JRI-50/</v>
      </c>
      <c r="L853" s="64" t="s">
        <v>39</v>
      </c>
      <c r="M853" s="64"/>
      <c r="O853" s="127" t="s">
        <v>978</v>
      </c>
      <c r="P853" s="79">
        <v>-63.835920000000002</v>
      </c>
      <c r="Q853" s="79">
        <v>-57.871079999999999</v>
      </c>
      <c r="S853" s="79">
        <v>370</v>
      </c>
      <c r="T853" s="22">
        <v>0</v>
      </c>
      <c r="U853" s="23">
        <v>780</v>
      </c>
      <c r="V853" s="7" t="s">
        <v>2435</v>
      </c>
      <c r="W853" s="44" t="s">
        <v>2463</v>
      </c>
      <c r="X853" s="22">
        <f t="shared" si="23"/>
        <v>370</v>
      </c>
      <c r="Y853" s="22"/>
      <c r="Z853" s="22"/>
      <c r="AB853" s="81">
        <v>14871</v>
      </c>
      <c r="AC853" s="81">
        <v>658</v>
      </c>
      <c r="AD853" s="60">
        <v>1099</v>
      </c>
      <c r="AE853" s="22"/>
      <c r="AF853" s="27"/>
      <c r="AG853" s="28"/>
      <c r="AH853" s="28"/>
      <c r="AK853" s="17">
        <v>0</v>
      </c>
    </row>
    <row r="854" spans="1:37" ht="12.75" customHeight="1">
      <c r="A854" s="64" t="s">
        <v>981</v>
      </c>
      <c r="B854" s="19" t="s">
        <v>982</v>
      </c>
      <c r="C854" s="17">
        <v>90</v>
      </c>
      <c r="D854" s="20" t="s">
        <v>196</v>
      </c>
      <c r="E854" s="33">
        <v>0</v>
      </c>
      <c r="F854" s="33" t="s">
        <v>958</v>
      </c>
      <c r="G854" s="33" t="s">
        <v>977</v>
      </c>
      <c r="H854" s="33" t="s">
        <v>932</v>
      </c>
      <c r="I854" s="17" t="b">
        <v>0</v>
      </c>
      <c r="J854" s="17" t="s">
        <v>64</v>
      </c>
      <c r="K854" s="21" t="str">
        <f t="shared" si="24"/>
        <v>https://version2.ice-d.org/antarctica/sample/G2014-JRI-50/</v>
      </c>
      <c r="L854" s="64" t="s">
        <v>39</v>
      </c>
      <c r="M854" s="64"/>
      <c r="O854" s="127" t="s">
        <v>978</v>
      </c>
      <c r="P854" s="79">
        <v>-63.835920000000002</v>
      </c>
      <c r="Q854" s="79">
        <v>-57.871079999999999</v>
      </c>
      <c r="S854" s="79">
        <v>370</v>
      </c>
      <c r="T854" s="22">
        <v>0</v>
      </c>
      <c r="U854" s="23">
        <v>780</v>
      </c>
      <c r="V854" s="7" t="s">
        <v>2435</v>
      </c>
      <c r="W854" s="44" t="s">
        <v>2463</v>
      </c>
      <c r="X854" s="22">
        <f t="shared" si="23"/>
        <v>370</v>
      </c>
      <c r="Y854" s="22"/>
      <c r="Z854" s="22"/>
      <c r="AB854" s="81">
        <v>16413</v>
      </c>
      <c r="AC854" s="81">
        <v>614</v>
      </c>
      <c r="AD854" s="60">
        <v>1550</v>
      </c>
      <c r="AE854" s="22"/>
      <c r="AF854" s="27"/>
      <c r="AG854" s="28"/>
      <c r="AH854" s="28"/>
      <c r="AK854" s="17">
        <v>0</v>
      </c>
    </row>
    <row r="855" spans="1:37" ht="12.75" customHeight="1">
      <c r="A855" s="64" t="s">
        <v>983</v>
      </c>
      <c r="B855" s="19" t="s">
        <v>982</v>
      </c>
      <c r="C855" s="17">
        <v>90</v>
      </c>
      <c r="D855" s="20" t="s">
        <v>196</v>
      </c>
      <c r="E855" s="33">
        <v>0</v>
      </c>
      <c r="F855" s="33" t="s">
        <v>958</v>
      </c>
      <c r="G855" s="33" t="s">
        <v>977</v>
      </c>
      <c r="H855" s="33" t="s">
        <v>932</v>
      </c>
      <c r="I855" s="17" t="b">
        <v>0</v>
      </c>
      <c r="J855" s="17" t="s">
        <v>43</v>
      </c>
      <c r="K855" s="21" t="str">
        <f t="shared" si="24"/>
        <v>https://version2.ice-d.org/antarctica/sample/G2014-JRI-49/</v>
      </c>
      <c r="L855" s="64" t="s">
        <v>39</v>
      </c>
      <c r="M855" s="64"/>
      <c r="O855" s="127" t="s">
        <v>978</v>
      </c>
      <c r="P855" s="79">
        <v>-63.832079999999998</v>
      </c>
      <c r="Q855" s="79">
        <v>-57.873600000000003</v>
      </c>
      <c r="S855" s="79">
        <v>360</v>
      </c>
      <c r="T855" s="22">
        <v>0</v>
      </c>
      <c r="U855" s="23">
        <v>780</v>
      </c>
      <c r="V855" s="7" t="s">
        <v>2435</v>
      </c>
      <c r="W855" s="44" t="s">
        <v>2463</v>
      </c>
      <c r="X855" s="22">
        <f t="shared" si="23"/>
        <v>360</v>
      </c>
      <c r="Y855" s="22"/>
      <c r="Z855" s="22"/>
      <c r="AB855" s="128">
        <v>19058</v>
      </c>
      <c r="AC855" s="128">
        <v>930</v>
      </c>
      <c r="AD855" s="60">
        <v>1463</v>
      </c>
      <c r="AE855" s="22"/>
      <c r="AF855" s="27"/>
      <c r="AG855" s="28"/>
      <c r="AH855" s="28"/>
      <c r="AK855" s="17">
        <v>0</v>
      </c>
    </row>
    <row r="856" spans="1:37" ht="12.75" customHeight="1">
      <c r="A856" s="64" t="s">
        <v>983</v>
      </c>
      <c r="B856" s="19" t="s">
        <v>982</v>
      </c>
      <c r="C856" s="17">
        <v>90</v>
      </c>
      <c r="D856" s="20" t="s">
        <v>196</v>
      </c>
      <c r="E856" s="33">
        <v>0</v>
      </c>
      <c r="F856" s="33" t="s">
        <v>958</v>
      </c>
      <c r="G856" s="33" t="s">
        <v>977</v>
      </c>
      <c r="H856" s="33" t="s">
        <v>932</v>
      </c>
      <c r="I856" s="17" t="b">
        <v>0</v>
      </c>
      <c r="J856" s="17" t="s">
        <v>64</v>
      </c>
      <c r="K856" s="21" t="str">
        <f t="shared" si="24"/>
        <v>https://version2.ice-d.org/antarctica/sample/G2014-JRI-49/</v>
      </c>
      <c r="L856" s="64" t="s">
        <v>39</v>
      </c>
      <c r="M856" s="64"/>
      <c r="O856" s="127" t="s">
        <v>978</v>
      </c>
      <c r="P856" s="79">
        <v>-63.832079999999998</v>
      </c>
      <c r="Q856" s="79">
        <v>-57.873600000000003</v>
      </c>
      <c r="S856" s="79">
        <v>360</v>
      </c>
      <c r="T856" s="22">
        <v>0</v>
      </c>
      <c r="U856" s="23">
        <v>780</v>
      </c>
      <c r="V856" s="7" t="s">
        <v>2435</v>
      </c>
      <c r="W856" s="44" t="s">
        <v>2463</v>
      </c>
      <c r="X856" s="22">
        <f t="shared" si="23"/>
        <v>360</v>
      </c>
      <c r="Y856" s="22"/>
      <c r="Z856" s="22"/>
      <c r="AB856" s="81">
        <v>16315</v>
      </c>
      <c r="AC856" s="81">
        <v>2221</v>
      </c>
      <c r="AD856" s="60">
        <v>2633</v>
      </c>
      <c r="AE856" s="22"/>
      <c r="AF856" s="27"/>
      <c r="AG856" s="28"/>
      <c r="AH856" s="28"/>
      <c r="AK856" s="17">
        <v>0</v>
      </c>
    </row>
    <row r="857" spans="1:37" ht="12.75" customHeight="1">
      <c r="A857" s="120" t="s">
        <v>984</v>
      </c>
      <c r="B857" s="19" t="s">
        <v>985</v>
      </c>
      <c r="C857" s="17">
        <v>90</v>
      </c>
      <c r="D857" s="20" t="s">
        <v>196</v>
      </c>
      <c r="E857" s="19">
        <v>0</v>
      </c>
      <c r="F857" s="19" t="s">
        <v>958</v>
      </c>
      <c r="G857" s="33" t="s">
        <v>977</v>
      </c>
      <c r="H857" s="19" t="s">
        <v>932</v>
      </c>
      <c r="I857" s="17" t="b">
        <v>0</v>
      </c>
      <c r="J857" s="17" t="s">
        <v>43</v>
      </c>
      <c r="K857" s="21" t="str">
        <f t="shared" si="24"/>
        <v>https://version2.ice-d.org/antarctica/sample/J2011-JOH-04/</v>
      </c>
      <c r="L857" s="45" t="s">
        <v>39</v>
      </c>
      <c r="M857" s="120"/>
      <c r="O857" s="17" t="s">
        <v>986</v>
      </c>
      <c r="P857" s="17">
        <v>-63.830300000000001</v>
      </c>
      <c r="Q857" s="17">
        <v>-57.909300000000002</v>
      </c>
      <c r="S857" s="17">
        <v>263</v>
      </c>
      <c r="T857" s="22">
        <v>0</v>
      </c>
      <c r="U857" s="23">
        <v>780</v>
      </c>
      <c r="V857" s="7" t="s">
        <v>2435</v>
      </c>
      <c r="W857" s="44" t="s">
        <v>2463</v>
      </c>
      <c r="X857" s="22">
        <f t="shared" si="23"/>
        <v>263</v>
      </c>
      <c r="Y857" s="22"/>
      <c r="Z857" s="22"/>
      <c r="AB857" s="81">
        <v>7079</v>
      </c>
      <c r="AC857" s="81">
        <v>328</v>
      </c>
      <c r="AD857" s="60">
        <v>531</v>
      </c>
      <c r="AE857" s="27"/>
      <c r="AF857" s="27"/>
      <c r="AG857" s="28"/>
      <c r="AH857" s="28"/>
      <c r="AK857" s="17">
        <v>0</v>
      </c>
    </row>
    <row r="858" spans="1:37" ht="12.75" customHeight="1">
      <c r="A858" s="120" t="s">
        <v>984</v>
      </c>
      <c r="B858" s="19" t="s">
        <v>985</v>
      </c>
      <c r="C858" s="17">
        <v>90</v>
      </c>
      <c r="D858" s="20" t="s">
        <v>196</v>
      </c>
      <c r="E858" s="19">
        <v>0</v>
      </c>
      <c r="F858" s="19" t="s">
        <v>958</v>
      </c>
      <c r="G858" s="33" t="s">
        <v>977</v>
      </c>
      <c r="H858" s="19" t="s">
        <v>932</v>
      </c>
      <c r="I858" s="17" t="b">
        <v>0</v>
      </c>
      <c r="J858" s="17" t="s">
        <v>64</v>
      </c>
      <c r="K858" s="21" t="str">
        <f t="shared" si="24"/>
        <v>https://version2.ice-d.org/antarctica/sample/J2011-JOH-04/</v>
      </c>
      <c r="L858" s="45" t="s">
        <v>39</v>
      </c>
      <c r="M858" s="120"/>
      <c r="O858" s="17" t="s">
        <v>986</v>
      </c>
      <c r="P858" s="17">
        <v>-63.830300000000001</v>
      </c>
      <c r="Q858" s="17">
        <v>-57.909300000000002</v>
      </c>
      <c r="S858" s="17">
        <v>263</v>
      </c>
      <c r="T858" s="22">
        <v>0</v>
      </c>
      <c r="U858" s="23">
        <v>780</v>
      </c>
      <c r="V858" s="7" t="s">
        <v>2435</v>
      </c>
      <c r="W858" s="44" t="s">
        <v>2463</v>
      </c>
      <c r="X858" s="22">
        <f t="shared" si="23"/>
        <v>263</v>
      </c>
      <c r="Y858" s="22"/>
      <c r="Z858" s="22"/>
      <c r="AB858" s="81">
        <v>9518</v>
      </c>
      <c r="AC858" s="81">
        <v>656</v>
      </c>
      <c r="AD858" s="60">
        <v>1052</v>
      </c>
      <c r="AE858" s="27"/>
      <c r="AF858" s="27"/>
      <c r="AG858" s="28"/>
      <c r="AH858" s="28"/>
      <c r="AK858" s="17">
        <v>0</v>
      </c>
    </row>
    <row r="859" spans="1:37" ht="12.75" customHeight="1">
      <c r="A859" s="120" t="s">
        <v>987</v>
      </c>
      <c r="B859" s="19" t="s">
        <v>985</v>
      </c>
      <c r="C859" s="17">
        <v>90</v>
      </c>
      <c r="D859" s="20" t="s">
        <v>196</v>
      </c>
      <c r="E859" s="19">
        <v>0</v>
      </c>
      <c r="F859" s="19" t="s">
        <v>958</v>
      </c>
      <c r="G859" s="33" t="s">
        <v>977</v>
      </c>
      <c r="H859" s="19" t="s">
        <v>932</v>
      </c>
      <c r="I859" s="17" t="b">
        <v>0</v>
      </c>
      <c r="J859" s="17" t="s">
        <v>43</v>
      </c>
      <c r="K859" s="21" t="str">
        <f t="shared" si="24"/>
        <v>https://version2.ice-d.org/antarctica/sample/J2011-JOH-02/</v>
      </c>
      <c r="L859" s="45" t="s">
        <v>39</v>
      </c>
      <c r="M859" s="120"/>
      <c r="O859" s="17" t="s">
        <v>986</v>
      </c>
      <c r="P859" s="17">
        <v>-63.830300000000001</v>
      </c>
      <c r="Q859" s="17">
        <v>-57.909300000000002</v>
      </c>
      <c r="S859" s="17">
        <v>304</v>
      </c>
      <c r="T859" s="22">
        <v>0</v>
      </c>
      <c r="U859" s="23">
        <v>780</v>
      </c>
      <c r="V859" s="7" t="s">
        <v>2435</v>
      </c>
      <c r="W859" s="44" t="s">
        <v>2463</v>
      </c>
      <c r="X859" s="22">
        <f t="shared" si="23"/>
        <v>304</v>
      </c>
      <c r="Y859" s="22"/>
      <c r="Z859" s="22"/>
      <c r="AB859" s="36">
        <v>8559</v>
      </c>
      <c r="AC859" s="36">
        <v>335</v>
      </c>
      <c r="AD859" s="60">
        <v>607</v>
      </c>
      <c r="AE859" s="27"/>
      <c r="AF859" s="27"/>
      <c r="AG859" s="28"/>
      <c r="AH859" s="28"/>
      <c r="AK859" s="17">
        <v>0</v>
      </c>
    </row>
    <row r="860" spans="1:37" ht="12.75" customHeight="1">
      <c r="A860" s="97" t="s">
        <v>988</v>
      </c>
      <c r="B860" s="19" t="s">
        <v>989</v>
      </c>
      <c r="C860" s="17">
        <v>91</v>
      </c>
      <c r="D860" s="20" t="s">
        <v>196</v>
      </c>
      <c r="E860" s="19">
        <v>0</v>
      </c>
      <c r="F860" s="19" t="s">
        <v>958</v>
      </c>
      <c r="G860" s="33" t="s">
        <v>977</v>
      </c>
      <c r="H860" s="19" t="s">
        <v>932</v>
      </c>
      <c r="I860" s="17" t="b">
        <v>0</v>
      </c>
      <c r="J860" s="17" t="s">
        <v>43</v>
      </c>
      <c r="K860" s="21" t="str">
        <f t="shared" si="24"/>
        <v>https://version2.ice-d.org/antarctica/sample/J2011-LAC-02/</v>
      </c>
      <c r="L860" s="46" t="s">
        <v>39</v>
      </c>
      <c r="M860" s="191" t="s">
        <v>44</v>
      </c>
      <c r="O860" s="17" t="s">
        <v>986</v>
      </c>
      <c r="P860" s="17">
        <v>-63.789099999999998</v>
      </c>
      <c r="Q860" s="17">
        <v>-57.789099999999998</v>
      </c>
      <c r="S860" s="17">
        <v>120</v>
      </c>
      <c r="T860" s="22">
        <v>0</v>
      </c>
      <c r="U860" s="23">
        <v>780</v>
      </c>
      <c r="V860" s="7" t="s">
        <v>2435</v>
      </c>
      <c r="W860" s="44" t="s">
        <v>2463</v>
      </c>
      <c r="X860" s="22">
        <f t="shared" si="23"/>
        <v>120</v>
      </c>
      <c r="Y860" s="22"/>
      <c r="Z860" s="22"/>
      <c r="AB860" s="36">
        <v>8436</v>
      </c>
      <c r="AC860" s="36">
        <v>345</v>
      </c>
      <c r="AD860" s="60">
        <v>607</v>
      </c>
      <c r="AE860" s="27"/>
      <c r="AF860" s="27"/>
      <c r="AG860" s="28"/>
      <c r="AH860" s="28"/>
      <c r="AK860" s="17">
        <v>0</v>
      </c>
    </row>
    <row r="861" spans="1:37" ht="15.75" customHeight="1">
      <c r="A861" s="97" t="s">
        <v>990</v>
      </c>
      <c r="B861" s="19" t="s">
        <v>989</v>
      </c>
      <c r="C861" s="17">
        <v>91</v>
      </c>
      <c r="D861" s="20" t="s">
        <v>196</v>
      </c>
      <c r="E861" s="19">
        <v>0</v>
      </c>
      <c r="F861" s="19" t="s">
        <v>958</v>
      </c>
      <c r="G861" s="33" t="s">
        <v>977</v>
      </c>
      <c r="H861" s="19" t="s">
        <v>932</v>
      </c>
      <c r="I861" s="17" t="b">
        <v>0</v>
      </c>
      <c r="J861" s="17" t="s">
        <v>43</v>
      </c>
      <c r="K861" s="21" t="str">
        <f t="shared" si="24"/>
        <v>https://version2.ice-d.org/antarctica/sample/J2011-LAC-03/</v>
      </c>
      <c r="L861" s="46" t="s">
        <v>39</v>
      </c>
      <c r="M861" s="155"/>
      <c r="O861" s="17" t="s">
        <v>986</v>
      </c>
      <c r="P861" s="17">
        <v>-63.7851</v>
      </c>
      <c r="Q861" s="17">
        <v>-57.789299999999997</v>
      </c>
      <c r="S861" s="17">
        <v>122</v>
      </c>
      <c r="T861" s="22">
        <v>0</v>
      </c>
      <c r="U861" s="23">
        <v>780</v>
      </c>
      <c r="V861" s="7" t="s">
        <v>2435</v>
      </c>
      <c r="W861" s="44" t="s">
        <v>2463</v>
      </c>
      <c r="X861" s="22">
        <f t="shared" si="23"/>
        <v>122</v>
      </c>
      <c r="Y861" s="22"/>
      <c r="Z861" s="22"/>
      <c r="AB861" s="36">
        <v>8598</v>
      </c>
      <c r="AC861" s="36">
        <v>340</v>
      </c>
      <c r="AD861" s="60">
        <v>612</v>
      </c>
      <c r="AE861" s="27"/>
      <c r="AF861" s="27"/>
      <c r="AG861" s="28"/>
      <c r="AH861" s="28"/>
      <c r="AK861" s="17">
        <v>0</v>
      </c>
    </row>
    <row r="862" spans="1:37" ht="15.75" customHeight="1">
      <c r="A862" s="97" t="s">
        <v>991</v>
      </c>
      <c r="B862" s="19" t="s">
        <v>989</v>
      </c>
      <c r="C862" s="17">
        <v>91</v>
      </c>
      <c r="D862" s="20" t="s">
        <v>196</v>
      </c>
      <c r="E862" s="19">
        <v>0</v>
      </c>
      <c r="F862" s="19" t="s">
        <v>958</v>
      </c>
      <c r="G862" s="33" t="s">
        <v>977</v>
      </c>
      <c r="H862" s="19" t="s">
        <v>932</v>
      </c>
      <c r="I862" s="17" t="b">
        <v>0</v>
      </c>
      <c r="J862" s="17" t="s">
        <v>43</v>
      </c>
      <c r="K862" s="21" t="str">
        <f t="shared" si="24"/>
        <v>https://version2.ice-d.org/antarctica/sample/J2011-LAC-04/</v>
      </c>
      <c r="L862" s="46" t="s">
        <v>39</v>
      </c>
      <c r="M862" s="155"/>
      <c r="O862" s="17" t="s">
        <v>986</v>
      </c>
      <c r="P862" s="17">
        <v>-63.7851</v>
      </c>
      <c r="Q862" s="17">
        <v>-57.789299999999997</v>
      </c>
      <c r="S862" s="17">
        <v>123</v>
      </c>
      <c r="T862" s="22">
        <v>0</v>
      </c>
      <c r="U862" s="23">
        <v>780</v>
      </c>
      <c r="V862" s="7" t="s">
        <v>2435</v>
      </c>
      <c r="W862" s="44" t="s">
        <v>2463</v>
      </c>
      <c r="X862" s="22">
        <f t="shared" si="23"/>
        <v>123</v>
      </c>
      <c r="Y862" s="22"/>
      <c r="Z862" s="22"/>
      <c r="AB862" s="36">
        <v>11418</v>
      </c>
      <c r="AC862" s="36">
        <v>455</v>
      </c>
      <c r="AD862" s="60">
        <v>815</v>
      </c>
      <c r="AE862" s="27"/>
      <c r="AF862" s="27"/>
      <c r="AG862" s="28"/>
      <c r="AH862" s="28"/>
      <c r="AK862" s="17">
        <v>0</v>
      </c>
    </row>
    <row r="863" spans="1:37" ht="15.75" customHeight="1">
      <c r="A863" s="97" t="s">
        <v>992</v>
      </c>
      <c r="B863" s="19" t="s">
        <v>989</v>
      </c>
      <c r="C863" s="17">
        <v>91</v>
      </c>
      <c r="D863" s="20" t="s">
        <v>196</v>
      </c>
      <c r="E863" s="19">
        <v>0</v>
      </c>
      <c r="F863" s="19" t="s">
        <v>958</v>
      </c>
      <c r="G863" s="33" t="s">
        <v>977</v>
      </c>
      <c r="H863" s="19" t="s">
        <v>932</v>
      </c>
      <c r="I863" s="17" t="b">
        <v>0</v>
      </c>
      <c r="J863" s="17" t="s">
        <v>43</v>
      </c>
      <c r="K863" s="21" t="str">
        <f t="shared" si="24"/>
        <v>https://version2.ice-d.org/antarctica/sample/J2011-LAC-05/</v>
      </c>
      <c r="L863" s="46" t="s">
        <v>39</v>
      </c>
      <c r="M863" s="155"/>
      <c r="O863" s="17" t="s">
        <v>986</v>
      </c>
      <c r="P863" s="17">
        <v>-63.7849</v>
      </c>
      <c r="Q863" s="17">
        <v>-57.789200000000001</v>
      </c>
      <c r="S863" s="17">
        <v>120</v>
      </c>
      <c r="T863" s="22">
        <v>0</v>
      </c>
      <c r="U863" s="23">
        <v>780</v>
      </c>
      <c r="V863" s="7" t="s">
        <v>2435</v>
      </c>
      <c r="W863" s="44" t="s">
        <v>2463</v>
      </c>
      <c r="X863" s="22">
        <f t="shared" si="23"/>
        <v>120</v>
      </c>
      <c r="Y863" s="22"/>
      <c r="Z863" s="22"/>
      <c r="AB863" s="36">
        <v>8798</v>
      </c>
      <c r="AC863" s="36">
        <v>462</v>
      </c>
      <c r="AD863" s="60">
        <v>696</v>
      </c>
      <c r="AE863" s="27"/>
      <c r="AF863" s="27"/>
      <c r="AG863" s="28"/>
      <c r="AH863" s="28"/>
      <c r="AK863" s="17">
        <v>0</v>
      </c>
    </row>
    <row r="864" spans="1:37" ht="12.75" customHeight="1">
      <c r="A864" s="64" t="s">
        <v>993</v>
      </c>
      <c r="B864" s="19" t="s">
        <v>989</v>
      </c>
      <c r="C864" s="17">
        <v>91</v>
      </c>
      <c r="D864" s="20" t="s">
        <v>196</v>
      </c>
      <c r="E864" s="33">
        <v>0</v>
      </c>
      <c r="F864" s="33" t="s">
        <v>958</v>
      </c>
      <c r="G864" s="33" t="s">
        <v>977</v>
      </c>
      <c r="H864" s="33" t="s">
        <v>932</v>
      </c>
      <c r="I864" s="17" t="b">
        <v>0</v>
      </c>
      <c r="J864" s="17" t="s">
        <v>43</v>
      </c>
      <c r="K864" s="21" t="str">
        <f t="shared" si="24"/>
        <v>https://version2.ice-d.org/antarctica/sample/G2014-JRI-35/</v>
      </c>
      <c r="L864" s="64" t="s">
        <v>39</v>
      </c>
      <c r="M864" s="64"/>
      <c r="O864" s="127" t="s">
        <v>978</v>
      </c>
      <c r="P864" s="79">
        <v>-63.800060000000002</v>
      </c>
      <c r="Q864" s="79">
        <v>-57.815489999999997</v>
      </c>
      <c r="S864" s="79">
        <v>45</v>
      </c>
      <c r="T864" s="22">
        <v>0</v>
      </c>
      <c r="U864" s="23">
        <v>780</v>
      </c>
      <c r="V864" s="7" t="s">
        <v>2435</v>
      </c>
      <c r="W864" s="44" t="s">
        <v>2463</v>
      </c>
      <c r="X864" s="22">
        <f t="shared" si="23"/>
        <v>45</v>
      </c>
      <c r="Y864" s="22"/>
      <c r="Z864" s="22"/>
      <c r="AB864" s="81">
        <v>6388</v>
      </c>
      <c r="AC864" s="81">
        <v>267</v>
      </c>
      <c r="AD864" s="60">
        <v>462</v>
      </c>
      <c r="AE864" s="22"/>
      <c r="AF864" s="27"/>
      <c r="AG864" s="28"/>
      <c r="AH864" s="28"/>
      <c r="AK864" s="17">
        <v>0</v>
      </c>
    </row>
    <row r="865" spans="1:37" ht="12.75" customHeight="1">
      <c r="A865" s="64" t="s">
        <v>993</v>
      </c>
      <c r="B865" s="19" t="s">
        <v>989</v>
      </c>
      <c r="C865" s="17">
        <v>91</v>
      </c>
      <c r="D865" s="20" t="s">
        <v>196</v>
      </c>
      <c r="E865" s="33">
        <v>0</v>
      </c>
      <c r="F865" s="33" t="s">
        <v>958</v>
      </c>
      <c r="G865" s="33" t="s">
        <v>977</v>
      </c>
      <c r="H865" s="33" t="s">
        <v>932</v>
      </c>
      <c r="I865" s="17" t="b">
        <v>0</v>
      </c>
      <c r="J865" s="17" t="s">
        <v>43</v>
      </c>
      <c r="K865" s="21" t="str">
        <f t="shared" si="24"/>
        <v>https://version2.ice-d.org/antarctica/sample/G2014-JRI-35/</v>
      </c>
      <c r="L865" s="64" t="s">
        <v>39</v>
      </c>
      <c r="M865" s="64"/>
      <c r="O865" s="127" t="s">
        <v>978</v>
      </c>
      <c r="P865" s="79">
        <v>-63.800060000000002</v>
      </c>
      <c r="Q865" s="79">
        <v>-57.815489999999997</v>
      </c>
      <c r="S865" s="79">
        <v>45</v>
      </c>
      <c r="T865" s="22">
        <v>0</v>
      </c>
      <c r="U865" s="23">
        <v>780</v>
      </c>
      <c r="V865" s="7" t="s">
        <v>2435</v>
      </c>
      <c r="W865" s="44" t="s">
        <v>2463</v>
      </c>
      <c r="X865" s="22">
        <f t="shared" si="23"/>
        <v>45</v>
      </c>
      <c r="Y865" s="22"/>
      <c r="Z865" s="22"/>
      <c r="AB865" s="81">
        <v>7018</v>
      </c>
      <c r="AC865" s="81">
        <v>364</v>
      </c>
      <c r="AD865" s="60">
        <v>707</v>
      </c>
      <c r="AE865" s="22"/>
      <c r="AF865" s="27"/>
      <c r="AG865" s="28"/>
      <c r="AH865" s="28"/>
      <c r="AK865" s="17">
        <v>0</v>
      </c>
    </row>
    <row r="866" spans="1:37" ht="15.75" customHeight="1">
      <c r="A866" s="129" t="s">
        <v>994</v>
      </c>
      <c r="B866" s="19" t="s">
        <v>995</v>
      </c>
      <c r="C866" s="17">
        <v>92</v>
      </c>
      <c r="D866" s="20" t="s">
        <v>196</v>
      </c>
      <c r="E866" s="19">
        <v>0</v>
      </c>
      <c r="F866" s="19" t="s">
        <v>958</v>
      </c>
      <c r="G866" s="33" t="s">
        <v>977</v>
      </c>
      <c r="H866" s="19" t="s">
        <v>932</v>
      </c>
      <c r="I866" s="17" t="b">
        <v>0</v>
      </c>
      <c r="J866" s="17" t="s">
        <v>43</v>
      </c>
      <c r="K866" s="21" t="str">
        <f t="shared" si="24"/>
        <v>https://version2.ice-d.org/antarctica/sample/J2011-SEY-01/</v>
      </c>
      <c r="L866" s="129" t="s">
        <v>39</v>
      </c>
      <c r="M866" s="193" t="s">
        <v>44</v>
      </c>
      <c r="O866" s="17" t="s">
        <v>986</v>
      </c>
      <c r="P866" s="22">
        <v>-64.243099999999998</v>
      </c>
      <c r="Q866" s="22">
        <v>-56.629399999999997</v>
      </c>
      <c r="R866" s="22"/>
      <c r="S866" s="22">
        <v>207</v>
      </c>
      <c r="T866" s="22">
        <v>0</v>
      </c>
      <c r="U866" s="23">
        <v>780</v>
      </c>
      <c r="V866" s="7" t="s">
        <v>2435</v>
      </c>
      <c r="W866" s="44" t="s">
        <v>2463</v>
      </c>
      <c r="X866" s="22">
        <f t="shared" si="23"/>
        <v>207</v>
      </c>
      <c r="Y866" s="22">
        <v>4</v>
      </c>
      <c r="Z866" s="22">
        <v>2.7</v>
      </c>
      <c r="AA866" s="17" t="s">
        <v>996</v>
      </c>
      <c r="AB866" s="26">
        <v>7936</v>
      </c>
      <c r="AC866" s="26">
        <v>358</v>
      </c>
      <c r="AD866" s="26">
        <v>590</v>
      </c>
      <c r="AE866" s="27">
        <v>56973</v>
      </c>
      <c r="AF866" s="27">
        <v>2568</v>
      </c>
      <c r="AG866" s="28"/>
      <c r="AH866" s="28"/>
      <c r="AI866" s="17">
        <v>2009</v>
      </c>
      <c r="AJ866" s="17">
        <v>0</v>
      </c>
      <c r="AK866" s="17">
        <v>0</v>
      </c>
    </row>
    <row r="867" spans="1:37" ht="12.75" customHeight="1">
      <c r="A867" s="129" t="s">
        <v>997</v>
      </c>
      <c r="B867" s="19" t="s">
        <v>995</v>
      </c>
      <c r="C867" s="17">
        <v>92</v>
      </c>
      <c r="D867" s="20" t="s">
        <v>196</v>
      </c>
      <c r="E867" s="19">
        <v>0</v>
      </c>
      <c r="F867" s="19" t="s">
        <v>958</v>
      </c>
      <c r="G867" s="33" t="s">
        <v>977</v>
      </c>
      <c r="H867" s="19" t="s">
        <v>932</v>
      </c>
      <c r="I867" s="17" t="b">
        <v>0</v>
      </c>
      <c r="J867" s="17" t="s">
        <v>43</v>
      </c>
      <c r="K867" s="21" t="str">
        <f t="shared" si="24"/>
        <v>https://version2.ice-d.org/antarctica/sample/J2011-SEY-02/</v>
      </c>
      <c r="L867" s="129" t="s">
        <v>39</v>
      </c>
      <c r="M867" s="155"/>
      <c r="O867" s="17" t="s">
        <v>986</v>
      </c>
      <c r="P867" s="22">
        <v>-64.244200000000006</v>
      </c>
      <c r="Q867" s="22">
        <v>-56.634099999999997</v>
      </c>
      <c r="R867" s="22"/>
      <c r="S867" s="22">
        <v>210</v>
      </c>
      <c r="T867" s="22">
        <v>0</v>
      </c>
      <c r="U867" s="23">
        <v>780</v>
      </c>
      <c r="V867" s="7" t="s">
        <v>2435</v>
      </c>
      <c r="W867" s="44" t="s">
        <v>2463</v>
      </c>
      <c r="X867" s="22">
        <f t="shared" si="23"/>
        <v>210</v>
      </c>
      <c r="Y867" s="22">
        <v>4</v>
      </c>
      <c r="Z867" s="22">
        <v>2.7</v>
      </c>
      <c r="AA867" s="17" t="s">
        <v>996</v>
      </c>
      <c r="AB867" s="26">
        <v>8736</v>
      </c>
      <c r="AC867" s="26">
        <v>347</v>
      </c>
      <c r="AD867" s="26">
        <v>622</v>
      </c>
      <c r="AE867" s="27">
        <v>62842</v>
      </c>
      <c r="AF867" s="27">
        <v>2489</v>
      </c>
      <c r="AG867" s="28"/>
      <c r="AH867" s="28"/>
      <c r="AI867" s="17">
        <v>2009</v>
      </c>
      <c r="AJ867" s="17">
        <v>0</v>
      </c>
      <c r="AK867" s="17">
        <v>0</v>
      </c>
    </row>
    <row r="868" spans="1:37" ht="12.75" customHeight="1">
      <c r="A868" s="129" t="s">
        <v>998</v>
      </c>
      <c r="B868" s="19" t="s">
        <v>995</v>
      </c>
      <c r="C868" s="17">
        <v>92</v>
      </c>
      <c r="D868" s="20" t="s">
        <v>196</v>
      </c>
      <c r="E868" s="19">
        <v>0</v>
      </c>
      <c r="F868" s="19" t="s">
        <v>958</v>
      </c>
      <c r="G868" s="33" t="s">
        <v>977</v>
      </c>
      <c r="H868" s="19" t="s">
        <v>932</v>
      </c>
      <c r="I868" s="17" t="b">
        <v>0</v>
      </c>
      <c r="J868" s="17" t="s">
        <v>43</v>
      </c>
      <c r="K868" s="21" t="str">
        <f t="shared" si="24"/>
        <v>https://version2.ice-d.org/antarctica/sample/J2011-SEY-03/</v>
      </c>
      <c r="L868" s="129" t="s">
        <v>39</v>
      </c>
      <c r="M868" s="155"/>
      <c r="O868" s="17" t="s">
        <v>986</v>
      </c>
      <c r="P868" s="22">
        <v>-64.243300000000005</v>
      </c>
      <c r="Q868" s="22">
        <v>-56.636200000000002</v>
      </c>
      <c r="R868" s="22"/>
      <c r="S868" s="22">
        <v>219</v>
      </c>
      <c r="T868" s="22">
        <v>0</v>
      </c>
      <c r="U868" s="23">
        <v>780</v>
      </c>
      <c r="V868" s="7" t="s">
        <v>2435</v>
      </c>
      <c r="W868" s="44" t="s">
        <v>2463</v>
      </c>
      <c r="X868" s="22">
        <f t="shared" si="23"/>
        <v>219</v>
      </c>
      <c r="Y868" s="22">
        <v>5</v>
      </c>
      <c r="Z868" s="22">
        <v>2.7</v>
      </c>
      <c r="AA868" s="17" t="s">
        <v>996</v>
      </c>
      <c r="AB868" s="26">
        <v>12584</v>
      </c>
      <c r="AC868" s="26">
        <v>489</v>
      </c>
      <c r="AD868" s="26">
        <v>891</v>
      </c>
      <c r="AE868" s="27">
        <v>90227</v>
      </c>
      <c r="AF868" s="27">
        <v>3498</v>
      </c>
      <c r="AG868" s="28"/>
      <c r="AH868" s="28"/>
      <c r="AI868" s="17">
        <v>2009</v>
      </c>
      <c r="AJ868" s="17">
        <v>0</v>
      </c>
      <c r="AK868" s="17">
        <v>0</v>
      </c>
    </row>
    <row r="869" spans="1:37" ht="12.75" customHeight="1">
      <c r="A869" s="47" t="s">
        <v>999</v>
      </c>
      <c r="B869" s="19" t="s">
        <v>966</v>
      </c>
      <c r="C869" s="17">
        <v>93</v>
      </c>
      <c r="D869" s="20" t="s">
        <v>196</v>
      </c>
      <c r="E869" s="19">
        <v>0</v>
      </c>
      <c r="F869" s="19" t="s">
        <v>958</v>
      </c>
      <c r="G869" s="33" t="s">
        <v>977</v>
      </c>
      <c r="H869" s="19" t="s">
        <v>932</v>
      </c>
      <c r="I869" s="17" t="b">
        <v>0</v>
      </c>
      <c r="J869" s="17" t="s">
        <v>43</v>
      </c>
      <c r="K869" s="21" t="str">
        <f t="shared" si="24"/>
        <v>https://version2.ice-d.org/antarctica/sample/J2011-TER-04/</v>
      </c>
      <c r="L869" s="47" t="s">
        <v>39</v>
      </c>
      <c r="M869" s="181" t="s">
        <v>44</v>
      </c>
      <c r="O869" s="17" t="s">
        <v>986</v>
      </c>
      <c r="P869" s="22">
        <v>-63.933100000000003</v>
      </c>
      <c r="Q869" s="22">
        <v>-57.523899999999998</v>
      </c>
      <c r="R869" s="22"/>
      <c r="S869" s="22">
        <v>80</v>
      </c>
      <c r="T869" s="22">
        <v>0</v>
      </c>
      <c r="U869" s="23">
        <v>780</v>
      </c>
      <c r="V869" s="7" t="s">
        <v>2435</v>
      </c>
      <c r="W869" s="44" t="s">
        <v>2463</v>
      </c>
      <c r="X869" s="22">
        <f t="shared" si="23"/>
        <v>80</v>
      </c>
      <c r="Y869" s="22">
        <v>5</v>
      </c>
      <c r="Z869" s="22">
        <v>2.7</v>
      </c>
      <c r="AA869" s="17" t="s">
        <v>996</v>
      </c>
      <c r="AB869" s="26">
        <v>7189</v>
      </c>
      <c r="AC869" s="26">
        <v>303</v>
      </c>
      <c r="AD869" s="26">
        <v>522</v>
      </c>
      <c r="AE869" s="27">
        <v>44747</v>
      </c>
      <c r="AF869" s="27">
        <v>1885</v>
      </c>
      <c r="AG869" s="28"/>
      <c r="AH869" s="28"/>
      <c r="AI869" s="17">
        <v>2009</v>
      </c>
      <c r="AJ869" s="17">
        <v>0</v>
      </c>
      <c r="AK869" s="17">
        <v>0</v>
      </c>
    </row>
    <row r="870" spans="1:37" ht="12.75" customHeight="1">
      <c r="A870" s="47" t="s">
        <v>1000</v>
      </c>
      <c r="B870" s="19" t="s">
        <v>966</v>
      </c>
      <c r="C870" s="17">
        <v>93</v>
      </c>
      <c r="D870" s="20" t="s">
        <v>196</v>
      </c>
      <c r="E870" s="19">
        <v>0</v>
      </c>
      <c r="F870" s="19" t="s">
        <v>958</v>
      </c>
      <c r="G870" s="33" t="s">
        <v>977</v>
      </c>
      <c r="H870" s="19" t="s">
        <v>932</v>
      </c>
      <c r="I870" s="17" t="b">
        <v>0</v>
      </c>
      <c r="J870" s="17" t="s">
        <v>43</v>
      </c>
      <c r="K870" s="21" t="str">
        <f t="shared" si="24"/>
        <v>https://version2.ice-d.org/antarctica/sample/J2011-TER-05/</v>
      </c>
      <c r="L870" s="47" t="s">
        <v>39</v>
      </c>
      <c r="M870" s="155"/>
      <c r="O870" s="17" t="s">
        <v>986</v>
      </c>
      <c r="P870" s="22">
        <v>-63.933500000000002</v>
      </c>
      <c r="Q870" s="22">
        <v>-57.523899999999998</v>
      </c>
      <c r="R870" s="22"/>
      <c r="S870" s="22">
        <v>81</v>
      </c>
      <c r="T870" s="22">
        <v>0</v>
      </c>
      <c r="U870" s="23">
        <v>780</v>
      </c>
      <c r="V870" s="7" t="s">
        <v>2435</v>
      </c>
      <c r="W870" s="44" t="s">
        <v>2463</v>
      </c>
      <c r="X870" s="22">
        <f t="shared" si="23"/>
        <v>81</v>
      </c>
      <c r="Y870" s="22">
        <v>5</v>
      </c>
      <c r="Z870" s="22">
        <v>2.7</v>
      </c>
      <c r="AA870" s="17" t="s">
        <v>996</v>
      </c>
      <c r="AB870" s="26">
        <v>9590</v>
      </c>
      <c r="AC870" s="26">
        <v>429</v>
      </c>
      <c r="AD870" s="26">
        <v>711</v>
      </c>
      <c r="AE870" s="27">
        <v>60084</v>
      </c>
      <c r="AF870" s="27">
        <v>2683</v>
      </c>
      <c r="AG870" s="28"/>
      <c r="AH870" s="28"/>
      <c r="AI870" s="17">
        <v>2009</v>
      </c>
      <c r="AJ870" s="17">
        <v>0</v>
      </c>
      <c r="AK870" s="17">
        <v>0</v>
      </c>
    </row>
    <row r="871" spans="1:37" ht="12.75" customHeight="1">
      <c r="A871" s="47" t="s">
        <v>1001</v>
      </c>
      <c r="B871" s="19" t="s">
        <v>966</v>
      </c>
      <c r="C871" s="17">
        <v>93</v>
      </c>
      <c r="D871" s="20" t="s">
        <v>196</v>
      </c>
      <c r="E871" s="19">
        <v>0</v>
      </c>
      <c r="F871" s="19" t="s">
        <v>958</v>
      </c>
      <c r="G871" s="33" t="s">
        <v>977</v>
      </c>
      <c r="H871" s="19" t="s">
        <v>932</v>
      </c>
      <c r="I871" s="17" t="b">
        <v>0</v>
      </c>
      <c r="J871" s="17" t="s">
        <v>43</v>
      </c>
      <c r="K871" s="21" t="str">
        <f t="shared" si="24"/>
        <v>https://version2.ice-d.org/antarctica/sample/J2011-TER-07/</v>
      </c>
      <c r="L871" s="47" t="s">
        <v>39</v>
      </c>
      <c r="M871" s="155"/>
      <c r="O871" s="17" t="s">
        <v>986</v>
      </c>
      <c r="P871" s="22">
        <v>-63.935899999999997</v>
      </c>
      <c r="Q871" s="22">
        <v>-57.527299999999997</v>
      </c>
      <c r="R871" s="22"/>
      <c r="S871" s="22">
        <v>85</v>
      </c>
      <c r="T871" s="22">
        <v>0</v>
      </c>
      <c r="U871" s="23">
        <v>780</v>
      </c>
      <c r="V871" s="7" t="s">
        <v>2435</v>
      </c>
      <c r="W871" s="44" t="s">
        <v>2463</v>
      </c>
      <c r="X871" s="22">
        <f t="shared" si="23"/>
        <v>85</v>
      </c>
      <c r="Y871" s="22">
        <v>7</v>
      </c>
      <c r="Z871" s="22">
        <v>2.7</v>
      </c>
      <c r="AA871" s="17" t="s">
        <v>996</v>
      </c>
      <c r="AB871" s="26">
        <v>7994</v>
      </c>
      <c r="AC871" s="26">
        <v>390</v>
      </c>
      <c r="AD871" s="26">
        <v>613</v>
      </c>
      <c r="AE871" s="27">
        <v>49516</v>
      </c>
      <c r="AF871" s="27">
        <v>2409</v>
      </c>
      <c r="AG871" s="28"/>
      <c r="AH871" s="28"/>
      <c r="AI871" s="17">
        <v>2009</v>
      </c>
      <c r="AJ871" s="17">
        <v>0</v>
      </c>
      <c r="AK871" s="17">
        <v>0</v>
      </c>
    </row>
    <row r="872" spans="1:37" ht="12.75" customHeight="1">
      <c r="A872" s="47" t="s">
        <v>1002</v>
      </c>
      <c r="B872" s="19" t="s">
        <v>966</v>
      </c>
      <c r="C872" s="17">
        <v>93</v>
      </c>
      <c r="D872" s="20" t="s">
        <v>196</v>
      </c>
      <c r="E872" s="19">
        <v>0</v>
      </c>
      <c r="F872" s="19" t="s">
        <v>958</v>
      </c>
      <c r="G872" s="33" t="s">
        <v>977</v>
      </c>
      <c r="H872" s="19" t="s">
        <v>932</v>
      </c>
      <c r="I872" s="17" t="b">
        <v>0</v>
      </c>
      <c r="J872" s="17" t="s">
        <v>43</v>
      </c>
      <c r="K872" s="21" t="str">
        <f t="shared" si="24"/>
        <v>https://version2.ice-d.org/antarctica/sample/J2011-TER-08/</v>
      </c>
      <c r="L872" s="47" t="s">
        <v>39</v>
      </c>
      <c r="M872" s="155"/>
      <c r="O872" s="17" t="s">
        <v>986</v>
      </c>
      <c r="P872" s="22">
        <v>-63.935899999999997</v>
      </c>
      <c r="Q872" s="22">
        <v>-57.526899999999998</v>
      </c>
      <c r="R872" s="22"/>
      <c r="S872" s="22">
        <v>85</v>
      </c>
      <c r="T872" s="22">
        <v>0</v>
      </c>
      <c r="U872" s="23">
        <v>780</v>
      </c>
      <c r="V872" s="7" t="s">
        <v>2435</v>
      </c>
      <c r="W872" s="44" t="s">
        <v>2463</v>
      </c>
      <c r="X872" s="22">
        <f t="shared" si="23"/>
        <v>85</v>
      </c>
      <c r="Y872" s="22">
        <v>8</v>
      </c>
      <c r="Z872" s="22">
        <v>2.7</v>
      </c>
      <c r="AA872" s="17" t="s">
        <v>996</v>
      </c>
      <c r="AB872" s="26">
        <v>9118</v>
      </c>
      <c r="AC872" s="26">
        <v>386</v>
      </c>
      <c r="AD872" s="26">
        <v>663</v>
      </c>
      <c r="AE872" s="27">
        <v>55935</v>
      </c>
      <c r="AF872" s="27">
        <v>2360</v>
      </c>
      <c r="AG872" s="28"/>
      <c r="AH872" s="28"/>
      <c r="AI872" s="17">
        <v>2009</v>
      </c>
      <c r="AJ872" s="17">
        <v>0</v>
      </c>
      <c r="AK872" s="17">
        <v>0</v>
      </c>
    </row>
    <row r="873" spans="1:37" ht="12.75" customHeight="1">
      <c r="A873" s="121" t="s">
        <v>1003</v>
      </c>
      <c r="B873" s="17" t="s">
        <v>1004</v>
      </c>
      <c r="C873" s="22">
        <v>94</v>
      </c>
      <c r="D873" s="20" t="s">
        <v>196</v>
      </c>
      <c r="E873" s="17">
        <v>0</v>
      </c>
      <c r="F873" s="17" t="s">
        <v>958</v>
      </c>
      <c r="G873" s="33" t="s">
        <v>977</v>
      </c>
      <c r="H873" s="17" t="s">
        <v>932</v>
      </c>
      <c r="I873" s="59" t="b">
        <v>0</v>
      </c>
      <c r="J873" s="17" t="s">
        <v>43</v>
      </c>
      <c r="K873" s="17" t="s">
        <v>817</v>
      </c>
      <c r="L873" s="121" t="s">
        <v>39</v>
      </c>
      <c r="M873" s="121"/>
      <c r="O873" s="21" t="s">
        <v>960</v>
      </c>
      <c r="P873" s="122">
        <v>-63.776560000000003</v>
      </c>
      <c r="Q873" s="122">
        <v>-58.230420000000002</v>
      </c>
      <c r="S873" s="22">
        <v>31</v>
      </c>
      <c r="T873" s="22">
        <v>0</v>
      </c>
      <c r="U873" s="23">
        <v>780</v>
      </c>
      <c r="V873" s="7" t="s">
        <v>2435</v>
      </c>
      <c r="W873" s="44" t="s">
        <v>2463</v>
      </c>
      <c r="X873" s="22">
        <f t="shared" si="23"/>
        <v>31</v>
      </c>
      <c r="AB873" s="35">
        <v>7973</v>
      </c>
      <c r="AC873" s="35">
        <v>430</v>
      </c>
      <c r="AD873" s="35">
        <v>430</v>
      </c>
      <c r="AK873" s="22">
        <v>0</v>
      </c>
    </row>
    <row r="874" spans="1:37" ht="12.75" customHeight="1">
      <c r="A874" s="121" t="s">
        <v>1003</v>
      </c>
      <c r="B874" s="17" t="s">
        <v>1004</v>
      </c>
      <c r="C874" s="22">
        <v>94</v>
      </c>
      <c r="D874" s="20" t="s">
        <v>196</v>
      </c>
      <c r="E874" s="17">
        <v>0</v>
      </c>
      <c r="F874" s="17" t="s">
        <v>958</v>
      </c>
      <c r="G874" s="33" t="s">
        <v>977</v>
      </c>
      <c r="H874" s="17" t="s">
        <v>932</v>
      </c>
      <c r="I874" s="59" t="b">
        <v>0</v>
      </c>
      <c r="J874" s="17" t="s">
        <v>64</v>
      </c>
      <c r="K874" s="17" t="s">
        <v>817</v>
      </c>
      <c r="L874" s="121" t="s">
        <v>39</v>
      </c>
      <c r="M874" s="121"/>
      <c r="O874" s="21" t="s">
        <v>960</v>
      </c>
      <c r="P874" s="122">
        <v>-63.776560000000003</v>
      </c>
      <c r="Q874" s="122">
        <v>-58.230420000000002</v>
      </c>
      <c r="S874" s="22">
        <v>31</v>
      </c>
      <c r="T874" s="22">
        <v>0</v>
      </c>
      <c r="U874" s="23">
        <v>780</v>
      </c>
      <c r="V874" s="7" t="s">
        <v>2435</v>
      </c>
      <c r="W874" s="44" t="s">
        <v>2463</v>
      </c>
      <c r="X874" s="22">
        <f t="shared" si="23"/>
        <v>31</v>
      </c>
      <c r="AB874" s="35">
        <v>6167</v>
      </c>
      <c r="AC874" s="35">
        <v>491</v>
      </c>
      <c r="AD874" s="35">
        <v>491</v>
      </c>
      <c r="AK874" s="22">
        <v>0</v>
      </c>
    </row>
    <row r="875" spans="1:37" ht="12.75" customHeight="1">
      <c r="A875" s="121" t="s">
        <v>1005</v>
      </c>
      <c r="B875" s="17" t="s">
        <v>1004</v>
      </c>
      <c r="C875" s="22">
        <v>94</v>
      </c>
      <c r="D875" s="20" t="s">
        <v>196</v>
      </c>
      <c r="E875" s="33">
        <v>0</v>
      </c>
      <c r="F875" s="17" t="s">
        <v>958</v>
      </c>
      <c r="G875" s="33" t="s">
        <v>977</v>
      </c>
      <c r="H875" s="17" t="s">
        <v>932</v>
      </c>
      <c r="I875" s="59" t="b">
        <v>0</v>
      </c>
      <c r="J875" s="17" t="s">
        <v>43</v>
      </c>
      <c r="K875" s="17" t="s">
        <v>817</v>
      </c>
      <c r="L875" s="121" t="s">
        <v>39</v>
      </c>
      <c r="M875" s="121"/>
      <c r="O875" s="21" t="s">
        <v>960</v>
      </c>
      <c r="P875" s="122">
        <v>-63.784640000000003</v>
      </c>
      <c r="Q875" s="122">
        <v>-58.24879</v>
      </c>
      <c r="R875" s="22"/>
      <c r="S875" s="22">
        <v>42</v>
      </c>
      <c r="T875" s="22">
        <v>0</v>
      </c>
      <c r="U875" s="23">
        <v>780</v>
      </c>
      <c r="V875" s="7" t="s">
        <v>2435</v>
      </c>
      <c r="W875" s="44" t="s">
        <v>2463</v>
      </c>
      <c r="X875" s="22">
        <f t="shared" si="23"/>
        <v>42</v>
      </c>
      <c r="Y875" s="22"/>
      <c r="Z875" s="22"/>
      <c r="AB875" s="35">
        <v>8210</v>
      </c>
      <c r="AC875" s="35">
        <v>458</v>
      </c>
      <c r="AD875" s="35">
        <v>458</v>
      </c>
      <c r="AE875" s="27"/>
      <c r="AF875" s="27"/>
      <c r="AG875" s="28"/>
      <c r="AH875" s="28"/>
      <c r="AK875" s="17">
        <v>0</v>
      </c>
    </row>
    <row r="876" spans="1:37" ht="12.75" customHeight="1">
      <c r="A876" s="121" t="s">
        <v>1005</v>
      </c>
      <c r="B876" s="17" t="s">
        <v>1004</v>
      </c>
      <c r="C876" s="22">
        <v>94</v>
      </c>
      <c r="D876" s="20" t="s">
        <v>196</v>
      </c>
      <c r="E876" s="33">
        <v>0</v>
      </c>
      <c r="F876" s="17" t="s">
        <v>958</v>
      </c>
      <c r="G876" s="33" t="s">
        <v>977</v>
      </c>
      <c r="H876" s="17" t="s">
        <v>932</v>
      </c>
      <c r="I876" s="59" t="b">
        <v>0</v>
      </c>
      <c r="J876" s="17" t="s">
        <v>64</v>
      </c>
      <c r="K876" s="17" t="s">
        <v>817</v>
      </c>
      <c r="L876" s="121" t="s">
        <v>39</v>
      </c>
      <c r="M876" s="121"/>
      <c r="O876" s="21" t="s">
        <v>960</v>
      </c>
      <c r="P876" s="122">
        <v>-63.784640000000003</v>
      </c>
      <c r="Q876" s="122">
        <v>-58.24879</v>
      </c>
      <c r="R876" s="22"/>
      <c r="S876" s="22">
        <v>42</v>
      </c>
      <c r="T876" s="22">
        <v>0</v>
      </c>
      <c r="U876" s="23">
        <v>780</v>
      </c>
      <c r="V876" s="7" t="s">
        <v>2435</v>
      </c>
      <c r="W876" s="44" t="s">
        <v>2463</v>
      </c>
      <c r="X876" s="22">
        <f t="shared" si="23"/>
        <v>42</v>
      </c>
      <c r="Y876" s="22"/>
      <c r="Z876" s="22"/>
      <c r="AB876" s="35">
        <v>7166</v>
      </c>
      <c r="AC876" s="35">
        <v>606</v>
      </c>
      <c r="AD876" s="35">
        <v>606</v>
      </c>
      <c r="AE876" s="27"/>
      <c r="AF876" s="27"/>
      <c r="AG876" s="28"/>
      <c r="AH876" s="28"/>
      <c r="AK876" s="17">
        <v>0</v>
      </c>
    </row>
    <row r="877" spans="1:37" ht="12.75" customHeight="1">
      <c r="A877" s="121" t="s">
        <v>1006</v>
      </c>
      <c r="B877" s="17" t="s">
        <v>1004</v>
      </c>
      <c r="C877" s="27">
        <v>95</v>
      </c>
      <c r="D877" s="20" t="s">
        <v>196</v>
      </c>
      <c r="E877" s="33">
        <v>0</v>
      </c>
      <c r="F877" s="17" t="s">
        <v>958</v>
      </c>
      <c r="G877" s="33" t="s">
        <v>977</v>
      </c>
      <c r="H877" s="17" t="s">
        <v>932</v>
      </c>
      <c r="I877" s="59" t="b">
        <v>0</v>
      </c>
      <c r="J877" s="17" t="s">
        <v>43</v>
      </c>
      <c r="K877" s="17" t="s">
        <v>817</v>
      </c>
      <c r="L877" s="121" t="s">
        <v>39</v>
      </c>
      <c r="M877" s="121"/>
      <c r="O877" s="21" t="s">
        <v>960</v>
      </c>
      <c r="P877" s="122">
        <v>-63.769100000000002</v>
      </c>
      <c r="Q877" s="122">
        <v>-58.211190000000002</v>
      </c>
      <c r="R877" s="22"/>
      <c r="S877" s="22">
        <v>81</v>
      </c>
      <c r="T877" s="22">
        <v>0</v>
      </c>
      <c r="U877" s="23">
        <v>780</v>
      </c>
      <c r="V877" s="7" t="s">
        <v>2435</v>
      </c>
      <c r="W877" s="44" t="s">
        <v>2463</v>
      </c>
      <c r="X877" s="22">
        <f t="shared" si="23"/>
        <v>81</v>
      </c>
      <c r="Y877" s="22"/>
      <c r="Z877" s="22"/>
      <c r="AB877" s="35">
        <v>6784</v>
      </c>
      <c r="AC877" s="35">
        <v>402</v>
      </c>
      <c r="AD877" s="35">
        <v>402</v>
      </c>
      <c r="AE877" s="27"/>
      <c r="AF877" s="27"/>
      <c r="AG877" s="28"/>
      <c r="AH877" s="28"/>
      <c r="AK877" s="17">
        <v>0</v>
      </c>
    </row>
    <row r="878" spans="1:37" ht="12.75" customHeight="1">
      <c r="A878" s="121" t="s">
        <v>1006</v>
      </c>
      <c r="B878" s="17" t="s">
        <v>1004</v>
      </c>
      <c r="C878" s="27">
        <v>95</v>
      </c>
      <c r="D878" s="20" t="s">
        <v>196</v>
      </c>
      <c r="E878" s="33">
        <v>0</v>
      </c>
      <c r="F878" s="17" t="s">
        <v>958</v>
      </c>
      <c r="G878" s="33" t="s">
        <v>977</v>
      </c>
      <c r="H878" s="17" t="s">
        <v>932</v>
      </c>
      <c r="I878" s="59" t="b">
        <v>0</v>
      </c>
      <c r="J878" s="17" t="s">
        <v>64</v>
      </c>
      <c r="K878" s="17" t="s">
        <v>817</v>
      </c>
      <c r="L878" s="121" t="s">
        <v>39</v>
      </c>
      <c r="M878" s="121"/>
      <c r="O878" s="21" t="s">
        <v>960</v>
      </c>
      <c r="P878" s="122">
        <v>-63.769100000000002</v>
      </c>
      <c r="Q878" s="122">
        <v>-58.211190000000002</v>
      </c>
      <c r="R878" s="22"/>
      <c r="S878" s="22">
        <v>81</v>
      </c>
      <c r="T878" s="22">
        <v>0</v>
      </c>
      <c r="U878" s="23">
        <v>780</v>
      </c>
      <c r="V878" s="7" t="s">
        <v>2435</v>
      </c>
      <c r="W878" s="44" t="s">
        <v>2463</v>
      </c>
      <c r="X878" s="22">
        <f t="shared" si="23"/>
        <v>81</v>
      </c>
      <c r="Y878" s="22"/>
      <c r="Z878" s="22"/>
      <c r="AB878" s="35">
        <v>8512</v>
      </c>
      <c r="AC878" s="35">
        <v>2175</v>
      </c>
      <c r="AD878" s="35">
        <v>2175</v>
      </c>
      <c r="AE878" s="27"/>
      <c r="AF878" s="27"/>
      <c r="AG878" s="28"/>
      <c r="AH878" s="28"/>
      <c r="AK878" s="17">
        <v>0</v>
      </c>
    </row>
    <row r="879" spans="1:37" ht="12.75" customHeight="1">
      <c r="A879" s="121" t="s">
        <v>1007</v>
      </c>
      <c r="B879" s="33" t="s">
        <v>1004</v>
      </c>
      <c r="C879" s="27">
        <v>95</v>
      </c>
      <c r="D879" s="20" t="s">
        <v>196</v>
      </c>
      <c r="E879" s="33">
        <v>0</v>
      </c>
      <c r="F879" s="33" t="s">
        <v>958</v>
      </c>
      <c r="G879" s="33" t="s">
        <v>977</v>
      </c>
      <c r="H879" s="33" t="s">
        <v>932</v>
      </c>
      <c r="I879" s="17" t="b">
        <v>0</v>
      </c>
      <c r="J879" s="17" t="s">
        <v>43</v>
      </c>
      <c r="K879" s="21" t="str">
        <f t="shared" ref="K879:K1107" si="25">CONCATENATE("https://version2.ice-d.org/antarctica/sample/", A879, "/")</f>
        <v>https://version2.ice-d.org/antarctica/sample/K2020-LI-13-01/</v>
      </c>
      <c r="L879" s="121" t="s">
        <v>39</v>
      </c>
      <c r="M879" s="169" t="s">
        <v>44</v>
      </c>
      <c r="O879" s="17" t="s">
        <v>1008</v>
      </c>
      <c r="P879" s="22">
        <v>-63.760890000000003</v>
      </c>
      <c r="Q879" s="22">
        <v>-58.178130000000003</v>
      </c>
      <c r="R879" s="22">
        <v>3</v>
      </c>
      <c r="S879" s="22">
        <v>91</v>
      </c>
      <c r="T879" s="22">
        <v>0</v>
      </c>
      <c r="U879" s="23">
        <v>780</v>
      </c>
      <c r="V879" s="7" t="s">
        <v>2435</v>
      </c>
      <c r="W879" s="44" t="s">
        <v>2463</v>
      </c>
      <c r="X879" s="22">
        <f t="shared" si="23"/>
        <v>91</v>
      </c>
      <c r="Y879" s="22">
        <v>2.89</v>
      </c>
      <c r="Z879" s="22">
        <v>2.65</v>
      </c>
      <c r="AA879" s="17" t="s">
        <v>46</v>
      </c>
      <c r="AB879" s="26">
        <v>6540</v>
      </c>
      <c r="AC879" s="26">
        <v>228</v>
      </c>
      <c r="AD879" s="26">
        <v>449</v>
      </c>
      <c r="AE879" s="27">
        <v>38194</v>
      </c>
      <c r="AF879" s="27">
        <v>1328</v>
      </c>
      <c r="AG879" s="28"/>
      <c r="AH879" s="28"/>
      <c r="AI879" s="17">
        <v>2014</v>
      </c>
      <c r="AJ879" s="17">
        <v>1</v>
      </c>
      <c r="AK879" s="17">
        <v>0</v>
      </c>
    </row>
    <row r="880" spans="1:37" ht="12.75" customHeight="1">
      <c r="A880" s="121" t="s">
        <v>1009</v>
      </c>
      <c r="B880" s="33" t="s">
        <v>1004</v>
      </c>
      <c r="C880" s="27">
        <v>95</v>
      </c>
      <c r="D880" s="20" t="s">
        <v>196</v>
      </c>
      <c r="E880" s="33">
        <v>0</v>
      </c>
      <c r="F880" s="33" t="s">
        <v>958</v>
      </c>
      <c r="G880" s="33" t="s">
        <v>977</v>
      </c>
      <c r="H880" s="33" t="s">
        <v>932</v>
      </c>
      <c r="I880" s="17" t="b">
        <v>0</v>
      </c>
      <c r="J880" s="17" t="s">
        <v>43</v>
      </c>
      <c r="K880" s="21" t="str">
        <f t="shared" si="25"/>
        <v>https://version2.ice-d.org/antarctica/sample/K2020-LI-13-02/</v>
      </c>
      <c r="L880" s="121" t="s">
        <v>39</v>
      </c>
      <c r="M880" s="155"/>
      <c r="O880" s="17" t="s">
        <v>1008</v>
      </c>
      <c r="P880" s="22">
        <v>-63.760809999999999</v>
      </c>
      <c r="Q880" s="22">
        <v>-58.178449999999998</v>
      </c>
      <c r="R880" s="22">
        <v>3</v>
      </c>
      <c r="S880" s="22">
        <v>91</v>
      </c>
      <c r="T880" s="22">
        <v>0</v>
      </c>
      <c r="U880" s="23">
        <v>780</v>
      </c>
      <c r="V880" s="7" t="s">
        <v>2435</v>
      </c>
      <c r="W880" s="44" t="s">
        <v>2463</v>
      </c>
      <c r="X880" s="22">
        <f t="shared" si="23"/>
        <v>91</v>
      </c>
      <c r="Y880" s="22">
        <v>2.7</v>
      </c>
      <c r="Z880" s="22">
        <v>2.65</v>
      </c>
      <c r="AA880" s="17" t="s">
        <v>46</v>
      </c>
      <c r="AB880" s="26">
        <v>6514</v>
      </c>
      <c r="AC880" s="26">
        <v>210</v>
      </c>
      <c r="AD880" s="26">
        <v>438</v>
      </c>
      <c r="AE880" s="27">
        <v>38071</v>
      </c>
      <c r="AF880" s="27">
        <v>1224</v>
      </c>
      <c r="AG880" s="28"/>
      <c r="AH880" s="28"/>
      <c r="AI880" s="17">
        <v>2014</v>
      </c>
      <c r="AJ880" s="17">
        <v>1</v>
      </c>
      <c r="AK880" s="17">
        <v>0</v>
      </c>
    </row>
    <row r="881" spans="1:37" ht="12.75" customHeight="1">
      <c r="A881" s="121" t="s">
        <v>1010</v>
      </c>
      <c r="B881" s="33" t="s">
        <v>1004</v>
      </c>
      <c r="C881" s="27">
        <v>95</v>
      </c>
      <c r="D881" s="20" t="s">
        <v>196</v>
      </c>
      <c r="E881" s="33">
        <v>0</v>
      </c>
      <c r="F881" s="33" t="s">
        <v>958</v>
      </c>
      <c r="G881" s="33" t="s">
        <v>977</v>
      </c>
      <c r="H881" s="33" t="s">
        <v>932</v>
      </c>
      <c r="I881" s="17" t="b">
        <v>0</v>
      </c>
      <c r="J881" s="17" t="s">
        <v>43</v>
      </c>
      <c r="K881" s="21" t="str">
        <f t="shared" si="25"/>
        <v>https://version2.ice-d.org/antarctica/sample/K2020-LI-13-03/</v>
      </c>
      <c r="L881" s="121" t="s">
        <v>39</v>
      </c>
      <c r="M881" s="155"/>
      <c r="O881" s="17" t="s">
        <v>1008</v>
      </c>
      <c r="P881" s="22">
        <v>-63.761029999999998</v>
      </c>
      <c r="Q881" s="22">
        <v>-58.179160000000003</v>
      </c>
      <c r="R881" s="22">
        <v>3</v>
      </c>
      <c r="S881" s="22">
        <v>94</v>
      </c>
      <c r="T881" s="22">
        <v>0</v>
      </c>
      <c r="U881" s="23">
        <v>780</v>
      </c>
      <c r="V881" s="7" t="s">
        <v>2435</v>
      </c>
      <c r="W881" s="44" t="s">
        <v>2463</v>
      </c>
      <c r="X881" s="22">
        <f t="shared" si="23"/>
        <v>94</v>
      </c>
      <c r="Y881" s="22">
        <v>3.02</v>
      </c>
      <c r="Z881" s="22">
        <v>2.65</v>
      </c>
      <c r="AA881" s="17" t="s">
        <v>46</v>
      </c>
      <c r="AB881" s="26">
        <v>9259</v>
      </c>
      <c r="AC881" s="26">
        <v>537</v>
      </c>
      <c r="AD881" s="26">
        <v>767</v>
      </c>
      <c r="AE881" s="27">
        <v>54538</v>
      </c>
      <c r="AF881" s="27">
        <v>3154</v>
      </c>
      <c r="AG881" s="28"/>
      <c r="AH881" s="28"/>
      <c r="AI881" s="17">
        <v>2014</v>
      </c>
      <c r="AJ881" s="17">
        <v>1</v>
      </c>
      <c r="AK881" s="17">
        <v>0</v>
      </c>
    </row>
    <row r="882" spans="1:37" ht="12.75" customHeight="1">
      <c r="A882" s="121" t="s">
        <v>1011</v>
      </c>
      <c r="B882" s="33" t="s">
        <v>1004</v>
      </c>
      <c r="C882" s="27">
        <v>95</v>
      </c>
      <c r="D882" s="20" t="s">
        <v>196</v>
      </c>
      <c r="E882" s="33">
        <v>0</v>
      </c>
      <c r="F882" s="33" t="s">
        <v>958</v>
      </c>
      <c r="G882" s="33" t="s">
        <v>977</v>
      </c>
      <c r="H882" s="33" t="s">
        <v>932</v>
      </c>
      <c r="I882" s="17" t="b">
        <v>0</v>
      </c>
      <c r="J882" s="17" t="s">
        <v>43</v>
      </c>
      <c r="K882" s="21" t="str">
        <f t="shared" si="25"/>
        <v>https://version2.ice-d.org/antarctica/sample/K2020-LI-13-04/</v>
      </c>
      <c r="L882" s="121" t="s">
        <v>39</v>
      </c>
      <c r="M882" s="155"/>
      <c r="O882" s="17" t="s">
        <v>1008</v>
      </c>
      <c r="P882" s="22">
        <v>-63.761060000000001</v>
      </c>
      <c r="Q882" s="22">
        <v>-58.179200000000002</v>
      </c>
      <c r="R882" s="22">
        <v>3</v>
      </c>
      <c r="S882" s="22">
        <v>94</v>
      </c>
      <c r="T882" s="22">
        <v>0</v>
      </c>
      <c r="U882" s="23">
        <v>780</v>
      </c>
      <c r="V882" s="7" t="s">
        <v>2435</v>
      </c>
      <c r="W882" s="44" t="s">
        <v>2463</v>
      </c>
      <c r="X882" s="22">
        <f t="shared" si="23"/>
        <v>94</v>
      </c>
      <c r="Y882" s="22">
        <v>2.81</v>
      </c>
      <c r="Z882" s="22">
        <v>2.65</v>
      </c>
      <c r="AA882" s="17" t="s">
        <v>46</v>
      </c>
      <c r="AB882" s="26">
        <v>7210</v>
      </c>
      <c r="AC882" s="26">
        <v>229</v>
      </c>
      <c r="AD882" s="26">
        <v>484</v>
      </c>
      <c r="AE882" s="27">
        <v>42381</v>
      </c>
      <c r="AF882" s="27">
        <v>1343</v>
      </c>
      <c r="AG882" s="28"/>
      <c r="AH882" s="28"/>
      <c r="AI882" s="17">
        <v>2014</v>
      </c>
      <c r="AJ882" s="17">
        <v>1</v>
      </c>
      <c r="AK882" s="17">
        <v>0</v>
      </c>
    </row>
    <row r="883" spans="1:37" ht="15.75" customHeight="1">
      <c r="A883" s="121" t="s">
        <v>1012</v>
      </c>
      <c r="B883" s="33" t="s">
        <v>1004</v>
      </c>
      <c r="C883" s="27">
        <v>95</v>
      </c>
      <c r="D883" s="20" t="s">
        <v>196</v>
      </c>
      <c r="E883" s="33">
        <v>0</v>
      </c>
      <c r="F883" s="33" t="s">
        <v>958</v>
      </c>
      <c r="G883" s="33" t="s">
        <v>977</v>
      </c>
      <c r="H883" s="33" t="s">
        <v>932</v>
      </c>
      <c r="I883" s="17" t="b">
        <v>0</v>
      </c>
      <c r="J883" s="17" t="s">
        <v>43</v>
      </c>
      <c r="K883" s="21" t="str">
        <f t="shared" si="25"/>
        <v>https://version2.ice-d.org/antarctica/sample/K2020-LI-13-05/</v>
      </c>
      <c r="L883" s="121" t="s">
        <v>39</v>
      </c>
      <c r="M883" s="155"/>
      <c r="O883" s="17" t="s">
        <v>1008</v>
      </c>
      <c r="P883" s="22">
        <v>-63.76146</v>
      </c>
      <c r="Q883" s="22">
        <v>-58.178229999999999</v>
      </c>
      <c r="R883" s="22">
        <v>3</v>
      </c>
      <c r="S883" s="22">
        <v>95</v>
      </c>
      <c r="T883" s="22">
        <v>0</v>
      </c>
      <c r="U883" s="23">
        <v>780</v>
      </c>
      <c r="V883" s="7" t="s">
        <v>2435</v>
      </c>
      <c r="W883" s="44" t="s">
        <v>2463</v>
      </c>
      <c r="X883" s="22">
        <f t="shared" si="23"/>
        <v>95</v>
      </c>
      <c r="Y883" s="22">
        <v>2.98</v>
      </c>
      <c r="Z883" s="22">
        <v>2.65</v>
      </c>
      <c r="AA883" s="17" t="s">
        <v>46</v>
      </c>
      <c r="AB883" s="26">
        <v>9043</v>
      </c>
      <c r="AC883" s="26">
        <v>248</v>
      </c>
      <c r="AD883" s="26">
        <v>590</v>
      </c>
      <c r="AE883" s="27">
        <v>53355</v>
      </c>
      <c r="AF883" s="27">
        <v>1462</v>
      </c>
      <c r="AG883" s="28"/>
      <c r="AH883" s="28"/>
      <c r="AI883" s="17">
        <v>2014</v>
      </c>
      <c r="AJ883" s="17">
        <v>1</v>
      </c>
      <c r="AK883" s="17">
        <v>0</v>
      </c>
    </row>
    <row r="884" spans="1:37" ht="15.75" customHeight="1">
      <c r="A884" s="121" t="s">
        <v>1013</v>
      </c>
      <c r="B884" s="33" t="s">
        <v>1004</v>
      </c>
      <c r="C884" s="27">
        <v>95</v>
      </c>
      <c r="D884" s="20" t="s">
        <v>196</v>
      </c>
      <c r="E884" s="33">
        <v>0</v>
      </c>
      <c r="F884" s="33" t="s">
        <v>958</v>
      </c>
      <c r="G884" s="33" t="s">
        <v>977</v>
      </c>
      <c r="H884" s="33" t="s">
        <v>932</v>
      </c>
      <c r="I884" s="17" t="b">
        <v>0</v>
      </c>
      <c r="J884" s="17" t="s">
        <v>43</v>
      </c>
      <c r="K884" s="21" t="str">
        <f t="shared" si="25"/>
        <v>https://version2.ice-d.org/antarctica/sample/K2020-LI-13-06/</v>
      </c>
      <c r="L884" s="121" t="s">
        <v>39</v>
      </c>
      <c r="M884" s="155"/>
      <c r="O884" s="17" t="s">
        <v>1008</v>
      </c>
      <c r="P884" s="22">
        <v>-63.761519999999997</v>
      </c>
      <c r="Q884" s="22">
        <v>-58.178319999999999</v>
      </c>
      <c r="R884" s="22">
        <v>3</v>
      </c>
      <c r="S884" s="22">
        <v>93</v>
      </c>
      <c r="T884" s="22">
        <v>0</v>
      </c>
      <c r="U884" s="23">
        <v>780</v>
      </c>
      <c r="V884" s="7" t="s">
        <v>2435</v>
      </c>
      <c r="W884" s="44" t="s">
        <v>2463</v>
      </c>
      <c r="X884" s="22">
        <f t="shared" si="23"/>
        <v>93</v>
      </c>
      <c r="Y884" s="22">
        <v>2.23</v>
      </c>
      <c r="Z884" s="22">
        <v>2.65</v>
      </c>
      <c r="AA884" s="17" t="s">
        <v>46</v>
      </c>
      <c r="AB884" s="26">
        <v>7016</v>
      </c>
      <c r="AC884" s="26">
        <v>213</v>
      </c>
      <c r="AD884" s="26">
        <v>466</v>
      </c>
      <c r="AE884" s="27">
        <v>41332</v>
      </c>
      <c r="AF884" s="27">
        <v>1254</v>
      </c>
      <c r="AG884" s="28"/>
      <c r="AH884" s="28"/>
      <c r="AI884" s="17">
        <v>2014</v>
      </c>
      <c r="AJ884" s="17">
        <v>1</v>
      </c>
      <c r="AK884" s="17">
        <v>0</v>
      </c>
    </row>
    <row r="885" spans="1:37" ht="12.75" customHeight="1">
      <c r="A885" s="130" t="s">
        <v>1014</v>
      </c>
      <c r="B885" s="33" t="s">
        <v>1015</v>
      </c>
      <c r="C885" s="27">
        <v>96</v>
      </c>
      <c r="D885" s="20" t="s">
        <v>196</v>
      </c>
      <c r="E885" s="33">
        <v>0</v>
      </c>
      <c r="F885" s="33" t="s">
        <v>958</v>
      </c>
      <c r="G885" s="33" t="s">
        <v>977</v>
      </c>
      <c r="H885" s="33" t="s">
        <v>932</v>
      </c>
      <c r="I885" s="17" t="b">
        <v>0</v>
      </c>
      <c r="J885" s="17" t="s">
        <v>43</v>
      </c>
      <c r="K885" s="21" t="str">
        <f t="shared" si="25"/>
        <v>https://version2.ice-d.org/antarctica/sample/K2020-SEY-13-01/</v>
      </c>
      <c r="L885" s="130" t="s">
        <v>39</v>
      </c>
      <c r="M885" s="164" t="s">
        <v>44</v>
      </c>
      <c r="O885" s="17" t="s">
        <v>1008</v>
      </c>
      <c r="P885" s="22">
        <v>-64.243700000000004</v>
      </c>
      <c r="Q885" s="22">
        <v>-56.65607</v>
      </c>
      <c r="R885" s="22">
        <v>3</v>
      </c>
      <c r="S885" s="22">
        <v>208</v>
      </c>
      <c r="T885" s="22">
        <v>0</v>
      </c>
      <c r="U885" s="23">
        <v>780</v>
      </c>
      <c r="V885" s="7" t="s">
        <v>2435</v>
      </c>
      <c r="W885" s="44" t="s">
        <v>2463</v>
      </c>
      <c r="X885" s="22">
        <f t="shared" si="23"/>
        <v>208</v>
      </c>
      <c r="Y885" s="22">
        <v>2.17</v>
      </c>
      <c r="Z885" s="22">
        <v>2.65</v>
      </c>
      <c r="AA885" s="17" t="s">
        <v>46</v>
      </c>
      <c r="AB885" s="26">
        <v>3369</v>
      </c>
      <c r="AC885" s="26">
        <v>171</v>
      </c>
      <c r="AD885" s="26">
        <v>263</v>
      </c>
      <c r="AE885" s="27">
        <v>22547</v>
      </c>
      <c r="AF885" s="27">
        <v>1146</v>
      </c>
      <c r="AG885" s="28"/>
      <c r="AH885" s="28"/>
      <c r="AI885" s="17">
        <v>2014</v>
      </c>
      <c r="AJ885" s="17">
        <v>1</v>
      </c>
      <c r="AK885" s="17">
        <v>0</v>
      </c>
    </row>
    <row r="886" spans="1:37" ht="12.75" customHeight="1">
      <c r="A886" s="130" t="s">
        <v>1016</v>
      </c>
      <c r="B886" s="33" t="s">
        <v>1015</v>
      </c>
      <c r="C886" s="27">
        <v>96</v>
      </c>
      <c r="D886" s="20" t="s">
        <v>196</v>
      </c>
      <c r="E886" s="33">
        <v>0</v>
      </c>
      <c r="F886" s="33" t="s">
        <v>958</v>
      </c>
      <c r="G886" s="33" t="s">
        <v>977</v>
      </c>
      <c r="H886" s="33" t="s">
        <v>932</v>
      </c>
      <c r="I886" s="17" t="b">
        <v>0</v>
      </c>
      <c r="J886" s="17" t="s">
        <v>43</v>
      </c>
      <c r="K886" s="21" t="str">
        <f t="shared" si="25"/>
        <v>https://version2.ice-d.org/antarctica/sample/K2020-SEY-13-02/</v>
      </c>
      <c r="L886" s="130" t="s">
        <v>39</v>
      </c>
      <c r="M886" s="155"/>
      <c r="O886" s="17" t="s">
        <v>1008</v>
      </c>
      <c r="P886" s="22">
        <v>-64.246709999999993</v>
      </c>
      <c r="Q886" s="22">
        <v>-56.65269</v>
      </c>
      <c r="R886" s="22">
        <v>3</v>
      </c>
      <c r="S886" s="22">
        <v>206</v>
      </c>
      <c r="T886" s="22">
        <v>0</v>
      </c>
      <c r="U886" s="23">
        <v>780</v>
      </c>
      <c r="V886" s="7" t="s">
        <v>2435</v>
      </c>
      <c r="W886" s="44" t="s">
        <v>2463</v>
      </c>
      <c r="X886" s="22">
        <f t="shared" si="23"/>
        <v>206</v>
      </c>
      <c r="Y886" s="22">
        <v>0.82</v>
      </c>
      <c r="Z886" s="22">
        <v>2.65</v>
      </c>
      <c r="AA886" s="17" t="s">
        <v>46</v>
      </c>
      <c r="AB886" s="26">
        <v>4701</v>
      </c>
      <c r="AC886" s="26">
        <v>174</v>
      </c>
      <c r="AD886" s="26">
        <v>328</v>
      </c>
      <c r="AE886" s="27">
        <v>31301</v>
      </c>
      <c r="AF886" s="27">
        <v>1158</v>
      </c>
      <c r="AG886" s="28"/>
      <c r="AH886" s="28"/>
      <c r="AI886" s="17">
        <v>2014</v>
      </c>
      <c r="AJ886" s="17">
        <v>1</v>
      </c>
      <c r="AK886" s="17">
        <v>0</v>
      </c>
    </row>
    <row r="887" spans="1:37" ht="12.75" customHeight="1">
      <c r="A887" s="130" t="s">
        <v>1017</v>
      </c>
      <c r="B887" s="33" t="s">
        <v>1015</v>
      </c>
      <c r="C887" s="27">
        <v>96</v>
      </c>
      <c r="D887" s="20" t="s">
        <v>196</v>
      </c>
      <c r="E887" s="33">
        <v>0</v>
      </c>
      <c r="F887" s="33" t="s">
        <v>958</v>
      </c>
      <c r="G887" s="33" t="s">
        <v>977</v>
      </c>
      <c r="H887" s="33" t="s">
        <v>932</v>
      </c>
      <c r="I887" s="17" t="b">
        <v>0</v>
      </c>
      <c r="J887" s="17" t="s">
        <v>43</v>
      </c>
      <c r="K887" s="21" t="str">
        <f t="shared" si="25"/>
        <v>https://version2.ice-d.org/antarctica/sample/K2020-SEY-13-04/</v>
      </c>
      <c r="L887" s="130" t="s">
        <v>39</v>
      </c>
      <c r="M887" s="155"/>
      <c r="O887" s="17" t="s">
        <v>1008</v>
      </c>
      <c r="P887" s="22">
        <v>-64.257999999999996</v>
      </c>
      <c r="Q887" s="22">
        <v>-56.652149999999999</v>
      </c>
      <c r="R887" s="22">
        <v>3</v>
      </c>
      <c r="S887" s="22">
        <v>202</v>
      </c>
      <c r="T887" s="22">
        <v>0</v>
      </c>
      <c r="U887" s="23">
        <v>780</v>
      </c>
      <c r="V887" s="7" t="s">
        <v>2435</v>
      </c>
      <c r="W887" s="44" t="s">
        <v>2463</v>
      </c>
      <c r="X887" s="22">
        <f t="shared" si="23"/>
        <v>202</v>
      </c>
      <c r="Y887" s="22">
        <v>0.89</v>
      </c>
      <c r="Z887" s="22">
        <v>2.65</v>
      </c>
      <c r="AA887" s="17" t="s">
        <v>46</v>
      </c>
      <c r="AB887" s="26">
        <v>8169</v>
      </c>
      <c r="AC887" s="26">
        <v>219</v>
      </c>
      <c r="AD887" s="26">
        <v>530</v>
      </c>
      <c r="AE887" s="27">
        <v>54733</v>
      </c>
      <c r="AF887" s="27">
        <v>1462</v>
      </c>
      <c r="AG887" s="28"/>
      <c r="AH887" s="28"/>
      <c r="AI887" s="17">
        <v>2014</v>
      </c>
      <c r="AJ887" s="17">
        <v>1</v>
      </c>
      <c r="AK887" s="17">
        <v>0</v>
      </c>
    </row>
    <row r="888" spans="1:37" ht="12.75" customHeight="1">
      <c r="A888" s="131" t="s">
        <v>1018</v>
      </c>
      <c r="B888" s="33" t="s">
        <v>1019</v>
      </c>
      <c r="C888" s="27">
        <v>97</v>
      </c>
      <c r="D888" s="20" t="s">
        <v>196</v>
      </c>
      <c r="E888" s="33">
        <v>0</v>
      </c>
      <c r="F888" s="33" t="s">
        <v>958</v>
      </c>
      <c r="G888" s="33" t="s">
        <v>977</v>
      </c>
      <c r="H888" s="33" t="s">
        <v>932</v>
      </c>
      <c r="I888" s="17" t="b">
        <v>0</v>
      </c>
      <c r="J888" s="17" t="s">
        <v>43</v>
      </c>
      <c r="K888" s="21" t="str">
        <f t="shared" si="25"/>
        <v>https://version2.ice-d.org/antarctica/sample/K2020-JRQ-13-08/</v>
      </c>
      <c r="L888" s="102" t="s">
        <v>39</v>
      </c>
      <c r="M888" s="156" t="s">
        <v>44</v>
      </c>
      <c r="O888" s="17" t="s">
        <v>1008</v>
      </c>
      <c r="P888" s="17">
        <v>-63.916339999999998</v>
      </c>
      <c r="Q888" s="17">
        <v>-58.301259999999999</v>
      </c>
      <c r="S888" s="17">
        <v>44</v>
      </c>
      <c r="T888" s="17">
        <v>0</v>
      </c>
      <c r="U888" s="23">
        <v>780</v>
      </c>
      <c r="V888" s="7" t="s">
        <v>2435</v>
      </c>
      <c r="W888" s="44" t="s">
        <v>2463</v>
      </c>
      <c r="X888" s="22">
        <f t="shared" si="23"/>
        <v>44</v>
      </c>
      <c r="AA888" s="17" t="s">
        <v>46</v>
      </c>
      <c r="AB888" s="36">
        <v>7253</v>
      </c>
      <c r="AC888" s="36">
        <v>221</v>
      </c>
      <c r="AD888" s="36">
        <v>482</v>
      </c>
      <c r="AE888" s="17">
        <v>221</v>
      </c>
      <c r="AF888" s="27"/>
      <c r="AG888" s="28"/>
      <c r="AH888" s="28"/>
      <c r="AK888" s="17">
        <v>0</v>
      </c>
    </row>
    <row r="889" spans="1:37" ht="12.75" customHeight="1">
      <c r="A889" s="131" t="s">
        <v>1020</v>
      </c>
      <c r="B889" s="33" t="s">
        <v>1019</v>
      </c>
      <c r="C889" s="27">
        <v>97</v>
      </c>
      <c r="D889" s="20" t="s">
        <v>196</v>
      </c>
      <c r="E889" s="33">
        <v>0</v>
      </c>
      <c r="F889" s="33" t="s">
        <v>958</v>
      </c>
      <c r="G889" s="33" t="s">
        <v>977</v>
      </c>
      <c r="H889" s="33" t="s">
        <v>932</v>
      </c>
      <c r="I889" s="17" t="b">
        <v>0</v>
      </c>
      <c r="J889" s="17" t="s">
        <v>43</v>
      </c>
      <c r="K889" s="21" t="str">
        <f t="shared" si="25"/>
        <v>https://version2.ice-d.org/antarctica/sample/K2020-JRQ-13-09/</v>
      </c>
      <c r="L889" s="102" t="s">
        <v>39</v>
      </c>
      <c r="M889" s="155"/>
      <c r="O889" s="17" t="s">
        <v>1008</v>
      </c>
      <c r="P889" s="17">
        <v>-63.920169999999999</v>
      </c>
      <c r="Q889" s="17">
        <v>-58.303330000000003</v>
      </c>
      <c r="S889" s="17">
        <v>38</v>
      </c>
      <c r="T889" s="17">
        <v>0</v>
      </c>
      <c r="U889" s="23">
        <v>780</v>
      </c>
      <c r="V889" s="7" t="s">
        <v>2435</v>
      </c>
      <c r="W889" s="44" t="s">
        <v>2463</v>
      </c>
      <c r="X889" s="22">
        <f t="shared" si="23"/>
        <v>38</v>
      </c>
      <c r="AA889" s="17" t="s">
        <v>46</v>
      </c>
      <c r="AB889" s="36">
        <v>6705</v>
      </c>
      <c r="AC889" s="36">
        <v>311</v>
      </c>
      <c r="AD889" s="36">
        <v>504</v>
      </c>
      <c r="AE889" s="17">
        <v>311</v>
      </c>
      <c r="AF889" s="27"/>
      <c r="AG889" s="28"/>
      <c r="AH889" s="28"/>
      <c r="AK889" s="17">
        <v>0</v>
      </c>
    </row>
    <row r="890" spans="1:37" ht="12.75" customHeight="1">
      <c r="A890" s="131" t="s">
        <v>1021</v>
      </c>
      <c r="B890" s="33" t="s">
        <v>1019</v>
      </c>
      <c r="C890" s="27">
        <v>97</v>
      </c>
      <c r="D890" s="20" t="s">
        <v>196</v>
      </c>
      <c r="E890" s="33">
        <v>0</v>
      </c>
      <c r="F890" s="33" t="s">
        <v>958</v>
      </c>
      <c r="G890" s="33" t="s">
        <v>977</v>
      </c>
      <c r="H890" s="33" t="s">
        <v>932</v>
      </c>
      <c r="I890" s="17" t="b">
        <v>0</v>
      </c>
      <c r="J890" s="17" t="s">
        <v>43</v>
      </c>
      <c r="K890" s="21" t="str">
        <f t="shared" si="25"/>
        <v>https://version2.ice-d.org/antarctica/sample/K2020-JRQ-13-10/</v>
      </c>
      <c r="L890" s="102" t="s">
        <v>39</v>
      </c>
      <c r="M890" s="155"/>
      <c r="O890" s="17" t="s">
        <v>1008</v>
      </c>
      <c r="P890" s="17">
        <v>-63.917189999999998</v>
      </c>
      <c r="Q890" s="17">
        <v>-58.305570000000003</v>
      </c>
      <c r="S890" s="17">
        <v>39</v>
      </c>
      <c r="T890" s="17">
        <v>0</v>
      </c>
      <c r="U890" s="23">
        <v>780</v>
      </c>
      <c r="V890" s="7" t="s">
        <v>2435</v>
      </c>
      <c r="W890" s="44" t="s">
        <v>2463</v>
      </c>
      <c r="X890" s="22">
        <f t="shared" si="23"/>
        <v>39</v>
      </c>
      <c r="AA890" s="17" t="s">
        <v>46</v>
      </c>
      <c r="AB890" s="36">
        <v>6682</v>
      </c>
      <c r="AC890" s="36">
        <v>184</v>
      </c>
      <c r="AD890" s="36">
        <v>436</v>
      </c>
      <c r="AE890" s="17">
        <v>184</v>
      </c>
      <c r="AF890" s="27"/>
      <c r="AG890" s="28"/>
      <c r="AH890" s="28"/>
      <c r="AK890" s="17">
        <v>0</v>
      </c>
    </row>
    <row r="891" spans="1:37" ht="12.75" customHeight="1">
      <c r="A891" s="131" t="s">
        <v>1022</v>
      </c>
      <c r="B891" s="33" t="s">
        <v>1019</v>
      </c>
      <c r="C891" s="27">
        <v>97</v>
      </c>
      <c r="D891" s="20" t="s">
        <v>196</v>
      </c>
      <c r="E891" s="33">
        <v>0</v>
      </c>
      <c r="F891" s="33" t="s">
        <v>958</v>
      </c>
      <c r="G891" s="33" t="s">
        <v>977</v>
      </c>
      <c r="H891" s="33" t="s">
        <v>932</v>
      </c>
      <c r="I891" s="17" t="b">
        <v>0</v>
      </c>
      <c r="J891" s="17" t="s">
        <v>43</v>
      </c>
      <c r="K891" s="21" t="str">
        <f t="shared" si="25"/>
        <v>https://version2.ice-d.org/antarctica/sample/K2020-JRQ-13-24/</v>
      </c>
      <c r="L891" s="102" t="s">
        <v>39</v>
      </c>
      <c r="M891" s="155"/>
      <c r="O891" s="17" t="s">
        <v>1008</v>
      </c>
      <c r="P891" s="17">
        <v>-63.923650000000002</v>
      </c>
      <c r="Q891" s="17">
        <v>-58.301180000000002</v>
      </c>
      <c r="S891" s="17">
        <v>56</v>
      </c>
      <c r="T891" s="17">
        <v>0</v>
      </c>
      <c r="U891" s="23">
        <v>780</v>
      </c>
      <c r="V891" s="7" t="s">
        <v>2435</v>
      </c>
      <c r="W891" s="44" t="s">
        <v>2463</v>
      </c>
      <c r="X891" s="22">
        <f t="shared" si="23"/>
        <v>56</v>
      </c>
      <c r="AA891" s="17" t="s">
        <v>46</v>
      </c>
      <c r="AB891" s="36">
        <v>8409</v>
      </c>
      <c r="AC891" s="36">
        <v>228</v>
      </c>
      <c r="AD891" s="36">
        <v>547</v>
      </c>
      <c r="AE891" s="17">
        <v>228</v>
      </c>
      <c r="AF891" s="27"/>
      <c r="AG891" s="28"/>
      <c r="AH891" s="28"/>
      <c r="AK891" s="17">
        <v>0</v>
      </c>
    </row>
    <row r="892" spans="1:37" ht="12.75" customHeight="1">
      <c r="A892" s="131" t="s">
        <v>1023</v>
      </c>
      <c r="B892" s="33" t="s">
        <v>1019</v>
      </c>
      <c r="C892" s="27">
        <v>97</v>
      </c>
      <c r="D892" s="20" t="s">
        <v>196</v>
      </c>
      <c r="E892" s="33">
        <v>0</v>
      </c>
      <c r="F892" s="33" t="s">
        <v>958</v>
      </c>
      <c r="G892" s="33" t="s">
        <v>977</v>
      </c>
      <c r="H892" s="33" t="s">
        <v>932</v>
      </c>
      <c r="I892" s="17" t="b">
        <v>0</v>
      </c>
      <c r="J892" s="17" t="s">
        <v>43</v>
      </c>
      <c r="K892" s="21" t="str">
        <f t="shared" si="25"/>
        <v>https://version2.ice-d.org/antarctica/sample/K2020-JRQ-13-25/</v>
      </c>
      <c r="L892" s="102" t="s">
        <v>39</v>
      </c>
      <c r="M892" s="155"/>
      <c r="O892" s="17" t="s">
        <v>1008</v>
      </c>
      <c r="P892" s="17">
        <v>-63.919319999999999</v>
      </c>
      <c r="Q892" s="17">
        <v>-58.29721</v>
      </c>
      <c r="S892" s="17">
        <v>54</v>
      </c>
      <c r="T892" s="17">
        <v>0</v>
      </c>
      <c r="U892" s="23">
        <v>780</v>
      </c>
      <c r="V892" s="7" t="s">
        <v>2435</v>
      </c>
      <c r="W892" s="44" t="s">
        <v>2463</v>
      </c>
      <c r="X892" s="22">
        <f t="shared" si="23"/>
        <v>54</v>
      </c>
      <c r="AA892" s="17" t="s">
        <v>46</v>
      </c>
      <c r="AB892" s="36">
        <v>8104</v>
      </c>
      <c r="AC892" s="36">
        <v>374</v>
      </c>
      <c r="AD892" s="36">
        <v>608</v>
      </c>
      <c r="AE892" s="17">
        <v>374</v>
      </c>
      <c r="AF892" s="27"/>
      <c r="AG892" s="28"/>
      <c r="AH892" s="28"/>
      <c r="AK892" s="17">
        <v>0</v>
      </c>
    </row>
    <row r="893" spans="1:37" ht="12.75" customHeight="1">
      <c r="A893" s="131" t="s">
        <v>1024</v>
      </c>
      <c r="B893" s="33" t="s">
        <v>1019</v>
      </c>
      <c r="C893" s="27">
        <v>97</v>
      </c>
      <c r="D893" s="20" t="s">
        <v>196</v>
      </c>
      <c r="E893" s="33">
        <v>0</v>
      </c>
      <c r="F893" s="33" t="s">
        <v>958</v>
      </c>
      <c r="G893" s="33" t="s">
        <v>977</v>
      </c>
      <c r="H893" s="33" t="s">
        <v>932</v>
      </c>
      <c r="I893" s="17" t="b">
        <v>0</v>
      </c>
      <c r="J893" s="17" t="s">
        <v>43</v>
      </c>
      <c r="K893" s="21" t="str">
        <f t="shared" si="25"/>
        <v>https://version2.ice-d.org/antarctica/sample/K2020-JRQ-13-27/</v>
      </c>
      <c r="L893" s="102" t="s">
        <v>39</v>
      </c>
      <c r="M893" s="155"/>
      <c r="O893" s="17" t="s">
        <v>1008</v>
      </c>
      <c r="P893" s="17">
        <v>-63.919710000000002</v>
      </c>
      <c r="Q893" s="17">
        <v>-58.307429999999997</v>
      </c>
      <c r="S893" s="17">
        <v>31</v>
      </c>
      <c r="T893" s="17">
        <v>0</v>
      </c>
      <c r="U893" s="23">
        <v>780</v>
      </c>
      <c r="V893" s="7" t="s">
        <v>2435</v>
      </c>
      <c r="W893" s="44" t="s">
        <v>2463</v>
      </c>
      <c r="X893" s="22">
        <f t="shared" si="23"/>
        <v>31</v>
      </c>
      <c r="AA893" s="17" t="s">
        <v>46</v>
      </c>
      <c r="AB893" s="36">
        <v>7474</v>
      </c>
      <c r="AC893" s="36">
        <v>191</v>
      </c>
      <c r="AD893" s="36">
        <v>481</v>
      </c>
      <c r="AE893" s="17">
        <v>191</v>
      </c>
      <c r="AF893" s="27"/>
      <c r="AG893" s="28"/>
      <c r="AH893" s="28"/>
      <c r="AK893" s="17">
        <v>0</v>
      </c>
    </row>
    <row r="894" spans="1:37" ht="12.75" customHeight="1">
      <c r="A894" s="64" t="s">
        <v>1025</v>
      </c>
      <c r="B894" s="19" t="s">
        <v>1026</v>
      </c>
      <c r="C894" s="17">
        <v>98</v>
      </c>
      <c r="D894" s="20" t="s">
        <v>196</v>
      </c>
      <c r="E894" s="33">
        <v>0</v>
      </c>
      <c r="F894" s="33" t="s">
        <v>958</v>
      </c>
      <c r="G894" s="33" t="s">
        <v>977</v>
      </c>
      <c r="H894" s="33" t="s">
        <v>932</v>
      </c>
      <c r="I894" s="17" t="b">
        <v>0</v>
      </c>
      <c r="J894" s="17" t="s">
        <v>43</v>
      </c>
      <c r="K894" s="21" t="str">
        <f t="shared" si="25"/>
        <v>https://version2.ice-d.org/antarctica/sample/G2014-JRI-01/</v>
      </c>
      <c r="L894" s="64" t="s">
        <v>39</v>
      </c>
      <c r="M894" s="64"/>
      <c r="O894" s="132" t="s">
        <v>978</v>
      </c>
      <c r="P894" s="79">
        <v>-63.842669999999998</v>
      </c>
      <c r="Q894" s="79">
        <v>-58.032170000000001</v>
      </c>
      <c r="S894" s="22">
        <v>104</v>
      </c>
      <c r="T894" s="22">
        <v>0</v>
      </c>
      <c r="U894" s="23">
        <v>780</v>
      </c>
      <c r="V894" s="7" t="s">
        <v>2435</v>
      </c>
      <c r="W894" s="44" t="s">
        <v>2463</v>
      </c>
      <c r="X894" s="22">
        <f t="shared" si="23"/>
        <v>104</v>
      </c>
      <c r="Y894" s="22"/>
      <c r="Z894" s="22"/>
      <c r="AB894" s="128">
        <v>12836</v>
      </c>
      <c r="AC894" s="128">
        <v>460</v>
      </c>
      <c r="AD894" s="60">
        <v>888</v>
      </c>
      <c r="AE894" s="22"/>
      <c r="AF894" s="27"/>
      <c r="AG894" s="28"/>
      <c r="AH894" s="28"/>
      <c r="AK894" s="17">
        <v>0</v>
      </c>
    </row>
    <row r="895" spans="1:37" ht="12.75" customHeight="1">
      <c r="A895" s="64" t="s">
        <v>1025</v>
      </c>
      <c r="B895" s="19" t="s">
        <v>1026</v>
      </c>
      <c r="C895" s="17">
        <v>98</v>
      </c>
      <c r="D895" s="20" t="s">
        <v>196</v>
      </c>
      <c r="E895" s="33">
        <v>0</v>
      </c>
      <c r="F895" s="33" t="s">
        <v>958</v>
      </c>
      <c r="G895" s="33" t="s">
        <v>977</v>
      </c>
      <c r="H895" s="33" t="s">
        <v>932</v>
      </c>
      <c r="I895" s="17" t="b">
        <v>0</v>
      </c>
      <c r="J895" s="17" t="s">
        <v>64</v>
      </c>
      <c r="K895" s="21" t="str">
        <f t="shared" si="25"/>
        <v>https://version2.ice-d.org/antarctica/sample/G2014-JRI-01/</v>
      </c>
      <c r="L895" s="64" t="s">
        <v>39</v>
      </c>
      <c r="M895" s="64"/>
      <c r="O895" s="132" t="s">
        <v>978</v>
      </c>
      <c r="P895" s="79">
        <v>-63.842669999999998</v>
      </c>
      <c r="Q895" s="79">
        <v>-58.032170000000001</v>
      </c>
      <c r="S895" s="22">
        <v>104</v>
      </c>
      <c r="T895" s="22">
        <v>0</v>
      </c>
      <c r="U895" s="23">
        <v>780</v>
      </c>
      <c r="V895" s="7" t="s">
        <v>2435</v>
      </c>
      <c r="W895" s="44" t="s">
        <v>2463</v>
      </c>
      <c r="X895" s="22">
        <f t="shared" si="23"/>
        <v>104</v>
      </c>
      <c r="Y895" s="22"/>
      <c r="Z895" s="22"/>
      <c r="AB895" s="128">
        <v>12997</v>
      </c>
      <c r="AC895" s="128">
        <v>977</v>
      </c>
      <c r="AD895" s="60">
        <v>1490</v>
      </c>
      <c r="AE895" s="22"/>
      <c r="AF895" s="27"/>
      <c r="AG895" s="28"/>
      <c r="AH895" s="28"/>
      <c r="AK895" s="17">
        <v>0</v>
      </c>
    </row>
    <row r="896" spans="1:37" ht="12.75" customHeight="1">
      <c r="A896" s="64" t="s">
        <v>1027</v>
      </c>
      <c r="B896" s="19" t="s">
        <v>1026</v>
      </c>
      <c r="C896" s="17">
        <v>98</v>
      </c>
      <c r="D896" s="20" t="s">
        <v>196</v>
      </c>
      <c r="E896" s="33">
        <v>0</v>
      </c>
      <c r="F896" s="33" t="s">
        <v>958</v>
      </c>
      <c r="G896" s="33" t="s">
        <v>977</v>
      </c>
      <c r="H896" s="33" t="s">
        <v>932</v>
      </c>
      <c r="I896" s="17" t="b">
        <v>0</v>
      </c>
      <c r="J896" s="17" t="s">
        <v>43</v>
      </c>
      <c r="K896" s="21" t="str">
        <f t="shared" si="25"/>
        <v>https://version2.ice-d.org/antarctica/sample/G2014-JRI-03/</v>
      </c>
      <c r="L896" s="64" t="s">
        <v>39</v>
      </c>
      <c r="M896" s="64"/>
      <c r="O896" s="127" t="s">
        <v>978</v>
      </c>
      <c r="P896" s="79">
        <v>-63.843060000000001</v>
      </c>
      <c r="Q896" s="79">
        <v>-58.031260000000003</v>
      </c>
      <c r="S896" s="22">
        <v>103</v>
      </c>
      <c r="T896" s="22">
        <v>0</v>
      </c>
      <c r="U896" s="23">
        <v>780</v>
      </c>
      <c r="V896" s="7" t="s">
        <v>2435</v>
      </c>
      <c r="W896" s="44" t="s">
        <v>2463</v>
      </c>
      <c r="X896" s="22">
        <f t="shared" si="23"/>
        <v>103</v>
      </c>
      <c r="Y896" s="22"/>
      <c r="Z896" s="22"/>
      <c r="AB896" s="128">
        <v>11177</v>
      </c>
      <c r="AC896" s="60">
        <v>463</v>
      </c>
      <c r="AD896" s="60">
        <v>807</v>
      </c>
      <c r="AE896" s="22"/>
      <c r="AF896" s="27"/>
      <c r="AG896" s="28"/>
      <c r="AH896" s="28"/>
      <c r="AK896" s="17">
        <v>0</v>
      </c>
    </row>
    <row r="897" spans="1:37" ht="12.75" customHeight="1">
      <c r="A897" s="64" t="s">
        <v>1027</v>
      </c>
      <c r="B897" s="19" t="s">
        <v>1026</v>
      </c>
      <c r="C897" s="17">
        <v>98</v>
      </c>
      <c r="D897" s="20" t="s">
        <v>196</v>
      </c>
      <c r="E897" s="33">
        <v>0</v>
      </c>
      <c r="F897" s="33" t="s">
        <v>958</v>
      </c>
      <c r="G897" s="33" t="s">
        <v>977</v>
      </c>
      <c r="H897" s="33" t="s">
        <v>932</v>
      </c>
      <c r="I897" s="17" t="b">
        <v>0</v>
      </c>
      <c r="J897" s="17" t="s">
        <v>64</v>
      </c>
      <c r="K897" s="21" t="str">
        <f t="shared" si="25"/>
        <v>https://version2.ice-d.org/antarctica/sample/G2014-JRI-03/</v>
      </c>
      <c r="L897" s="64" t="s">
        <v>39</v>
      </c>
      <c r="M897" s="64"/>
      <c r="O897" s="127" t="s">
        <v>978</v>
      </c>
      <c r="P897" s="79">
        <v>-63.843060000000001</v>
      </c>
      <c r="Q897" s="79">
        <v>-58.031260000000003</v>
      </c>
      <c r="S897" s="22">
        <v>103</v>
      </c>
      <c r="T897" s="22">
        <v>0</v>
      </c>
      <c r="U897" s="23">
        <v>780</v>
      </c>
      <c r="V897" s="7" t="s">
        <v>2435</v>
      </c>
      <c r="W897" s="44" t="s">
        <v>2463</v>
      </c>
      <c r="X897" s="22">
        <f t="shared" si="23"/>
        <v>103</v>
      </c>
      <c r="Y897" s="22"/>
      <c r="Z897" s="22"/>
      <c r="AB897" s="60">
        <v>13306</v>
      </c>
      <c r="AC897" s="60">
        <v>786</v>
      </c>
      <c r="AD897" s="60">
        <v>1341</v>
      </c>
      <c r="AE897" s="22"/>
      <c r="AF897" s="27"/>
      <c r="AG897" s="28"/>
      <c r="AH897" s="28"/>
      <c r="AK897" s="17">
        <v>0</v>
      </c>
    </row>
    <row r="898" spans="1:37" ht="12.75" customHeight="1">
      <c r="A898" s="64" t="s">
        <v>1028</v>
      </c>
      <c r="B898" s="19" t="s">
        <v>1029</v>
      </c>
      <c r="C898" s="17">
        <v>98</v>
      </c>
      <c r="D898" s="20" t="s">
        <v>196</v>
      </c>
      <c r="E898" s="33">
        <v>0</v>
      </c>
      <c r="F898" s="33" t="s">
        <v>958</v>
      </c>
      <c r="G898" s="33" t="s">
        <v>977</v>
      </c>
      <c r="H898" s="33" t="s">
        <v>932</v>
      </c>
      <c r="I898" s="17" t="b">
        <v>0</v>
      </c>
      <c r="J898" s="17" t="s">
        <v>43</v>
      </c>
      <c r="K898" s="21" t="str">
        <f t="shared" si="25"/>
        <v>https://version2.ice-d.org/antarctica/sample/G2014-JRI-09/</v>
      </c>
      <c r="L898" s="64" t="s">
        <v>39</v>
      </c>
      <c r="M898" s="64"/>
      <c r="O898" s="127" t="s">
        <v>978</v>
      </c>
      <c r="P898" s="79">
        <v>-63.857010000000002</v>
      </c>
      <c r="Q898" s="79">
        <v>-58.073120000000003</v>
      </c>
      <c r="S898" s="79">
        <v>39</v>
      </c>
      <c r="T898" s="22">
        <v>0</v>
      </c>
      <c r="U898" s="23">
        <v>780</v>
      </c>
      <c r="V898" s="7" t="s">
        <v>2435</v>
      </c>
      <c r="W898" s="44" t="s">
        <v>2463</v>
      </c>
      <c r="X898" s="22">
        <f t="shared" si="23"/>
        <v>39</v>
      </c>
      <c r="Y898" s="22"/>
      <c r="Z898" s="22"/>
      <c r="AB898" s="81">
        <v>9145</v>
      </c>
      <c r="AC898" s="81">
        <v>328</v>
      </c>
      <c r="AD898" s="60">
        <v>632</v>
      </c>
      <c r="AE898" s="22"/>
      <c r="AF898" s="27"/>
      <c r="AG898" s="28"/>
      <c r="AH898" s="28"/>
      <c r="AK898" s="17">
        <v>0</v>
      </c>
    </row>
    <row r="899" spans="1:37" ht="12.75" customHeight="1">
      <c r="A899" s="64" t="s">
        <v>1028</v>
      </c>
      <c r="B899" s="19" t="s">
        <v>1029</v>
      </c>
      <c r="C899" s="17">
        <v>98</v>
      </c>
      <c r="D899" s="20" t="s">
        <v>196</v>
      </c>
      <c r="E899" s="33">
        <v>0</v>
      </c>
      <c r="F899" s="33" t="s">
        <v>958</v>
      </c>
      <c r="G899" s="33" t="s">
        <v>977</v>
      </c>
      <c r="H899" s="33" t="s">
        <v>932</v>
      </c>
      <c r="I899" s="17" t="b">
        <v>0</v>
      </c>
      <c r="J899" s="17" t="s">
        <v>64</v>
      </c>
      <c r="K899" s="21" t="str">
        <f t="shared" si="25"/>
        <v>https://version2.ice-d.org/antarctica/sample/G2014-JRI-09/</v>
      </c>
      <c r="L899" s="64" t="s">
        <v>39</v>
      </c>
      <c r="M899" s="64"/>
      <c r="O899" s="127" t="s">
        <v>978</v>
      </c>
      <c r="P899" s="79">
        <v>-63.857010000000002</v>
      </c>
      <c r="Q899" s="79">
        <v>-58.073120000000003</v>
      </c>
      <c r="S899" s="79">
        <v>39</v>
      </c>
      <c r="T899" s="22">
        <v>0</v>
      </c>
      <c r="U899" s="23">
        <v>780</v>
      </c>
      <c r="V899" s="7" t="s">
        <v>2435</v>
      </c>
      <c r="W899" s="44" t="s">
        <v>2463</v>
      </c>
      <c r="X899" s="22">
        <f t="shared" si="23"/>
        <v>39</v>
      </c>
      <c r="Y899" s="22"/>
      <c r="Z899" s="22"/>
      <c r="AB899" s="81">
        <v>9289</v>
      </c>
      <c r="AC899" s="81">
        <v>316</v>
      </c>
      <c r="AD899" s="60">
        <v>863</v>
      </c>
      <c r="AE899" s="22"/>
      <c r="AF899" s="27"/>
      <c r="AG899" s="28"/>
      <c r="AH899" s="28"/>
      <c r="AK899" s="17">
        <v>0</v>
      </c>
    </row>
    <row r="900" spans="1:37" ht="12.75" customHeight="1">
      <c r="A900" s="64" t="s">
        <v>1030</v>
      </c>
      <c r="B900" s="19" t="s">
        <v>1031</v>
      </c>
      <c r="C900" s="17">
        <v>99</v>
      </c>
      <c r="D900" s="20" t="s">
        <v>196</v>
      </c>
      <c r="E900" s="33">
        <v>0</v>
      </c>
      <c r="F900" s="33" t="s">
        <v>958</v>
      </c>
      <c r="G900" s="33" t="s">
        <v>977</v>
      </c>
      <c r="H900" s="33" t="s">
        <v>932</v>
      </c>
      <c r="I900" s="17" t="b">
        <v>0</v>
      </c>
      <c r="J900" s="17" t="s">
        <v>43</v>
      </c>
      <c r="K900" s="21" t="str">
        <f t="shared" si="25"/>
        <v>https://version2.ice-d.org/antarctica/sample/G2014-JRI-62/</v>
      </c>
      <c r="L900" s="64" t="s">
        <v>39</v>
      </c>
      <c r="M900" s="64"/>
      <c r="O900" s="127" t="s">
        <v>978</v>
      </c>
      <c r="P900" s="79">
        <v>-63.8596</v>
      </c>
      <c r="Q900" s="79">
        <v>-58.108379999999997</v>
      </c>
      <c r="S900" s="79">
        <v>144</v>
      </c>
      <c r="T900" s="22">
        <v>0</v>
      </c>
      <c r="U900" s="23">
        <v>780</v>
      </c>
      <c r="V900" s="7" t="s">
        <v>2435</v>
      </c>
      <c r="W900" s="44" t="s">
        <v>2463</v>
      </c>
      <c r="X900" s="22">
        <f t="shared" si="23"/>
        <v>144</v>
      </c>
      <c r="Y900" s="22"/>
      <c r="Z900" s="22"/>
      <c r="AB900" s="81">
        <v>7586</v>
      </c>
      <c r="AC900" s="81">
        <v>308</v>
      </c>
      <c r="AD900" s="60">
        <v>544</v>
      </c>
      <c r="AE900" s="22"/>
      <c r="AF900" s="27"/>
      <c r="AG900" s="28"/>
      <c r="AH900" s="28"/>
      <c r="AK900" s="17">
        <v>0</v>
      </c>
    </row>
    <row r="901" spans="1:37" ht="12.75" customHeight="1">
      <c r="A901" s="64" t="s">
        <v>1030</v>
      </c>
      <c r="B901" s="19" t="s">
        <v>1031</v>
      </c>
      <c r="C901" s="17">
        <v>99</v>
      </c>
      <c r="D901" s="20" t="s">
        <v>196</v>
      </c>
      <c r="E901" s="33">
        <v>0</v>
      </c>
      <c r="F901" s="33" t="s">
        <v>958</v>
      </c>
      <c r="G901" s="33" t="s">
        <v>977</v>
      </c>
      <c r="H901" s="33" t="s">
        <v>932</v>
      </c>
      <c r="I901" s="17" t="b">
        <v>0</v>
      </c>
      <c r="J901" s="17" t="s">
        <v>64</v>
      </c>
      <c r="K901" s="21" t="str">
        <f t="shared" si="25"/>
        <v>https://version2.ice-d.org/antarctica/sample/G2014-JRI-62/</v>
      </c>
      <c r="L901" s="64" t="s">
        <v>39</v>
      </c>
      <c r="M901" s="64"/>
      <c r="O901" s="127" t="s">
        <v>978</v>
      </c>
      <c r="P901" s="79">
        <v>-63.8596</v>
      </c>
      <c r="Q901" s="79">
        <v>-58.108379999999997</v>
      </c>
      <c r="S901" s="79">
        <v>144</v>
      </c>
      <c r="T901" s="22">
        <v>0</v>
      </c>
      <c r="U901" s="23">
        <v>780</v>
      </c>
      <c r="V901" s="7" t="s">
        <v>2435</v>
      </c>
      <c r="W901" s="44" t="s">
        <v>2463</v>
      </c>
      <c r="X901" s="22">
        <f t="shared" si="23"/>
        <v>144</v>
      </c>
      <c r="Y901" s="22"/>
      <c r="Z901" s="22"/>
      <c r="AB901" s="81">
        <v>9250</v>
      </c>
      <c r="AC901" s="81">
        <v>602</v>
      </c>
      <c r="AD901" s="60">
        <v>1000</v>
      </c>
      <c r="AE901" s="22"/>
      <c r="AF901" s="27"/>
      <c r="AG901" s="28"/>
      <c r="AH901" s="28"/>
      <c r="AK901" s="17">
        <v>0</v>
      </c>
    </row>
    <row r="902" spans="1:37" ht="12.75" customHeight="1">
      <c r="A902" s="64" t="s">
        <v>1032</v>
      </c>
      <c r="B902" s="19" t="s">
        <v>1033</v>
      </c>
      <c r="C902" s="17">
        <v>100</v>
      </c>
      <c r="D902" s="20" t="s">
        <v>196</v>
      </c>
      <c r="E902" s="19">
        <v>0</v>
      </c>
      <c r="F902" s="33" t="s">
        <v>1034</v>
      </c>
      <c r="G902" s="33" t="s">
        <v>1035</v>
      </c>
      <c r="H902" s="19" t="s">
        <v>932</v>
      </c>
      <c r="I902" s="17" t="b">
        <v>0</v>
      </c>
      <c r="J902" s="17" t="s">
        <v>43</v>
      </c>
      <c r="K902" s="21" t="str">
        <f t="shared" si="25"/>
        <v>https://version2.ice-d.org/antarctica/sample/F2021-NUN-1/</v>
      </c>
      <c r="L902" s="64" t="s">
        <v>39</v>
      </c>
      <c r="M902" s="194" t="s">
        <v>44</v>
      </c>
      <c r="O902" s="17" t="s">
        <v>1036</v>
      </c>
      <c r="P902" s="22">
        <v>-62.671599999999998</v>
      </c>
      <c r="Q902" s="22">
        <v>-60.325099999999999</v>
      </c>
      <c r="R902" s="22">
        <v>5</v>
      </c>
      <c r="S902" s="22">
        <v>360</v>
      </c>
      <c r="T902" s="22">
        <v>0</v>
      </c>
      <c r="U902" s="23">
        <v>500</v>
      </c>
      <c r="V902" s="7" t="s">
        <v>2435</v>
      </c>
      <c r="W902" s="44" t="s">
        <v>2436</v>
      </c>
      <c r="X902" s="22">
        <f t="shared" si="23"/>
        <v>360</v>
      </c>
      <c r="Y902" s="22">
        <v>3.3</v>
      </c>
      <c r="Z902" s="22">
        <v>2.7</v>
      </c>
      <c r="AA902" s="17" t="s">
        <v>58</v>
      </c>
      <c r="AB902" s="26">
        <v>13868</v>
      </c>
      <c r="AC902" s="26">
        <v>761</v>
      </c>
      <c r="AD902" s="26">
        <v>1119</v>
      </c>
      <c r="AE902" s="27">
        <v>101910</v>
      </c>
      <c r="AF902" s="27">
        <v>5570</v>
      </c>
      <c r="AG902" s="28"/>
      <c r="AH902" s="28"/>
      <c r="AI902" s="17">
        <v>2017</v>
      </c>
      <c r="AJ902" s="17">
        <v>1</v>
      </c>
      <c r="AK902" s="17">
        <v>0</v>
      </c>
    </row>
    <row r="903" spans="1:37" ht="12.75" customHeight="1">
      <c r="A903" s="64" t="s">
        <v>1037</v>
      </c>
      <c r="B903" s="19" t="s">
        <v>1033</v>
      </c>
      <c r="C903" s="17">
        <v>100</v>
      </c>
      <c r="D903" s="20" t="s">
        <v>196</v>
      </c>
      <c r="E903" s="19">
        <v>0</v>
      </c>
      <c r="F903" s="33" t="s">
        <v>1034</v>
      </c>
      <c r="G903" s="33" t="s">
        <v>1035</v>
      </c>
      <c r="H903" s="19" t="s">
        <v>932</v>
      </c>
      <c r="I903" s="17" t="b">
        <v>0</v>
      </c>
      <c r="J903" s="17" t="s">
        <v>43</v>
      </c>
      <c r="K903" s="21" t="str">
        <f t="shared" si="25"/>
        <v>https://version2.ice-d.org/antarctica/sample/F2021-NUN-2/</v>
      </c>
      <c r="L903" s="64" t="s">
        <v>39</v>
      </c>
      <c r="M903" s="155"/>
      <c r="O903" s="17" t="s">
        <v>1036</v>
      </c>
      <c r="P903" s="22">
        <v>-62.669899999999998</v>
      </c>
      <c r="Q903" s="22">
        <v>-60.3277</v>
      </c>
      <c r="R903" s="22">
        <v>5</v>
      </c>
      <c r="S903" s="22">
        <v>336</v>
      </c>
      <c r="T903" s="22">
        <v>0</v>
      </c>
      <c r="U903" s="23">
        <v>500</v>
      </c>
      <c r="V903" s="7" t="s">
        <v>2435</v>
      </c>
      <c r="W903" s="44" t="s">
        <v>2436</v>
      </c>
      <c r="X903" s="22">
        <f t="shared" si="23"/>
        <v>336</v>
      </c>
      <c r="Y903" s="22">
        <v>3.4</v>
      </c>
      <c r="Z903" s="22">
        <v>2.7</v>
      </c>
      <c r="AA903" s="17" t="s">
        <v>58</v>
      </c>
      <c r="AB903" s="26">
        <v>14343</v>
      </c>
      <c r="AC903" s="26">
        <v>954</v>
      </c>
      <c r="AD903" s="26">
        <v>1277</v>
      </c>
      <c r="AE903" s="27">
        <v>106220</v>
      </c>
      <c r="AF903" s="27">
        <v>7040</v>
      </c>
      <c r="AG903" s="28"/>
      <c r="AH903" s="28"/>
      <c r="AI903" s="17">
        <v>2017</v>
      </c>
      <c r="AJ903" s="17">
        <v>1</v>
      </c>
      <c r="AK903" s="17">
        <v>0</v>
      </c>
    </row>
    <row r="904" spans="1:37" ht="12.75" customHeight="1">
      <c r="A904" s="70" t="s">
        <v>1038</v>
      </c>
      <c r="B904" s="19" t="s">
        <v>1039</v>
      </c>
      <c r="C904" s="17">
        <v>101</v>
      </c>
      <c r="D904" s="20" t="s">
        <v>196</v>
      </c>
      <c r="E904" s="19">
        <v>0</v>
      </c>
      <c r="F904" s="33" t="s">
        <v>1034</v>
      </c>
      <c r="G904" s="33" t="s">
        <v>1035</v>
      </c>
      <c r="H904" s="19" t="s">
        <v>932</v>
      </c>
      <c r="I904" s="17" t="b">
        <v>0</v>
      </c>
      <c r="J904" s="17" t="s">
        <v>43</v>
      </c>
      <c r="K904" s="21" t="str">
        <f t="shared" si="25"/>
        <v>https://version2.ice-d.org/antarctica/sample/F2021-SO-1/</v>
      </c>
      <c r="L904" s="70" t="s">
        <v>39</v>
      </c>
      <c r="M904" s="186" t="s">
        <v>44</v>
      </c>
      <c r="O904" s="17" t="s">
        <v>1036</v>
      </c>
      <c r="P904" s="22">
        <v>-62.670299999999997</v>
      </c>
      <c r="Q904" s="22">
        <v>-60.379800000000003</v>
      </c>
      <c r="R904" s="22">
        <v>5</v>
      </c>
      <c r="S904" s="22">
        <v>269</v>
      </c>
      <c r="T904" s="22">
        <v>0</v>
      </c>
      <c r="U904" s="23">
        <v>500</v>
      </c>
      <c r="V904" s="7" t="s">
        <v>2435</v>
      </c>
      <c r="W904" s="44" t="s">
        <v>2436</v>
      </c>
      <c r="X904" s="22">
        <f t="shared" si="23"/>
        <v>269</v>
      </c>
      <c r="Y904" s="22">
        <v>4</v>
      </c>
      <c r="Z904" s="22">
        <v>2.7</v>
      </c>
      <c r="AA904" s="17" t="s">
        <v>58</v>
      </c>
      <c r="AB904" s="26">
        <v>17191</v>
      </c>
      <c r="AC904" s="26">
        <v>745</v>
      </c>
      <c r="AD904" s="26">
        <v>1262</v>
      </c>
      <c r="AE904" s="27">
        <v>118670</v>
      </c>
      <c r="AF904" s="27">
        <v>5120</v>
      </c>
      <c r="AG904" s="28"/>
      <c r="AH904" s="28"/>
      <c r="AI904" s="17">
        <v>2017</v>
      </c>
      <c r="AJ904" s="17">
        <v>1</v>
      </c>
      <c r="AK904" s="17">
        <v>0</v>
      </c>
    </row>
    <row r="905" spans="1:37" ht="12.75" customHeight="1">
      <c r="A905" s="70" t="s">
        <v>1040</v>
      </c>
      <c r="B905" s="19" t="s">
        <v>1039</v>
      </c>
      <c r="C905" s="17">
        <v>101</v>
      </c>
      <c r="D905" s="20" t="s">
        <v>196</v>
      </c>
      <c r="E905" s="19">
        <v>0</v>
      </c>
      <c r="F905" s="33" t="s">
        <v>1034</v>
      </c>
      <c r="G905" s="33" t="s">
        <v>1035</v>
      </c>
      <c r="H905" s="19" t="s">
        <v>932</v>
      </c>
      <c r="I905" s="17" t="b">
        <v>0</v>
      </c>
      <c r="J905" s="17" t="s">
        <v>43</v>
      </c>
      <c r="K905" s="21" t="str">
        <f t="shared" si="25"/>
        <v>https://version2.ice-d.org/antarctica/sample/F2021-SO-2/</v>
      </c>
      <c r="L905" s="70" t="s">
        <v>39</v>
      </c>
      <c r="M905" s="155"/>
      <c r="O905" s="17" t="s">
        <v>1036</v>
      </c>
      <c r="P905" s="22">
        <v>-62.670299999999997</v>
      </c>
      <c r="Q905" s="22">
        <v>-60.378399999999999</v>
      </c>
      <c r="R905" s="22">
        <v>5</v>
      </c>
      <c r="S905" s="22">
        <v>263</v>
      </c>
      <c r="T905" s="22">
        <v>0</v>
      </c>
      <c r="U905" s="23">
        <v>500</v>
      </c>
      <c r="V905" s="7" t="s">
        <v>2435</v>
      </c>
      <c r="W905" s="44" t="s">
        <v>2436</v>
      </c>
      <c r="X905" s="22">
        <f t="shared" si="23"/>
        <v>263</v>
      </c>
      <c r="Y905" s="22">
        <v>2.5</v>
      </c>
      <c r="Z905" s="22">
        <v>2.7</v>
      </c>
      <c r="AA905" s="17" t="s">
        <v>58</v>
      </c>
      <c r="AB905" s="26">
        <v>18465</v>
      </c>
      <c r="AC905" s="26">
        <v>884</v>
      </c>
      <c r="AD905" s="26">
        <v>1407</v>
      </c>
      <c r="AE905" s="27">
        <v>128150</v>
      </c>
      <c r="AF905" s="27">
        <v>6110</v>
      </c>
      <c r="AG905" s="28"/>
      <c r="AH905" s="28"/>
      <c r="AI905" s="17">
        <v>2017</v>
      </c>
      <c r="AJ905" s="17">
        <v>1</v>
      </c>
      <c r="AK905" s="17">
        <v>0</v>
      </c>
    </row>
    <row r="906" spans="1:37" ht="15.75" customHeight="1">
      <c r="A906" s="70" t="s">
        <v>1041</v>
      </c>
      <c r="B906" s="19" t="s">
        <v>1039</v>
      </c>
      <c r="C906" s="17">
        <v>101</v>
      </c>
      <c r="D906" s="20" t="s">
        <v>196</v>
      </c>
      <c r="E906" s="19">
        <v>0</v>
      </c>
      <c r="F906" s="33" t="s">
        <v>1034</v>
      </c>
      <c r="G906" s="33" t="s">
        <v>1035</v>
      </c>
      <c r="H906" s="19" t="s">
        <v>932</v>
      </c>
      <c r="I906" s="17" t="b">
        <v>0</v>
      </c>
      <c r="J906" s="17" t="s">
        <v>43</v>
      </c>
      <c r="K906" s="21" t="str">
        <f t="shared" si="25"/>
        <v>https://version2.ice-d.org/antarctica/sample/F2021-SO-5/</v>
      </c>
      <c r="L906" s="70" t="s">
        <v>39</v>
      </c>
      <c r="M906" s="155"/>
      <c r="O906" s="17" t="s">
        <v>1036</v>
      </c>
      <c r="P906" s="22">
        <v>-62.665599999999998</v>
      </c>
      <c r="Q906" s="22">
        <v>-60.382100000000001</v>
      </c>
      <c r="R906" s="22">
        <v>5</v>
      </c>
      <c r="S906" s="22">
        <v>115</v>
      </c>
      <c r="T906" s="22">
        <v>0</v>
      </c>
      <c r="U906" s="23">
        <v>500</v>
      </c>
      <c r="V906" s="7" t="s">
        <v>2435</v>
      </c>
      <c r="W906" s="44" t="s">
        <v>2436</v>
      </c>
      <c r="X906" s="22">
        <f t="shared" si="23"/>
        <v>115</v>
      </c>
      <c r="Y906" s="22">
        <v>2.9</v>
      </c>
      <c r="Z906" s="22">
        <v>2.7</v>
      </c>
      <c r="AA906" s="17" t="s">
        <v>58</v>
      </c>
      <c r="AB906" s="26">
        <v>13049</v>
      </c>
      <c r="AC906" s="26">
        <v>883</v>
      </c>
      <c r="AD906" s="26">
        <v>1145</v>
      </c>
      <c r="AE906" s="27">
        <v>77430</v>
      </c>
      <c r="AF906" s="27">
        <v>5220</v>
      </c>
      <c r="AG906" s="28"/>
      <c r="AH906" s="28"/>
      <c r="AI906" s="17">
        <v>2017</v>
      </c>
      <c r="AJ906" s="17">
        <v>1</v>
      </c>
      <c r="AK906" s="17">
        <v>0</v>
      </c>
    </row>
    <row r="907" spans="1:37" ht="15.75" customHeight="1">
      <c r="A907" s="70" t="s">
        <v>1042</v>
      </c>
      <c r="B907" s="19" t="s">
        <v>1039</v>
      </c>
      <c r="C907" s="17">
        <v>101</v>
      </c>
      <c r="D907" s="20" t="s">
        <v>196</v>
      </c>
      <c r="E907" s="19">
        <v>0</v>
      </c>
      <c r="F907" s="33" t="s">
        <v>1034</v>
      </c>
      <c r="G907" s="33" t="s">
        <v>1035</v>
      </c>
      <c r="H907" s="19" t="s">
        <v>932</v>
      </c>
      <c r="I907" s="17" t="b">
        <v>0</v>
      </c>
      <c r="J907" s="17" t="s">
        <v>43</v>
      </c>
      <c r="K907" s="21" t="str">
        <f t="shared" si="25"/>
        <v>https://version2.ice-d.org/antarctica/sample/F2021-SO-9/</v>
      </c>
      <c r="L907" s="70" t="s">
        <v>39</v>
      </c>
      <c r="M907" s="155"/>
      <c r="O907" s="17" t="s">
        <v>1036</v>
      </c>
      <c r="P907" s="22">
        <v>-62.669199999999996</v>
      </c>
      <c r="Q907" s="22">
        <v>-60.378799999999998</v>
      </c>
      <c r="R907" s="22">
        <v>5</v>
      </c>
      <c r="S907" s="22">
        <v>247</v>
      </c>
      <c r="T907" s="22">
        <v>0</v>
      </c>
      <c r="U907" s="23">
        <v>500</v>
      </c>
      <c r="V907" s="7" t="s">
        <v>2435</v>
      </c>
      <c r="W907" s="44" t="s">
        <v>2436</v>
      </c>
      <c r="X907" s="22">
        <f t="shared" si="23"/>
        <v>247</v>
      </c>
      <c r="Y907" s="22">
        <v>1.9</v>
      </c>
      <c r="Z907" s="22">
        <v>2.7</v>
      </c>
      <c r="AA907" s="17" t="s">
        <v>58</v>
      </c>
      <c r="AB907" s="26">
        <v>12720</v>
      </c>
      <c r="AC907" s="26">
        <v>863</v>
      </c>
      <c r="AD907" s="26">
        <v>1173</v>
      </c>
      <c r="AE907" s="27">
        <v>87510</v>
      </c>
      <c r="AF907" s="27">
        <v>5920</v>
      </c>
      <c r="AG907" s="28"/>
      <c r="AH907" s="28"/>
      <c r="AI907" s="17">
        <v>2017</v>
      </c>
      <c r="AJ907" s="17">
        <v>1</v>
      </c>
      <c r="AK907" s="17">
        <v>0</v>
      </c>
    </row>
    <row r="908" spans="1:37" ht="15.75" customHeight="1">
      <c r="A908" s="30" t="s">
        <v>1043</v>
      </c>
      <c r="B908" s="19" t="s">
        <v>1044</v>
      </c>
      <c r="C908" s="17">
        <v>102</v>
      </c>
      <c r="D908" s="20" t="s">
        <v>196</v>
      </c>
      <c r="E908" s="19">
        <v>0</v>
      </c>
      <c r="F908" s="19" t="s">
        <v>1045</v>
      </c>
      <c r="G908" s="19" t="s">
        <v>1046</v>
      </c>
      <c r="H908" s="19" t="s">
        <v>932</v>
      </c>
      <c r="I908" s="17" t="b">
        <v>0</v>
      </c>
      <c r="J908" s="17" t="s">
        <v>43</v>
      </c>
      <c r="K908" s="21" t="str">
        <f t="shared" si="25"/>
        <v>https://version2.ice-d.org/antarctica/sample/B2011-BER-01/</v>
      </c>
      <c r="L908" s="29" t="s">
        <v>39</v>
      </c>
      <c r="M908" s="29"/>
      <c r="O908" s="17" t="s">
        <v>1047</v>
      </c>
      <c r="P908" s="22">
        <v>-65.330299999999994</v>
      </c>
      <c r="Q908" s="22">
        <v>-64.154799999999994</v>
      </c>
      <c r="R908" s="22"/>
      <c r="S908" s="22">
        <v>158</v>
      </c>
      <c r="T908" s="22">
        <v>0</v>
      </c>
      <c r="U908" s="23">
        <v>500</v>
      </c>
      <c r="V908" s="7" t="s">
        <v>2435</v>
      </c>
      <c r="W908" s="44" t="s">
        <v>2436</v>
      </c>
      <c r="X908" s="22">
        <f t="shared" si="23"/>
        <v>158</v>
      </c>
      <c r="Y908" s="22">
        <v>5</v>
      </c>
      <c r="Z908" s="22">
        <v>2.7</v>
      </c>
      <c r="AA908" s="17" t="s">
        <v>996</v>
      </c>
      <c r="AB908" s="26">
        <v>9147</v>
      </c>
      <c r="AC908" s="26">
        <v>362</v>
      </c>
      <c r="AD908" s="26">
        <v>651</v>
      </c>
      <c r="AE908" s="27">
        <v>62026</v>
      </c>
      <c r="AF908" s="27">
        <v>2449</v>
      </c>
      <c r="AG908" s="28"/>
      <c r="AH908" s="28"/>
      <c r="AI908" s="17">
        <v>2009</v>
      </c>
      <c r="AJ908" s="17">
        <v>0</v>
      </c>
      <c r="AK908" s="17">
        <v>0</v>
      </c>
    </row>
    <row r="909" spans="1:37" ht="15.75" customHeight="1">
      <c r="A909" s="30" t="s">
        <v>1048</v>
      </c>
      <c r="B909" s="19" t="s">
        <v>1044</v>
      </c>
      <c r="C909" s="17">
        <v>102</v>
      </c>
      <c r="D909" s="20" t="s">
        <v>196</v>
      </c>
      <c r="E909" s="19">
        <v>0</v>
      </c>
      <c r="F909" s="19" t="s">
        <v>1045</v>
      </c>
      <c r="G909" s="19" t="s">
        <v>1046</v>
      </c>
      <c r="H909" s="19" t="s">
        <v>932</v>
      </c>
      <c r="I909" s="17" t="b">
        <v>0</v>
      </c>
      <c r="J909" s="17" t="s">
        <v>43</v>
      </c>
      <c r="K909" s="21" t="str">
        <f t="shared" si="25"/>
        <v>https://version2.ice-d.org/antarctica/sample/B2011-BER-02/</v>
      </c>
      <c r="L909" s="29" t="s">
        <v>39</v>
      </c>
      <c r="M909" s="29"/>
      <c r="O909" s="17" t="s">
        <v>1047</v>
      </c>
      <c r="P909" s="22">
        <v>-65.330299999999994</v>
      </c>
      <c r="Q909" s="22">
        <v>-64.154600000000002</v>
      </c>
      <c r="R909" s="22"/>
      <c r="S909" s="22">
        <v>161</v>
      </c>
      <c r="T909" s="22">
        <v>0</v>
      </c>
      <c r="U909" s="23">
        <v>500</v>
      </c>
      <c r="V909" s="7" t="s">
        <v>2435</v>
      </c>
      <c r="W909" s="44" t="s">
        <v>2436</v>
      </c>
      <c r="X909" s="22">
        <f t="shared" si="23"/>
        <v>161</v>
      </c>
      <c r="Y909" s="22">
        <v>5</v>
      </c>
      <c r="Z909" s="22">
        <v>2.7</v>
      </c>
      <c r="AA909" s="17" t="s">
        <v>996</v>
      </c>
      <c r="AB909" s="26">
        <v>9284</v>
      </c>
      <c r="AC909" s="26">
        <v>407</v>
      </c>
      <c r="AD909" s="26">
        <v>683</v>
      </c>
      <c r="AE909" s="27">
        <v>63163</v>
      </c>
      <c r="AF909" s="27">
        <v>2762</v>
      </c>
      <c r="AG909" s="28"/>
      <c r="AH909" s="28"/>
      <c r="AI909" s="17">
        <v>2009</v>
      </c>
      <c r="AJ909" s="17">
        <v>0</v>
      </c>
      <c r="AK909" s="17">
        <v>0</v>
      </c>
    </row>
    <row r="910" spans="1:37" ht="15.75" customHeight="1">
      <c r="A910" s="31" t="s">
        <v>1049</v>
      </c>
      <c r="B910" s="19" t="s">
        <v>1050</v>
      </c>
      <c r="C910" s="17">
        <v>103</v>
      </c>
      <c r="D910" s="20" t="s">
        <v>196</v>
      </c>
      <c r="E910" s="19">
        <v>0</v>
      </c>
      <c r="F910" s="19" t="s">
        <v>1045</v>
      </c>
      <c r="G910" s="19" t="s">
        <v>1046</v>
      </c>
      <c r="H910" s="19" t="s">
        <v>932</v>
      </c>
      <c r="I910" s="17" t="b">
        <v>0</v>
      </c>
      <c r="J910" s="17" t="s">
        <v>43</v>
      </c>
      <c r="K910" s="21" t="str">
        <f t="shared" si="25"/>
        <v>https://version2.ice-d.org/antarctica/sample/B2011-PRI-01/</v>
      </c>
      <c r="L910" s="30" t="s">
        <v>39</v>
      </c>
      <c r="M910" s="185" t="s">
        <v>44</v>
      </c>
      <c r="O910" s="17" t="s">
        <v>1047</v>
      </c>
      <c r="P910" s="22">
        <v>-64.156199999999998</v>
      </c>
      <c r="Q910" s="22">
        <v>-60.9527</v>
      </c>
      <c r="R910" s="22"/>
      <c r="S910" s="22">
        <v>39</v>
      </c>
      <c r="T910" s="22">
        <v>0</v>
      </c>
      <c r="U910" s="23">
        <v>500</v>
      </c>
      <c r="V910" s="7" t="s">
        <v>2435</v>
      </c>
      <c r="W910" s="44" t="s">
        <v>2436</v>
      </c>
      <c r="X910" s="22">
        <f t="shared" si="23"/>
        <v>39</v>
      </c>
      <c r="Y910" s="22">
        <v>6</v>
      </c>
      <c r="Z910" s="22">
        <v>2.7</v>
      </c>
      <c r="AA910" s="17" t="s">
        <v>1051</v>
      </c>
      <c r="AB910" s="26">
        <v>8296</v>
      </c>
      <c r="AC910" s="26">
        <v>336</v>
      </c>
      <c r="AD910" s="26">
        <v>595</v>
      </c>
      <c r="AE910" s="27">
        <v>49333</v>
      </c>
      <c r="AF910" s="27">
        <v>1994</v>
      </c>
      <c r="AG910" s="28"/>
      <c r="AH910" s="28"/>
      <c r="AI910" s="17">
        <v>2009</v>
      </c>
      <c r="AJ910" s="17">
        <v>0</v>
      </c>
      <c r="AK910" s="17">
        <v>0</v>
      </c>
    </row>
    <row r="911" spans="1:37" ht="16.5" customHeight="1">
      <c r="A911" s="31" t="s">
        <v>1052</v>
      </c>
      <c r="B911" s="19" t="s">
        <v>1050</v>
      </c>
      <c r="C911" s="17">
        <v>103</v>
      </c>
      <c r="D911" s="20" t="s">
        <v>196</v>
      </c>
      <c r="E911" s="19">
        <v>0</v>
      </c>
      <c r="F911" s="19" t="s">
        <v>1045</v>
      </c>
      <c r="G911" s="19" t="s">
        <v>1046</v>
      </c>
      <c r="H911" s="19" t="s">
        <v>932</v>
      </c>
      <c r="I911" s="17" t="b">
        <v>0</v>
      </c>
      <c r="J911" s="17" t="s">
        <v>43</v>
      </c>
      <c r="K911" s="21" t="str">
        <f t="shared" si="25"/>
        <v>https://version2.ice-d.org/antarctica/sample/B2011-PRI-02/</v>
      </c>
      <c r="L911" s="30" t="s">
        <v>39</v>
      </c>
      <c r="M911" s="155"/>
      <c r="O911" s="17" t="s">
        <v>1047</v>
      </c>
      <c r="P911" s="22">
        <v>-64.156400000000005</v>
      </c>
      <c r="Q911" s="22">
        <v>-60.953200000000002</v>
      </c>
      <c r="R911" s="22"/>
      <c r="S911" s="22">
        <v>40</v>
      </c>
      <c r="T911" s="22">
        <v>0</v>
      </c>
      <c r="U911" s="23">
        <v>500</v>
      </c>
      <c r="V911" s="7" t="s">
        <v>2435</v>
      </c>
      <c r="W911" s="44" t="s">
        <v>2436</v>
      </c>
      <c r="X911" s="22">
        <f t="shared" si="23"/>
        <v>40</v>
      </c>
      <c r="Y911" s="22">
        <v>5</v>
      </c>
      <c r="Z911" s="22">
        <v>2.7</v>
      </c>
      <c r="AA911" s="17" t="s">
        <v>1051</v>
      </c>
      <c r="AB911" s="26">
        <v>9320</v>
      </c>
      <c r="AC911" s="26">
        <v>401</v>
      </c>
      <c r="AD911" s="26">
        <v>681</v>
      </c>
      <c r="AE911" s="27">
        <v>55841</v>
      </c>
      <c r="AF911" s="27">
        <v>2394</v>
      </c>
      <c r="AG911" s="28"/>
      <c r="AH911" s="28"/>
      <c r="AI911" s="17">
        <v>2009</v>
      </c>
      <c r="AJ911" s="17">
        <v>0</v>
      </c>
      <c r="AK911" s="17">
        <v>0</v>
      </c>
    </row>
    <row r="912" spans="1:37" ht="15.75" customHeight="1">
      <c r="A912" s="31" t="s">
        <v>1053</v>
      </c>
      <c r="B912" s="19" t="s">
        <v>1050</v>
      </c>
      <c r="C912" s="17">
        <v>103</v>
      </c>
      <c r="D912" s="20" t="s">
        <v>196</v>
      </c>
      <c r="E912" s="19">
        <v>0</v>
      </c>
      <c r="F912" s="19" t="s">
        <v>1045</v>
      </c>
      <c r="G912" s="19" t="s">
        <v>1046</v>
      </c>
      <c r="H912" s="19" t="s">
        <v>932</v>
      </c>
      <c r="I912" s="17" t="b">
        <v>0</v>
      </c>
      <c r="J912" s="17" t="s">
        <v>43</v>
      </c>
      <c r="K912" s="21" t="str">
        <f t="shared" si="25"/>
        <v>https://version2.ice-d.org/antarctica/sample/B2011-PRI-03/</v>
      </c>
      <c r="L912" s="30" t="s">
        <v>39</v>
      </c>
      <c r="M912" s="155"/>
      <c r="O912" s="17" t="s">
        <v>1047</v>
      </c>
      <c r="P912" s="22">
        <v>-64.156499999999994</v>
      </c>
      <c r="Q912" s="22">
        <v>-60.953299999999999</v>
      </c>
      <c r="R912" s="22"/>
      <c r="S912" s="22">
        <v>41</v>
      </c>
      <c r="T912" s="22">
        <v>0</v>
      </c>
      <c r="U912" s="23">
        <v>500</v>
      </c>
      <c r="V912" s="7" t="s">
        <v>2435</v>
      </c>
      <c r="W912" s="44" t="s">
        <v>2436</v>
      </c>
      <c r="X912" s="22">
        <f t="shared" si="23"/>
        <v>41</v>
      </c>
      <c r="Y912" s="22">
        <v>5</v>
      </c>
      <c r="Z912" s="22">
        <v>2.7</v>
      </c>
      <c r="AA912" s="17" t="s">
        <v>1051</v>
      </c>
      <c r="AB912" s="26">
        <v>6861</v>
      </c>
      <c r="AC912" s="26">
        <v>388</v>
      </c>
      <c r="AD912" s="26">
        <v>561</v>
      </c>
      <c r="AE912" s="27">
        <v>40902</v>
      </c>
      <c r="AF912" s="27">
        <v>2311</v>
      </c>
      <c r="AG912" s="28"/>
      <c r="AH912" s="28"/>
      <c r="AI912" s="17">
        <v>2009</v>
      </c>
      <c r="AJ912" s="17">
        <v>0</v>
      </c>
      <c r="AK912" s="17">
        <v>0</v>
      </c>
    </row>
    <row r="913" spans="1:37" ht="15.75" customHeight="1">
      <c r="A913" s="31" t="s">
        <v>1054</v>
      </c>
      <c r="B913" s="19" t="s">
        <v>1050</v>
      </c>
      <c r="C913" s="17">
        <v>103</v>
      </c>
      <c r="D913" s="20" t="s">
        <v>196</v>
      </c>
      <c r="E913" s="19">
        <v>0</v>
      </c>
      <c r="F913" s="19" t="s">
        <v>1045</v>
      </c>
      <c r="G913" s="19" t="s">
        <v>1046</v>
      </c>
      <c r="H913" s="19" t="s">
        <v>932</v>
      </c>
      <c r="I913" s="17" t="b">
        <v>0</v>
      </c>
      <c r="J913" s="17" t="s">
        <v>43</v>
      </c>
      <c r="K913" s="21" t="str">
        <f t="shared" si="25"/>
        <v>https://version2.ice-d.org/antarctica/sample/B2011-PRI-05/</v>
      </c>
      <c r="L913" s="30" t="s">
        <v>39</v>
      </c>
      <c r="M913" s="155"/>
      <c r="O913" s="17" t="s">
        <v>1047</v>
      </c>
      <c r="P913" s="22">
        <v>-64.156800000000004</v>
      </c>
      <c r="Q913" s="22">
        <v>-60.953400000000002</v>
      </c>
      <c r="R913" s="22"/>
      <c r="S913" s="22">
        <v>43</v>
      </c>
      <c r="T913" s="22">
        <v>0</v>
      </c>
      <c r="U913" s="23">
        <v>500</v>
      </c>
      <c r="V913" s="7" t="s">
        <v>2435</v>
      </c>
      <c r="W913" s="44" t="s">
        <v>2436</v>
      </c>
      <c r="X913" s="22">
        <f t="shared" si="23"/>
        <v>43</v>
      </c>
      <c r="Y913" s="22">
        <v>6.5</v>
      </c>
      <c r="Z913" s="22">
        <v>2.7</v>
      </c>
      <c r="AA913" s="17" t="s">
        <v>1051</v>
      </c>
      <c r="AB913" s="26">
        <v>8376</v>
      </c>
      <c r="AC913" s="26">
        <v>392</v>
      </c>
      <c r="AD913" s="26">
        <v>631</v>
      </c>
      <c r="AE913" s="27">
        <v>49816</v>
      </c>
      <c r="AF913" s="27">
        <v>2325</v>
      </c>
      <c r="AG913" s="28"/>
      <c r="AH913" s="28"/>
      <c r="AI913" s="17">
        <v>2009</v>
      </c>
      <c r="AJ913" s="17">
        <v>0</v>
      </c>
      <c r="AK913" s="17">
        <v>0</v>
      </c>
    </row>
    <row r="914" spans="1:37" ht="15.75" customHeight="1">
      <c r="A914" s="82" t="s">
        <v>1055</v>
      </c>
      <c r="B914" s="19" t="s">
        <v>1056</v>
      </c>
      <c r="C914" s="17">
        <v>104</v>
      </c>
      <c r="D914" s="20" t="s">
        <v>196</v>
      </c>
      <c r="E914" s="19">
        <v>0</v>
      </c>
      <c r="F914" s="19" t="s">
        <v>1045</v>
      </c>
      <c r="G914" s="19" t="s">
        <v>1046</v>
      </c>
      <c r="H914" s="19" t="s">
        <v>932</v>
      </c>
      <c r="I914" s="17" t="b">
        <v>0</v>
      </c>
      <c r="J914" s="17" t="s">
        <v>43</v>
      </c>
      <c r="K914" s="21" t="str">
        <f t="shared" si="25"/>
        <v>https://version2.ice-d.org/antarctica/sample/B2011-URU-02/</v>
      </c>
      <c r="L914" s="82" t="s">
        <v>39</v>
      </c>
      <c r="M914" s="195" t="s">
        <v>44</v>
      </c>
      <c r="O914" s="17" t="s">
        <v>1047</v>
      </c>
      <c r="P914" s="22">
        <v>-65.232600000000005</v>
      </c>
      <c r="Q914" s="22">
        <v>-64.223100000000002</v>
      </c>
      <c r="R914" s="22"/>
      <c r="S914" s="22">
        <v>60</v>
      </c>
      <c r="T914" s="22">
        <v>0</v>
      </c>
      <c r="U914" s="23">
        <v>500</v>
      </c>
      <c r="V914" s="7" t="s">
        <v>2435</v>
      </c>
      <c r="W914" s="44" t="s">
        <v>2436</v>
      </c>
      <c r="X914" s="22">
        <f t="shared" si="23"/>
        <v>60</v>
      </c>
      <c r="Y914" s="22">
        <v>5</v>
      </c>
      <c r="Z914" s="22">
        <v>2.7</v>
      </c>
      <c r="AA914" s="17" t="s">
        <v>996</v>
      </c>
      <c r="AB914" s="26">
        <v>10582</v>
      </c>
      <c r="AC914" s="26">
        <v>506</v>
      </c>
      <c r="AD914" s="26">
        <v>805</v>
      </c>
      <c r="AE914" s="27">
        <v>64827</v>
      </c>
      <c r="AF914" s="27">
        <v>3094</v>
      </c>
      <c r="AG914" s="28"/>
      <c r="AH914" s="28"/>
      <c r="AI914" s="17">
        <v>2009</v>
      </c>
      <c r="AJ914" s="17">
        <v>0</v>
      </c>
      <c r="AK914" s="17">
        <v>0</v>
      </c>
    </row>
    <row r="915" spans="1:37" ht="15.75" customHeight="1">
      <c r="A915" s="82" t="s">
        <v>1057</v>
      </c>
      <c r="B915" s="19" t="s">
        <v>1056</v>
      </c>
      <c r="C915" s="17">
        <v>104</v>
      </c>
      <c r="D915" s="20" t="s">
        <v>196</v>
      </c>
      <c r="E915" s="19">
        <v>0</v>
      </c>
      <c r="F915" s="19" t="s">
        <v>1045</v>
      </c>
      <c r="G915" s="19" t="s">
        <v>1046</v>
      </c>
      <c r="H915" s="19" t="s">
        <v>932</v>
      </c>
      <c r="I915" s="17" t="b">
        <v>0</v>
      </c>
      <c r="J915" s="17" t="s">
        <v>43</v>
      </c>
      <c r="K915" s="21" t="str">
        <f t="shared" si="25"/>
        <v>https://version2.ice-d.org/antarctica/sample/B2011-URU-03/</v>
      </c>
      <c r="L915" s="82" t="s">
        <v>39</v>
      </c>
      <c r="M915" s="155"/>
      <c r="O915" s="17" t="s">
        <v>1047</v>
      </c>
      <c r="P915" s="22">
        <v>-65.232900000000001</v>
      </c>
      <c r="Q915" s="22">
        <v>-64.224699999999999</v>
      </c>
      <c r="R915" s="22"/>
      <c r="S915" s="22">
        <v>50</v>
      </c>
      <c r="T915" s="22">
        <v>0</v>
      </c>
      <c r="U915" s="23">
        <v>500</v>
      </c>
      <c r="V915" s="7" t="s">
        <v>2435</v>
      </c>
      <c r="W915" s="44" t="s">
        <v>2436</v>
      </c>
      <c r="X915" s="22">
        <f t="shared" si="23"/>
        <v>50</v>
      </c>
      <c r="Y915" s="22">
        <v>5</v>
      </c>
      <c r="Z915" s="22">
        <v>2.7</v>
      </c>
      <c r="AA915" s="17" t="s">
        <v>996</v>
      </c>
      <c r="AB915" s="26">
        <v>13988</v>
      </c>
      <c r="AC915" s="26">
        <v>616</v>
      </c>
      <c r="AD915" s="26">
        <v>1032</v>
      </c>
      <c r="AE915" s="27">
        <v>84578</v>
      </c>
      <c r="AF915" s="27">
        <v>3714</v>
      </c>
      <c r="AG915" s="28"/>
      <c r="AH915" s="28"/>
      <c r="AI915" s="17">
        <v>2009</v>
      </c>
      <c r="AJ915" s="17">
        <v>0</v>
      </c>
      <c r="AK915" s="17">
        <v>0</v>
      </c>
    </row>
    <row r="916" spans="1:37" ht="15.75" customHeight="1">
      <c r="A916" s="43" t="s">
        <v>1058</v>
      </c>
      <c r="B916" s="19" t="s">
        <v>1059</v>
      </c>
      <c r="C916" s="17">
        <v>105</v>
      </c>
      <c r="D916" s="20" t="s">
        <v>196</v>
      </c>
      <c r="E916" s="19">
        <v>0</v>
      </c>
      <c r="F916" s="19" t="s">
        <v>1045</v>
      </c>
      <c r="G916" s="19" t="s">
        <v>1046</v>
      </c>
      <c r="H916" s="19" t="s">
        <v>932</v>
      </c>
      <c r="I916" s="17" t="b">
        <v>0</v>
      </c>
      <c r="J916" s="17" t="s">
        <v>43</v>
      </c>
      <c r="K916" s="21" t="str">
        <f t="shared" si="25"/>
        <v>https://version2.ice-d.org/antarctica/sample/B2011-PQP-01/</v>
      </c>
      <c r="L916" s="43" t="s">
        <v>148</v>
      </c>
      <c r="M916" s="178" t="s">
        <v>44</v>
      </c>
      <c r="N916" s="17" t="s">
        <v>39</v>
      </c>
      <c r="O916" s="17" t="s">
        <v>1047</v>
      </c>
      <c r="P916" s="22">
        <v>-67.593699999999998</v>
      </c>
      <c r="Q916" s="22">
        <v>-67.252200000000002</v>
      </c>
      <c r="R916" s="22"/>
      <c r="S916" s="22">
        <v>343</v>
      </c>
      <c r="T916" s="22">
        <v>0</v>
      </c>
      <c r="U916" s="23">
        <v>500</v>
      </c>
      <c r="V916" s="7" t="s">
        <v>2435</v>
      </c>
      <c r="W916" s="44" t="s">
        <v>2436</v>
      </c>
      <c r="X916" s="22">
        <f t="shared" si="23"/>
        <v>343</v>
      </c>
      <c r="Y916" s="22">
        <v>5</v>
      </c>
      <c r="Z916" s="22">
        <v>2.7</v>
      </c>
      <c r="AA916" s="17" t="s">
        <v>996</v>
      </c>
      <c r="AB916" s="26">
        <v>10952</v>
      </c>
      <c r="AC916" s="26">
        <v>389</v>
      </c>
      <c r="AD916" s="26">
        <v>756</v>
      </c>
      <c r="AE916" s="27">
        <v>89057</v>
      </c>
      <c r="AF916" s="27">
        <v>3155</v>
      </c>
      <c r="AG916" s="28"/>
      <c r="AH916" s="28"/>
      <c r="AI916" s="17">
        <v>2009</v>
      </c>
      <c r="AJ916" s="17">
        <v>0</v>
      </c>
      <c r="AK916" s="17">
        <v>0</v>
      </c>
    </row>
    <row r="917" spans="1:37" ht="15.75" customHeight="1">
      <c r="A917" s="43" t="s">
        <v>1060</v>
      </c>
      <c r="B917" s="19" t="s">
        <v>1059</v>
      </c>
      <c r="C917" s="17">
        <v>105</v>
      </c>
      <c r="D917" s="20" t="s">
        <v>196</v>
      </c>
      <c r="E917" s="19">
        <v>0</v>
      </c>
      <c r="F917" s="19" t="s">
        <v>1045</v>
      </c>
      <c r="G917" s="19" t="s">
        <v>1046</v>
      </c>
      <c r="H917" s="19" t="s">
        <v>932</v>
      </c>
      <c r="I917" s="17" t="b">
        <v>0</v>
      </c>
      <c r="J917" s="17" t="s">
        <v>43</v>
      </c>
      <c r="K917" s="21" t="str">
        <f t="shared" si="25"/>
        <v>https://version2.ice-d.org/antarctica/sample/B2011-PQP-02/</v>
      </c>
      <c r="L917" s="43" t="s">
        <v>148</v>
      </c>
      <c r="M917" s="155"/>
      <c r="N917" s="17" t="s">
        <v>39</v>
      </c>
      <c r="O917" s="17" t="s">
        <v>1047</v>
      </c>
      <c r="P917" s="22">
        <v>-67.593699999999998</v>
      </c>
      <c r="Q917" s="22">
        <v>-67.252099999999999</v>
      </c>
      <c r="R917" s="22"/>
      <c r="S917" s="22">
        <v>349</v>
      </c>
      <c r="T917" s="22">
        <v>0</v>
      </c>
      <c r="U917" s="23">
        <v>500</v>
      </c>
      <c r="V917" s="7" t="s">
        <v>2435</v>
      </c>
      <c r="W917" s="44" t="s">
        <v>2436</v>
      </c>
      <c r="X917" s="22">
        <f t="shared" si="23"/>
        <v>349</v>
      </c>
      <c r="Y917" s="22">
        <v>5</v>
      </c>
      <c r="Z917" s="22">
        <v>2.7</v>
      </c>
      <c r="AA917" s="17" t="s">
        <v>996</v>
      </c>
      <c r="AB917" s="26">
        <v>10943</v>
      </c>
      <c r="AC917" s="26">
        <v>400</v>
      </c>
      <c r="AD917" s="26">
        <v>761</v>
      </c>
      <c r="AE917" s="27">
        <v>89516</v>
      </c>
      <c r="AF917" s="27">
        <v>3264</v>
      </c>
      <c r="AG917" s="28"/>
      <c r="AH917" s="28"/>
      <c r="AI917" s="17">
        <v>2009</v>
      </c>
      <c r="AJ917" s="17">
        <v>0</v>
      </c>
      <c r="AK917" s="17">
        <v>0</v>
      </c>
    </row>
    <row r="918" spans="1:37" ht="15.75" customHeight="1">
      <c r="A918" s="43" t="s">
        <v>1061</v>
      </c>
      <c r="B918" s="19" t="s">
        <v>1059</v>
      </c>
      <c r="C918" s="17">
        <v>105</v>
      </c>
      <c r="D918" s="20" t="s">
        <v>196</v>
      </c>
      <c r="E918" s="19">
        <v>0</v>
      </c>
      <c r="F918" s="19" t="s">
        <v>1045</v>
      </c>
      <c r="G918" s="19" t="s">
        <v>1046</v>
      </c>
      <c r="H918" s="19" t="s">
        <v>932</v>
      </c>
      <c r="I918" s="17" t="b">
        <v>0</v>
      </c>
      <c r="J918" s="17" t="s">
        <v>43</v>
      </c>
      <c r="K918" s="21" t="str">
        <f t="shared" si="25"/>
        <v>https://version2.ice-d.org/antarctica/sample/B2011-PQP-03/</v>
      </c>
      <c r="L918" s="43" t="s">
        <v>148</v>
      </c>
      <c r="M918" s="155"/>
      <c r="N918" s="17" t="s">
        <v>39</v>
      </c>
      <c r="O918" s="17" t="s">
        <v>1047</v>
      </c>
      <c r="P918" s="22">
        <v>-67.592500000000001</v>
      </c>
      <c r="Q918" s="22">
        <v>-67.254400000000004</v>
      </c>
      <c r="R918" s="22"/>
      <c r="S918" s="22">
        <v>283</v>
      </c>
      <c r="T918" s="22">
        <v>0</v>
      </c>
      <c r="U918" s="23">
        <v>500</v>
      </c>
      <c r="V918" s="7" t="s">
        <v>2435</v>
      </c>
      <c r="W918" s="44" t="s">
        <v>2436</v>
      </c>
      <c r="X918" s="22">
        <f t="shared" si="23"/>
        <v>283</v>
      </c>
      <c r="Y918" s="22">
        <v>5</v>
      </c>
      <c r="Z918" s="22">
        <v>2.7</v>
      </c>
      <c r="AA918" s="17" t="s">
        <v>996</v>
      </c>
      <c r="AB918" s="26">
        <v>10143</v>
      </c>
      <c r="AC918" s="26">
        <v>387</v>
      </c>
      <c r="AD918" s="26">
        <v>714</v>
      </c>
      <c r="AE918" s="27">
        <v>77892</v>
      </c>
      <c r="AF918" s="27">
        <v>2968</v>
      </c>
      <c r="AG918" s="28"/>
      <c r="AH918" s="28"/>
      <c r="AI918" s="17">
        <v>2009</v>
      </c>
      <c r="AJ918" s="17">
        <v>0</v>
      </c>
      <c r="AK918" s="17">
        <v>0</v>
      </c>
    </row>
    <row r="919" spans="1:37" ht="12.75" customHeight="1">
      <c r="A919" s="43" t="s">
        <v>1062</v>
      </c>
      <c r="B919" s="19" t="s">
        <v>1059</v>
      </c>
      <c r="C919" s="17">
        <v>105</v>
      </c>
      <c r="D919" s="20" t="s">
        <v>196</v>
      </c>
      <c r="E919" s="19">
        <v>0</v>
      </c>
      <c r="F919" s="19" t="s">
        <v>1045</v>
      </c>
      <c r="G919" s="19" t="s">
        <v>1046</v>
      </c>
      <c r="H919" s="19" t="s">
        <v>932</v>
      </c>
      <c r="I919" s="17" t="b">
        <v>0</v>
      </c>
      <c r="J919" s="17" t="s">
        <v>43</v>
      </c>
      <c r="K919" s="21" t="str">
        <f t="shared" si="25"/>
        <v>https://version2.ice-d.org/antarctica/sample/B2011-PQP-06/</v>
      </c>
      <c r="L919" s="43" t="s">
        <v>148</v>
      </c>
      <c r="M919" s="155"/>
      <c r="N919" s="17" t="s">
        <v>39</v>
      </c>
      <c r="O919" s="17" t="s">
        <v>1047</v>
      </c>
      <c r="P919" s="22">
        <v>-67.586799999999997</v>
      </c>
      <c r="Q919" s="22">
        <v>-67.260400000000004</v>
      </c>
      <c r="R919" s="22"/>
      <c r="S919" s="22">
        <v>146</v>
      </c>
      <c r="T919" s="22">
        <v>0</v>
      </c>
      <c r="U919" s="23">
        <v>500</v>
      </c>
      <c r="V919" s="7" t="s">
        <v>2435</v>
      </c>
      <c r="W919" s="44" t="s">
        <v>2436</v>
      </c>
      <c r="X919" s="22">
        <f t="shared" si="23"/>
        <v>146</v>
      </c>
      <c r="Y919" s="22">
        <v>5</v>
      </c>
      <c r="Z919" s="22">
        <v>2.7</v>
      </c>
      <c r="AA919" s="17" t="s">
        <v>996</v>
      </c>
      <c r="AB919" s="26">
        <v>11022</v>
      </c>
      <c r="AC919" s="26">
        <v>389</v>
      </c>
      <c r="AD919" s="26">
        <v>756</v>
      </c>
      <c r="AE919" s="27">
        <v>73811</v>
      </c>
      <c r="AF919" s="27">
        <v>2595</v>
      </c>
      <c r="AG919" s="28"/>
      <c r="AH919" s="28"/>
      <c r="AI919" s="17">
        <v>2009</v>
      </c>
      <c r="AJ919" s="17">
        <v>0</v>
      </c>
      <c r="AK919" s="17">
        <v>0</v>
      </c>
    </row>
    <row r="920" spans="1:37" ht="12.75" customHeight="1">
      <c r="A920" s="43" t="s">
        <v>1063</v>
      </c>
      <c r="B920" s="19" t="s">
        <v>1059</v>
      </c>
      <c r="C920" s="17">
        <v>105</v>
      </c>
      <c r="D920" s="20" t="s">
        <v>196</v>
      </c>
      <c r="E920" s="19">
        <v>0</v>
      </c>
      <c r="F920" s="19" t="s">
        <v>1045</v>
      </c>
      <c r="G920" s="19" t="s">
        <v>1046</v>
      </c>
      <c r="H920" s="19" t="s">
        <v>932</v>
      </c>
      <c r="I920" s="17" t="b">
        <v>0</v>
      </c>
      <c r="J920" s="17" t="s">
        <v>43</v>
      </c>
      <c r="K920" s="21" t="str">
        <f t="shared" si="25"/>
        <v>https://version2.ice-d.org/antarctica/sample/B2011-PQP-07/</v>
      </c>
      <c r="L920" s="43" t="s">
        <v>148</v>
      </c>
      <c r="M920" s="155"/>
      <c r="N920" s="17" t="s">
        <v>39</v>
      </c>
      <c r="O920" s="17" t="s">
        <v>1047</v>
      </c>
      <c r="P920" s="22">
        <v>-67.585499999999996</v>
      </c>
      <c r="Q920" s="22">
        <v>-67.262100000000004</v>
      </c>
      <c r="R920" s="22"/>
      <c r="S920" s="22">
        <v>77</v>
      </c>
      <c r="T920" s="22">
        <v>0</v>
      </c>
      <c r="U920" s="23">
        <v>500</v>
      </c>
      <c r="V920" s="7" t="s">
        <v>2435</v>
      </c>
      <c r="W920" s="44" t="s">
        <v>2436</v>
      </c>
      <c r="X920" s="22">
        <f t="shared" si="23"/>
        <v>77</v>
      </c>
      <c r="Y920" s="22">
        <v>5</v>
      </c>
      <c r="Z920" s="22">
        <v>2.7</v>
      </c>
      <c r="AA920" s="17" t="s">
        <v>996</v>
      </c>
      <c r="AB920" s="26">
        <v>10796</v>
      </c>
      <c r="AC920" s="26">
        <v>479</v>
      </c>
      <c r="AD920" s="26">
        <v>798</v>
      </c>
      <c r="AE920" s="27">
        <v>67476</v>
      </c>
      <c r="AF920" s="27">
        <v>2984</v>
      </c>
      <c r="AG920" s="28"/>
      <c r="AH920" s="28"/>
      <c r="AI920" s="17">
        <v>2009</v>
      </c>
      <c r="AJ920" s="17">
        <v>0</v>
      </c>
      <c r="AK920" s="17">
        <v>0</v>
      </c>
    </row>
    <row r="921" spans="1:37" ht="12.75" customHeight="1">
      <c r="A921" s="102" t="s">
        <v>1064</v>
      </c>
      <c r="B921" s="33" t="s">
        <v>1065</v>
      </c>
      <c r="C921" s="27">
        <v>106</v>
      </c>
      <c r="D921" s="20" t="s">
        <v>196</v>
      </c>
      <c r="E921" s="33">
        <v>0</v>
      </c>
      <c r="F921" s="33" t="s">
        <v>1066</v>
      </c>
      <c r="G921" s="33" t="s">
        <v>1067</v>
      </c>
      <c r="H921" s="19" t="s">
        <v>932</v>
      </c>
      <c r="I921" s="17" t="b">
        <v>0</v>
      </c>
      <c r="J921" s="17" t="s">
        <v>43</v>
      </c>
      <c r="K921" s="21" t="str">
        <f t="shared" si="25"/>
        <v>https://version2.ice-d.org/antarctica/sample/J2012-L7-1-1/</v>
      </c>
      <c r="L921" s="102" t="s">
        <v>39</v>
      </c>
      <c r="M921" s="156" t="s">
        <v>44</v>
      </c>
      <c r="O921" s="17" t="s">
        <v>1068</v>
      </c>
      <c r="P921" s="22">
        <v>-69.407300000000006</v>
      </c>
      <c r="Q921" s="22">
        <v>-71.662700000000001</v>
      </c>
      <c r="R921" s="22"/>
      <c r="S921" s="22">
        <v>580</v>
      </c>
      <c r="T921" s="17">
        <v>230</v>
      </c>
      <c r="U921" s="23">
        <v>614</v>
      </c>
      <c r="V921" s="7" t="s">
        <v>2464</v>
      </c>
      <c r="W921" s="44" t="s">
        <v>2463</v>
      </c>
      <c r="X921" s="17">
        <f t="shared" si="23"/>
        <v>350</v>
      </c>
      <c r="Y921" s="22">
        <v>5</v>
      </c>
      <c r="Z921" s="22">
        <v>2.7</v>
      </c>
      <c r="AA921" s="17" t="s">
        <v>996</v>
      </c>
      <c r="AB921" s="26">
        <v>16606</v>
      </c>
      <c r="AC921" s="26">
        <v>392</v>
      </c>
      <c r="AD921" s="26">
        <v>1059</v>
      </c>
      <c r="AE921" s="27">
        <v>153200</v>
      </c>
      <c r="AF921" s="27">
        <v>3600</v>
      </c>
      <c r="AG921" s="28"/>
      <c r="AH921" s="28"/>
      <c r="AI921" s="17">
        <v>2009</v>
      </c>
      <c r="AJ921" s="17">
        <v>0</v>
      </c>
      <c r="AK921" s="17">
        <v>0</v>
      </c>
    </row>
    <row r="922" spans="1:37" ht="12.75" customHeight="1">
      <c r="A922" s="102" t="s">
        <v>1069</v>
      </c>
      <c r="B922" s="33" t="s">
        <v>1070</v>
      </c>
      <c r="C922" s="27">
        <v>106</v>
      </c>
      <c r="D922" s="20" t="s">
        <v>196</v>
      </c>
      <c r="E922" s="33">
        <v>0</v>
      </c>
      <c r="F922" s="33" t="s">
        <v>1071</v>
      </c>
      <c r="G922" s="33" t="s">
        <v>1067</v>
      </c>
      <c r="H922" s="19" t="s">
        <v>932</v>
      </c>
      <c r="I922" s="17" t="b">
        <v>0</v>
      </c>
      <c r="J922" s="17" t="s">
        <v>43</v>
      </c>
      <c r="K922" s="21" t="str">
        <f t="shared" si="25"/>
        <v>https://version2.ice-d.org/antarctica/sample/J2012-L7-2-2/</v>
      </c>
      <c r="L922" s="102" t="s">
        <v>39</v>
      </c>
      <c r="M922" s="155"/>
      <c r="O922" s="17" t="s">
        <v>1068</v>
      </c>
      <c r="P922" s="22">
        <v>-69.6751</v>
      </c>
      <c r="Q922" s="22">
        <v>-72.011300000000006</v>
      </c>
      <c r="R922" s="22"/>
      <c r="S922" s="22">
        <v>444</v>
      </c>
      <c r="T922" s="17">
        <v>310</v>
      </c>
      <c r="U922" s="23">
        <v>434</v>
      </c>
      <c r="V922" s="7" t="s">
        <v>2464</v>
      </c>
      <c r="W922" s="44" t="s">
        <v>2463</v>
      </c>
      <c r="X922" s="17">
        <f t="shared" si="23"/>
        <v>134</v>
      </c>
      <c r="Y922" s="22">
        <v>5</v>
      </c>
      <c r="Z922" s="22">
        <v>2.7</v>
      </c>
      <c r="AA922" s="17" t="s">
        <v>996</v>
      </c>
      <c r="AB922" s="26">
        <v>11217</v>
      </c>
      <c r="AC922" s="26">
        <v>270</v>
      </c>
      <c r="AD922" s="26">
        <v>716</v>
      </c>
      <c r="AE922" s="27">
        <v>91700</v>
      </c>
      <c r="AF922" s="27">
        <v>2200</v>
      </c>
      <c r="AG922" s="28"/>
      <c r="AH922" s="28"/>
      <c r="AI922" s="17">
        <v>2009</v>
      </c>
      <c r="AJ922" s="17">
        <v>0</v>
      </c>
      <c r="AK922" s="17">
        <v>0</v>
      </c>
    </row>
    <row r="923" spans="1:37" ht="15.75" customHeight="1">
      <c r="A923" s="102" t="s">
        <v>1072</v>
      </c>
      <c r="B923" s="33" t="s">
        <v>1070</v>
      </c>
      <c r="C923" s="27">
        <v>106</v>
      </c>
      <c r="D923" s="20" t="s">
        <v>196</v>
      </c>
      <c r="E923" s="33">
        <v>0</v>
      </c>
      <c r="F923" s="33" t="s">
        <v>1071</v>
      </c>
      <c r="G923" s="33" t="s">
        <v>1067</v>
      </c>
      <c r="H923" s="19" t="s">
        <v>932</v>
      </c>
      <c r="I923" s="17" t="b">
        <v>0</v>
      </c>
      <c r="J923" s="17" t="s">
        <v>43</v>
      </c>
      <c r="K923" s="21" t="str">
        <f t="shared" si="25"/>
        <v>https://version2.ice-d.org/antarctica/sample/J2012-L7-2-4/</v>
      </c>
      <c r="L923" s="102" t="s">
        <v>39</v>
      </c>
      <c r="M923" s="155"/>
      <c r="O923" s="17" t="s">
        <v>1068</v>
      </c>
      <c r="P923" s="22">
        <v>-69.6751</v>
      </c>
      <c r="Q923" s="22">
        <v>-72.011300000000006</v>
      </c>
      <c r="R923" s="22"/>
      <c r="S923" s="22">
        <v>443</v>
      </c>
      <c r="T923" s="17">
        <v>310</v>
      </c>
      <c r="U923" s="23">
        <v>434</v>
      </c>
      <c r="V923" s="7" t="s">
        <v>2464</v>
      </c>
      <c r="W923" s="44" t="s">
        <v>2463</v>
      </c>
      <c r="X923" s="17">
        <f t="shared" si="23"/>
        <v>133</v>
      </c>
      <c r="Y923" s="22">
        <v>4.5</v>
      </c>
      <c r="Z923" s="22">
        <v>2.7</v>
      </c>
      <c r="AA923" s="17" t="s">
        <v>996</v>
      </c>
      <c r="AB923" s="26">
        <v>12347</v>
      </c>
      <c r="AC923" s="26">
        <v>245</v>
      </c>
      <c r="AD923" s="26">
        <v>771</v>
      </c>
      <c r="AE923" s="27">
        <v>101100</v>
      </c>
      <c r="AF923" s="27">
        <v>2000</v>
      </c>
      <c r="AG923" s="28"/>
      <c r="AH923" s="28"/>
      <c r="AI923" s="17">
        <v>2009</v>
      </c>
      <c r="AJ923" s="17">
        <v>0</v>
      </c>
      <c r="AK923" s="17">
        <v>0</v>
      </c>
    </row>
    <row r="924" spans="1:37" ht="15.75" customHeight="1">
      <c r="A924" s="102" t="s">
        <v>1073</v>
      </c>
      <c r="B924" s="33" t="s">
        <v>1070</v>
      </c>
      <c r="C924" s="27">
        <v>106</v>
      </c>
      <c r="D924" s="20" t="s">
        <v>196</v>
      </c>
      <c r="E924" s="33">
        <v>0</v>
      </c>
      <c r="F924" s="33" t="s">
        <v>1071</v>
      </c>
      <c r="G924" s="33" t="s">
        <v>1067</v>
      </c>
      <c r="H924" s="19" t="s">
        <v>932</v>
      </c>
      <c r="I924" s="17" t="b">
        <v>0</v>
      </c>
      <c r="J924" s="17" t="s">
        <v>43</v>
      </c>
      <c r="K924" s="21" t="str">
        <f t="shared" si="25"/>
        <v>https://version2.ice-d.org/antarctica/sample/J2012-L7-2-5/</v>
      </c>
      <c r="L924" s="102" t="s">
        <v>39</v>
      </c>
      <c r="M924" s="155"/>
      <c r="O924" s="17" t="s">
        <v>1068</v>
      </c>
      <c r="P924" s="22">
        <v>-69.6751</v>
      </c>
      <c r="Q924" s="22">
        <v>-72.011799999999994</v>
      </c>
      <c r="R924" s="22"/>
      <c r="S924" s="22">
        <v>439</v>
      </c>
      <c r="T924" s="17">
        <v>310</v>
      </c>
      <c r="U924" s="23">
        <v>434</v>
      </c>
      <c r="V924" s="7" t="s">
        <v>2464</v>
      </c>
      <c r="W924" s="44" t="s">
        <v>2463</v>
      </c>
      <c r="X924" s="17">
        <f t="shared" si="23"/>
        <v>129</v>
      </c>
      <c r="Y924" s="22">
        <v>5.5</v>
      </c>
      <c r="Z924" s="22">
        <v>2.7</v>
      </c>
      <c r="AA924" s="17" t="s">
        <v>996</v>
      </c>
      <c r="AB924" s="26">
        <v>10780</v>
      </c>
      <c r="AC924" s="26">
        <v>260</v>
      </c>
      <c r="AD924" s="26">
        <v>689</v>
      </c>
      <c r="AE924" s="27">
        <v>87400</v>
      </c>
      <c r="AF924" s="27">
        <v>2100</v>
      </c>
      <c r="AG924" s="28"/>
      <c r="AH924" s="28"/>
      <c r="AI924" s="17">
        <v>2009</v>
      </c>
      <c r="AJ924" s="17">
        <v>0</v>
      </c>
      <c r="AK924" s="17">
        <v>0</v>
      </c>
    </row>
    <row r="925" spans="1:37" ht="15.75" customHeight="1">
      <c r="A925" s="102" t="s">
        <v>1074</v>
      </c>
      <c r="B925" s="33" t="s">
        <v>1070</v>
      </c>
      <c r="C925" s="27">
        <v>106</v>
      </c>
      <c r="D925" s="20" t="s">
        <v>196</v>
      </c>
      <c r="E925" s="33">
        <v>0</v>
      </c>
      <c r="F925" s="33" t="s">
        <v>1071</v>
      </c>
      <c r="G925" s="33" t="s">
        <v>1067</v>
      </c>
      <c r="H925" s="19" t="s">
        <v>932</v>
      </c>
      <c r="I925" s="17" t="b">
        <v>0</v>
      </c>
      <c r="J925" s="17" t="s">
        <v>43</v>
      </c>
      <c r="K925" s="21" t="str">
        <f t="shared" si="25"/>
        <v>https://version2.ice-d.org/antarctica/sample/J2012-L7-201-3/</v>
      </c>
      <c r="L925" s="102" t="s">
        <v>39</v>
      </c>
      <c r="M925" s="155"/>
      <c r="O925" s="17" t="s">
        <v>1068</v>
      </c>
      <c r="P925" s="22">
        <v>-69.813299999999998</v>
      </c>
      <c r="Q925" s="22">
        <v>-72.018000000000001</v>
      </c>
      <c r="R925" s="22"/>
      <c r="S925" s="22">
        <v>411</v>
      </c>
      <c r="T925" s="17">
        <v>310</v>
      </c>
      <c r="U925" s="23">
        <v>434</v>
      </c>
      <c r="V925" s="7" t="s">
        <v>2464</v>
      </c>
      <c r="W925" s="44" t="s">
        <v>2463</v>
      </c>
      <c r="X925" s="17">
        <f t="shared" si="23"/>
        <v>101</v>
      </c>
      <c r="Y925" s="22">
        <v>5</v>
      </c>
      <c r="Z925" s="22">
        <v>2.7</v>
      </c>
      <c r="AA925" s="17" t="s">
        <v>996</v>
      </c>
      <c r="AB925" s="26">
        <v>14665</v>
      </c>
      <c r="AC925" s="26">
        <v>343</v>
      </c>
      <c r="AD925" s="26">
        <v>934</v>
      </c>
      <c r="AE925" s="27">
        <v>115800</v>
      </c>
      <c r="AF925" s="27">
        <v>2700</v>
      </c>
      <c r="AG925" s="28"/>
      <c r="AH925" s="28"/>
      <c r="AI925" s="17">
        <v>2009</v>
      </c>
      <c r="AJ925" s="17">
        <v>0</v>
      </c>
      <c r="AK925" s="17">
        <v>0</v>
      </c>
    </row>
    <row r="926" spans="1:37" ht="15.75" customHeight="1">
      <c r="A926" s="82" t="s">
        <v>1075</v>
      </c>
      <c r="B926" s="17" t="s">
        <v>1076</v>
      </c>
      <c r="C926" s="27">
        <v>107</v>
      </c>
      <c r="D926" s="20" t="s">
        <v>196</v>
      </c>
      <c r="E926" s="28">
        <v>0</v>
      </c>
      <c r="F926" s="28" t="s">
        <v>1077</v>
      </c>
      <c r="G926" s="28" t="s">
        <v>1078</v>
      </c>
      <c r="H926" s="17" t="s">
        <v>932</v>
      </c>
      <c r="I926" s="59" t="b">
        <v>0</v>
      </c>
      <c r="J926" s="17" t="s">
        <v>43</v>
      </c>
      <c r="K926" s="21" t="str">
        <f t="shared" si="25"/>
        <v>https://version2.ice-d.org/antarctica/sample/BFKS2006-BAT-4/</v>
      </c>
      <c r="L926" s="82" t="s">
        <v>112</v>
      </c>
      <c r="M926" s="83" t="s">
        <v>2410</v>
      </c>
      <c r="O926" s="17" t="s">
        <v>1079</v>
      </c>
      <c r="P926" s="22">
        <v>-71.562222219999995</v>
      </c>
      <c r="Q926" s="22">
        <v>-67.447777779999996</v>
      </c>
      <c r="S926" s="22">
        <v>430</v>
      </c>
      <c r="T926" s="22">
        <v>80</v>
      </c>
      <c r="U926" s="23">
        <v>1527</v>
      </c>
      <c r="V926" s="7" t="s">
        <v>2464</v>
      </c>
      <c r="W926" s="44" t="s">
        <v>2463</v>
      </c>
      <c r="X926" s="22">
        <f t="shared" si="23"/>
        <v>350</v>
      </c>
      <c r="Y926" s="22">
        <v>5</v>
      </c>
      <c r="Z926" s="22">
        <v>2.7</v>
      </c>
      <c r="AA926" s="17" t="s">
        <v>51</v>
      </c>
      <c r="AB926" s="26">
        <v>19225</v>
      </c>
      <c r="AC926" s="26">
        <v>580</v>
      </c>
      <c r="AD926" s="26">
        <v>1279</v>
      </c>
      <c r="AE926" s="27"/>
      <c r="AF926" s="27"/>
      <c r="AG926" s="27"/>
      <c r="AH926" s="27"/>
      <c r="AI926" s="27">
        <v>2004</v>
      </c>
      <c r="AJ926" s="22">
        <v>0</v>
      </c>
      <c r="AK926" s="22">
        <v>0</v>
      </c>
    </row>
    <row r="927" spans="1:37" ht="15.75" customHeight="1">
      <c r="A927" s="82" t="s">
        <v>1075</v>
      </c>
      <c r="B927" s="19" t="s">
        <v>1076</v>
      </c>
      <c r="C927" s="27">
        <v>107</v>
      </c>
      <c r="D927" s="20" t="s">
        <v>196</v>
      </c>
      <c r="E927" s="33">
        <v>0</v>
      </c>
      <c r="F927" s="33" t="s">
        <v>1077</v>
      </c>
      <c r="G927" s="33" t="s">
        <v>1078</v>
      </c>
      <c r="H927" s="19" t="s">
        <v>932</v>
      </c>
      <c r="I927" s="17" t="b">
        <v>0</v>
      </c>
      <c r="J927" s="17" t="s">
        <v>64</v>
      </c>
      <c r="K927" s="21" t="str">
        <f t="shared" si="25"/>
        <v>https://version2.ice-d.org/antarctica/sample/BFKS2006-BAT-4/</v>
      </c>
      <c r="L927" s="82" t="s">
        <v>112</v>
      </c>
      <c r="M927" s="177" t="s">
        <v>2410</v>
      </c>
      <c r="O927" s="17" t="s">
        <v>1079</v>
      </c>
      <c r="P927" s="22">
        <v>-71.562222219999995</v>
      </c>
      <c r="Q927" s="22">
        <v>-67.447777779999996</v>
      </c>
      <c r="R927" s="22"/>
      <c r="S927" s="22">
        <v>430</v>
      </c>
      <c r="T927" s="22">
        <v>80</v>
      </c>
      <c r="U927" s="23">
        <v>1527</v>
      </c>
      <c r="V927" s="7" t="s">
        <v>2464</v>
      </c>
      <c r="W927" s="44" t="s">
        <v>2463</v>
      </c>
      <c r="X927" s="22">
        <f t="shared" si="23"/>
        <v>350</v>
      </c>
      <c r="Y927" s="22">
        <v>5</v>
      </c>
      <c r="Z927" s="22">
        <v>2.7</v>
      </c>
      <c r="AA927" s="17" t="s">
        <v>51</v>
      </c>
      <c r="AB927" s="26">
        <v>17579</v>
      </c>
      <c r="AC927" s="26">
        <v>532</v>
      </c>
      <c r="AD927" s="26">
        <v>1615</v>
      </c>
      <c r="AE927" s="27">
        <v>170000</v>
      </c>
      <c r="AF927" s="27">
        <v>5100</v>
      </c>
      <c r="AG927" s="27">
        <v>1100000</v>
      </c>
      <c r="AH927" s="27">
        <v>33000</v>
      </c>
      <c r="AI927" s="27">
        <v>2004</v>
      </c>
      <c r="AJ927" s="17">
        <v>0</v>
      </c>
      <c r="AK927" s="17">
        <v>0</v>
      </c>
    </row>
    <row r="928" spans="1:37" ht="15.75" customHeight="1">
      <c r="A928" s="82" t="s">
        <v>1080</v>
      </c>
      <c r="B928" s="19" t="s">
        <v>1076</v>
      </c>
      <c r="C928" s="27">
        <v>107</v>
      </c>
      <c r="D928" s="20" t="s">
        <v>196</v>
      </c>
      <c r="E928" s="33">
        <v>0</v>
      </c>
      <c r="F928" s="33" t="s">
        <v>1077</v>
      </c>
      <c r="G928" s="33" t="s">
        <v>1078</v>
      </c>
      <c r="H928" s="19" t="s">
        <v>932</v>
      </c>
      <c r="I928" s="17" t="b">
        <v>0</v>
      </c>
      <c r="J928" s="17" t="s">
        <v>43</v>
      </c>
      <c r="K928" s="21" t="str">
        <f t="shared" si="25"/>
        <v>https://version2.ice-d.org/antarctica/sample/BFKS2006-BAT-5/</v>
      </c>
      <c r="L928" s="82" t="s">
        <v>112</v>
      </c>
      <c r="M928" s="155"/>
      <c r="O928" s="17" t="s">
        <v>1079</v>
      </c>
      <c r="P928" s="22">
        <v>-71.551111109999994</v>
      </c>
      <c r="Q928" s="22">
        <v>-67.44805556</v>
      </c>
      <c r="R928" s="22"/>
      <c r="S928" s="22">
        <v>350</v>
      </c>
      <c r="T928" s="22">
        <v>80</v>
      </c>
      <c r="U928" s="23">
        <v>1527</v>
      </c>
      <c r="V928" s="7" t="s">
        <v>2464</v>
      </c>
      <c r="W928" s="44" t="s">
        <v>2463</v>
      </c>
      <c r="X928" s="22">
        <f t="shared" si="23"/>
        <v>270</v>
      </c>
      <c r="Y928" s="22">
        <v>6</v>
      </c>
      <c r="Z928" s="22">
        <v>2.7</v>
      </c>
      <c r="AA928" s="17" t="s">
        <v>51</v>
      </c>
      <c r="AB928" s="26">
        <v>9290</v>
      </c>
      <c r="AC928" s="26">
        <v>279</v>
      </c>
      <c r="AD928" s="26">
        <v>616</v>
      </c>
      <c r="AE928" s="27">
        <v>76000</v>
      </c>
      <c r="AF928" s="27">
        <v>2280</v>
      </c>
      <c r="AG928" s="27">
        <v>720000</v>
      </c>
      <c r="AH928" s="27">
        <v>21600</v>
      </c>
      <c r="AI928" s="27">
        <v>2004</v>
      </c>
      <c r="AJ928" s="17">
        <v>0</v>
      </c>
      <c r="AK928" s="17">
        <v>0</v>
      </c>
    </row>
    <row r="929" spans="1:38" ht="15.75" customHeight="1">
      <c r="A929" s="82" t="s">
        <v>1080</v>
      </c>
      <c r="B929" s="19" t="s">
        <v>1076</v>
      </c>
      <c r="C929" s="27">
        <v>107</v>
      </c>
      <c r="D929" s="20" t="s">
        <v>196</v>
      </c>
      <c r="E929" s="33">
        <v>0</v>
      </c>
      <c r="F929" s="33" t="s">
        <v>1077</v>
      </c>
      <c r="G929" s="33" t="s">
        <v>1078</v>
      </c>
      <c r="H929" s="19" t="s">
        <v>932</v>
      </c>
      <c r="I929" s="17" t="b">
        <v>0</v>
      </c>
      <c r="J929" s="17" t="s">
        <v>64</v>
      </c>
      <c r="K929" s="21" t="str">
        <f t="shared" si="25"/>
        <v>https://version2.ice-d.org/antarctica/sample/BFKS2006-BAT-5/</v>
      </c>
      <c r="L929" s="82" t="s">
        <v>112</v>
      </c>
      <c r="M929" s="155"/>
      <c r="O929" s="17" t="s">
        <v>1079</v>
      </c>
      <c r="P929" s="22">
        <v>-71.551111109999994</v>
      </c>
      <c r="Q929" s="22">
        <v>-67.44805556</v>
      </c>
      <c r="R929" s="22"/>
      <c r="S929" s="22">
        <v>350</v>
      </c>
      <c r="T929" s="22">
        <v>80</v>
      </c>
      <c r="U929" s="23">
        <v>1527</v>
      </c>
      <c r="V929" s="7" t="s">
        <v>2464</v>
      </c>
      <c r="W929" s="44" t="s">
        <v>2463</v>
      </c>
      <c r="X929" s="22">
        <f t="shared" si="23"/>
        <v>270</v>
      </c>
      <c r="Y929" s="22">
        <v>6</v>
      </c>
      <c r="Z929" s="22">
        <v>2.7</v>
      </c>
      <c r="AA929" s="17" t="s">
        <v>51</v>
      </c>
      <c r="AB929" s="26">
        <v>12477</v>
      </c>
      <c r="AC929" s="26">
        <v>377</v>
      </c>
      <c r="AD929" s="26">
        <v>1143</v>
      </c>
      <c r="AE929" s="27">
        <v>76000</v>
      </c>
      <c r="AF929" s="27">
        <v>2280</v>
      </c>
      <c r="AG929" s="27">
        <v>720000</v>
      </c>
      <c r="AH929" s="27">
        <v>21600</v>
      </c>
      <c r="AI929" s="27">
        <v>2004</v>
      </c>
      <c r="AJ929" s="17">
        <v>0</v>
      </c>
      <c r="AK929" s="17">
        <v>0</v>
      </c>
    </row>
    <row r="930" spans="1:38" ht="15.75" customHeight="1">
      <c r="A930" s="82" t="s">
        <v>1081</v>
      </c>
      <c r="B930" s="19" t="s">
        <v>1076</v>
      </c>
      <c r="C930" s="27">
        <v>107</v>
      </c>
      <c r="D930" s="20" t="s">
        <v>196</v>
      </c>
      <c r="E930" s="33">
        <v>0</v>
      </c>
      <c r="F930" s="33" t="s">
        <v>1077</v>
      </c>
      <c r="G930" s="33" t="s">
        <v>1078</v>
      </c>
      <c r="H930" s="19" t="s">
        <v>932</v>
      </c>
      <c r="I930" s="17" t="b">
        <v>0</v>
      </c>
      <c r="J930" s="17" t="s">
        <v>64</v>
      </c>
      <c r="K930" s="21" t="str">
        <f t="shared" si="25"/>
        <v>https://version2.ice-d.org/antarctica/sample/BFKS2006-BAT-6/</v>
      </c>
      <c r="L930" s="82" t="s">
        <v>112</v>
      </c>
      <c r="M930" s="155"/>
      <c r="O930" s="17" t="s">
        <v>1079</v>
      </c>
      <c r="P930" s="22">
        <v>-71.553055560000004</v>
      </c>
      <c r="Q930" s="22">
        <v>-67.451111109999999</v>
      </c>
      <c r="R930" s="22"/>
      <c r="S930" s="22">
        <v>330</v>
      </c>
      <c r="T930" s="22">
        <v>80</v>
      </c>
      <c r="U930" s="23">
        <v>1527</v>
      </c>
      <c r="V930" s="7" t="s">
        <v>2464</v>
      </c>
      <c r="W930" s="44" t="s">
        <v>2463</v>
      </c>
      <c r="X930" s="22">
        <f t="shared" si="23"/>
        <v>250</v>
      </c>
      <c r="Y930" s="22">
        <v>5</v>
      </c>
      <c r="Z930" s="22">
        <v>2.7</v>
      </c>
      <c r="AA930" s="17" t="s">
        <v>51</v>
      </c>
      <c r="AB930" s="26">
        <v>14569</v>
      </c>
      <c r="AC930" s="26">
        <v>440</v>
      </c>
      <c r="AD930" s="26">
        <v>1337</v>
      </c>
      <c r="AE930" s="27">
        <v>130000</v>
      </c>
      <c r="AF930" s="27">
        <v>3900</v>
      </c>
      <c r="AG930" s="27">
        <v>830000</v>
      </c>
      <c r="AH930" s="27">
        <v>24900</v>
      </c>
      <c r="AI930" s="27">
        <v>2004</v>
      </c>
      <c r="AJ930" s="17">
        <v>0</v>
      </c>
      <c r="AK930" s="17">
        <v>0</v>
      </c>
    </row>
    <row r="931" spans="1:38" ht="15.75" customHeight="1">
      <c r="A931" s="82" t="s">
        <v>1081</v>
      </c>
      <c r="B931" s="19" t="s">
        <v>1076</v>
      </c>
      <c r="C931" s="27">
        <v>107</v>
      </c>
      <c r="D931" s="20" t="s">
        <v>196</v>
      </c>
      <c r="E931" s="33">
        <v>0</v>
      </c>
      <c r="F931" s="33" t="s">
        <v>1077</v>
      </c>
      <c r="G931" s="33" t="s">
        <v>1078</v>
      </c>
      <c r="H931" s="19" t="s">
        <v>932</v>
      </c>
      <c r="I931" s="17" t="b">
        <v>0</v>
      </c>
      <c r="J931" s="17" t="s">
        <v>43</v>
      </c>
      <c r="K931" s="21" t="str">
        <f t="shared" si="25"/>
        <v>https://version2.ice-d.org/antarctica/sample/BFKS2006-BAT-6/</v>
      </c>
      <c r="L931" s="82" t="s">
        <v>112</v>
      </c>
      <c r="M931" s="155"/>
      <c r="O931" s="17" t="s">
        <v>1079</v>
      </c>
      <c r="P931" s="22">
        <v>-71.553055560000004</v>
      </c>
      <c r="Q931" s="22">
        <v>-67.451111109999999</v>
      </c>
      <c r="R931" s="22"/>
      <c r="S931" s="22">
        <v>330</v>
      </c>
      <c r="T931" s="22">
        <v>80</v>
      </c>
      <c r="U931" s="23">
        <v>1527</v>
      </c>
      <c r="V931" s="7" t="s">
        <v>2464</v>
      </c>
      <c r="W931" s="44" t="s">
        <v>2463</v>
      </c>
      <c r="X931" s="22">
        <f t="shared" si="23"/>
        <v>250</v>
      </c>
      <c r="Y931" s="22">
        <v>5</v>
      </c>
      <c r="Z931" s="22">
        <v>2.7</v>
      </c>
      <c r="AA931" s="17" t="s">
        <v>51</v>
      </c>
      <c r="AB931" s="26">
        <v>16179</v>
      </c>
      <c r="AC931" s="26">
        <v>487</v>
      </c>
      <c r="AD931" s="26">
        <v>1075</v>
      </c>
      <c r="AE931" s="27">
        <v>130000</v>
      </c>
      <c r="AF931" s="27">
        <v>3900</v>
      </c>
      <c r="AG931" s="27">
        <v>830000</v>
      </c>
      <c r="AH931" s="27">
        <v>24900</v>
      </c>
      <c r="AI931" s="27">
        <v>2004</v>
      </c>
      <c r="AJ931" s="17">
        <v>0</v>
      </c>
      <c r="AK931" s="17">
        <v>0</v>
      </c>
    </row>
    <row r="932" spans="1:38" ht="15.75" customHeight="1">
      <c r="A932" s="43" t="s">
        <v>1082</v>
      </c>
      <c r="B932" s="33" t="s">
        <v>1083</v>
      </c>
      <c r="C932" s="27">
        <v>108</v>
      </c>
      <c r="D932" s="20" t="s">
        <v>196</v>
      </c>
      <c r="E932" s="33">
        <v>0</v>
      </c>
      <c r="F932" s="33" t="s">
        <v>1083</v>
      </c>
      <c r="G932" s="33" t="s">
        <v>1084</v>
      </c>
      <c r="H932" s="19" t="s">
        <v>932</v>
      </c>
      <c r="I932" s="17" t="b">
        <v>0</v>
      </c>
      <c r="J932" s="17" t="s">
        <v>64</v>
      </c>
      <c r="K932" s="21" t="str">
        <f t="shared" si="25"/>
        <v>https://version2.ice-d.org/antarctica/sample/BFKS2006-BEH-1/</v>
      </c>
      <c r="L932" s="43" t="s">
        <v>39</v>
      </c>
      <c r="M932" s="178" t="s">
        <v>44</v>
      </c>
      <c r="O932" s="17" t="s">
        <v>1079</v>
      </c>
      <c r="P932" s="22">
        <v>-75.315833330000004</v>
      </c>
      <c r="Q932" s="22">
        <v>-72.265555559999996</v>
      </c>
      <c r="R932" s="22"/>
      <c r="S932" s="22">
        <v>1220</v>
      </c>
      <c r="T932" s="22">
        <v>900</v>
      </c>
      <c r="U932" s="23">
        <v>500</v>
      </c>
      <c r="V932" s="7" t="s">
        <v>2435</v>
      </c>
      <c r="W932" s="44" t="s">
        <v>2436</v>
      </c>
      <c r="X932" s="22">
        <f t="shared" si="23"/>
        <v>320</v>
      </c>
      <c r="Y932" s="22">
        <v>6</v>
      </c>
      <c r="Z932" s="22">
        <v>2.7</v>
      </c>
      <c r="AA932" s="17" t="s">
        <v>51</v>
      </c>
      <c r="AB932" s="26">
        <v>7157</v>
      </c>
      <c r="AC932" s="26">
        <v>215</v>
      </c>
      <c r="AD932" s="26">
        <v>475</v>
      </c>
      <c r="AE932" s="27">
        <v>130000</v>
      </c>
      <c r="AF932" s="27">
        <v>3900</v>
      </c>
      <c r="AG932" s="27">
        <v>1100000</v>
      </c>
      <c r="AH932" s="27">
        <v>33000</v>
      </c>
      <c r="AI932" s="27">
        <v>2004</v>
      </c>
      <c r="AJ932" s="17">
        <v>0</v>
      </c>
      <c r="AK932" s="17">
        <v>0</v>
      </c>
      <c r="AL932" s="17" t="s">
        <v>1085</v>
      </c>
    </row>
    <row r="933" spans="1:38" ht="15.75" customHeight="1">
      <c r="A933" s="43" t="s">
        <v>1082</v>
      </c>
      <c r="B933" s="33" t="s">
        <v>1083</v>
      </c>
      <c r="C933" s="27">
        <v>108</v>
      </c>
      <c r="D933" s="20" t="s">
        <v>196</v>
      </c>
      <c r="E933" s="33">
        <v>0</v>
      </c>
      <c r="F933" s="33" t="s">
        <v>1083</v>
      </c>
      <c r="G933" s="33" t="s">
        <v>1084</v>
      </c>
      <c r="H933" s="19" t="s">
        <v>932</v>
      </c>
      <c r="I933" s="17" t="b">
        <v>0</v>
      </c>
      <c r="J933" s="17" t="s">
        <v>43</v>
      </c>
      <c r="K933" s="21" t="str">
        <f t="shared" si="25"/>
        <v>https://version2.ice-d.org/antarctica/sample/BFKS2006-BEH-1/</v>
      </c>
      <c r="L933" s="43" t="s">
        <v>39</v>
      </c>
      <c r="M933" s="155"/>
      <c r="O933" s="17" t="s">
        <v>1079</v>
      </c>
      <c r="P933" s="22">
        <v>-75.315833330000004</v>
      </c>
      <c r="Q933" s="22">
        <v>-72.265555559999996</v>
      </c>
      <c r="R933" s="22"/>
      <c r="S933" s="22">
        <v>1220</v>
      </c>
      <c r="T933" s="22">
        <v>900</v>
      </c>
      <c r="U933" s="23">
        <v>500</v>
      </c>
      <c r="V933" s="7" t="s">
        <v>2435</v>
      </c>
      <c r="W933" s="44" t="s">
        <v>2436</v>
      </c>
      <c r="X933" s="22">
        <f t="shared" si="23"/>
        <v>320</v>
      </c>
      <c r="Y933" s="22">
        <v>6</v>
      </c>
      <c r="Z933" s="22">
        <v>2.7</v>
      </c>
      <c r="AA933" s="17" t="s">
        <v>51</v>
      </c>
      <c r="AB933" s="26">
        <v>8565</v>
      </c>
      <c r="AC933" s="26">
        <v>258</v>
      </c>
      <c r="AD933" s="26">
        <v>783</v>
      </c>
      <c r="AE933" s="27">
        <v>130000</v>
      </c>
      <c r="AF933" s="27">
        <v>3900</v>
      </c>
      <c r="AG933" s="27">
        <v>1100000</v>
      </c>
      <c r="AH933" s="27">
        <v>33000</v>
      </c>
      <c r="AI933" s="27">
        <v>2004</v>
      </c>
      <c r="AJ933" s="17">
        <v>0</v>
      </c>
      <c r="AK933" s="17">
        <v>0</v>
      </c>
    </row>
    <row r="934" spans="1:38" ht="15.75" customHeight="1">
      <c r="A934" s="43" t="s">
        <v>1086</v>
      </c>
      <c r="B934" s="33" t="s">
        <v>1083</v>
      </c>
      <c r="C934" s="27">
        <v>108</v>
      </c>
      <c r="D934" s="20" t="s">
        <v>196</v>
      </c>
      <c r="E934" s="33">
        <v>0</v>
      </c>
      <c r="F934" s="33" t="s">
        <v>1083</v>
      </c>
      <c r="G934" s="33" t="s">
        <v>1084</v>
      </c>
      <c r="H934" s="19" t="s">
        <v>932</v>
      </c>
      <c r="I934" s="17" t="b">
        <v>0</v>
      </c>
      <c r="J934" s="17" t="s">
        <v>64</v>
      </c>
      <c r="K934" s="21" t="str">
        <f t="shared" si="25"/>
        <v>https://version2.ice-d.org/antarctica/sample/BFKS2006-BEH-2/</v>
      </c>
      <c r="L934" s="43" t="s">
        <v>39</v>
      </c>
      <c r="M934" s="155"/>
      <c r="O934" s="17" t="s">
        <v>1079</v>
      </c>
      <c r="P934" s="22">
        <v>-75.313888890000001</v>
      </c>
      <c r="Q934" s="22">
        <v>-72.262500000000003</v>
      </c>
      <c r="R934" s="22"/>
      <c r="S934" s="22">
        <v>1180</v>
      </c>
      <c r="T934" s="22">
        <v>900</v>
      </c>
      <c r="U934" s="23">
        <v>500</v>
      </c>
      <c r="V934" s="7" t="s">
        <v>2435</v>
      </c>
      <c r="W934" s="44" t="s">
        <v>2436</v>
      </c>
      <c r="X934" s="22">
        <f t="shared" si="23"/>
        <v>280</v>
      </c>
      <c r="Y934" s="22">
        <v>5</v>
      </c>
      <c r="Z934" s="22">
        <v>2.7</v>
      </c>
      <c r="AA934" s="17" t="s">
        <v>51</v>
      </c>
      <c r="AB934" s="26">
        <v>11275</v>
      </c>
      <c r="AC934" s="26">
        <v>340</v>
      </c>
      <c r="AD934" s="26">
        <v>1033</v>
      </c>
      <c r="AE934" s="27">
        <v>220000</v>
      </c>
      <c r="AF934" s="27">
        <v>6600</v>
      </c>
      <c r="AG934" s="27">
        <v>1400000</v>
      </c>
      <c r="AH934" s="27">
        <v>42000</v>
      </c>
      <c r="AI934" s="27">
        <v>2004</v>
      </c>
      <c r="AJ934" s="17">
        <v>0</v>
      </c>
      <c r="AK934" s="17">
        <v>0</v>
      </c>
    </row>
    <row r="935" spans="1:38" ht="15.75" customHeight="1">
      <c r="A935" s="43" t="s">
        <v>1086</v>
      </c>
      <c r="B935" s="33" t="s">
        <v>1083</v>
      </c>
      <c r="C935" s="27">
        <v>108</v>
      </c>
      <c r="D935" s="20" t="s">
        <v>196</v>
      </c>
      <c r="E935" s="33">
        <v>0</v>
      </c>
      <c r="F935" s="33" t="s">
        <v>1083</v>
      </c>
      <c r="G935" s="33" t="s">
        <v>1084</v>
      </c>
      <c r="H935" s="19" t="s">
        <v>932</v>
      </c>
      <c r="I935" s="17" t="b">
        <v>0</v>
      </c>
      <c r="J935" s="17" t="s">
        <v>43</v>
      </c>
      <c r="K935" s="21" t="str">
        <f t="shared" si="25"/>
        <v>https://version2.ice-d.org/antarctica/sample/BFKS2006-BEH-2/</v>
      </c>
      <c r="L935" s="43" t="s">
        <v>39</v>
      </c>
      <c r="M935" s="155"/>
      <c r="O935" s="17" t="s">
        <v>1079</v>
      </c>
      <c r="P935" s="22">
        <v>-75.313888890000001</v>
      </c>
      <c r="Q935" s="22">
        <v>-72.262500000000003</v>
      </c>
      <c r="R935" s="22"/>
      <c r="S935" s="22">
        <v>1180</v>
      </c>
      <c r="T935" s="22">
        <v>900</v>
      </c>
      <c r="U935" s="23">
        <v>500</v>
      </c>
      <c r="V935" s="7" t="s">
        <v>2435</v>
      </c>
      <c r="W935" s="44" t="s">
        <v>2436</v>
      </c>
      <c r="X935" s="22">
        <f t="shared" si="23"/>
        <v>280</v>
      </c>
      <c r="Y935" s="22">
        <v>5</v>
      </c>
      <c r="Z935" s="22">
        <v>2.7</v>
      </c>
      <c r="AA935" s="17" t="s">
        <v>51</v>
      </c>
      <c r="AB935" s="26">
        <v>12466</v>
      </c>
      <c r="AC935" s="26">
        <v>375</v>
      </c>
      <c r="AD935" s="26">
        <v>828</v>
      </c>
      <c r="AE935" s="27">
        <v>220000</v>
      </c>
      <c r="AF935" s="27">
        <v>6600</v>
      </c>
      <c r="AG935" s="27">
        <v>1400000</v>
      </c>
      <c r="AH935" s="27">
        <v>42000</v>
      </c>
      <c r="AI935" s="27">
        <v>2004</v>
      </c>
      <c r="AJ935" s="17">
        <v>0</v>
      </c>
      <c r="AK935" s="17">
        <v>0</v>
      </c>
    </row>
    <row r="936" spans="1:38" ht="15.75" customHeight="1">
      <c r="A936" s="43" t="s">
        <v>1087</v>
      </c>
      <c r="B936" s="33" t="s">
        <v>1083</v>
      </c>
      <c r="C936" s="27">
        <v>108</v>
      </c>
      <c r="D936" s="20" t="s">
        <v>196</v>
      </c>
      <c r="E936" s="33">
        <v>0</v>
      </c>
      <c r="F936" s="33" t="s">
        <v>1083</v>
      </c>
      <c r="G936" s="33" t="s">
        <v>1084</v>
      </c>
      <c r="H936" s="19" t="s">
        <v>932</v>
      </c>
      <c r="I936" s="17" t="b">
        <v>0</v>
      </c>
      <c r="J936" s="17" t="s">
        <v>43</v>
      </c>
      <c r="K936" s="21" t="str">
        <f t="shared" si="25"/>
        <v>https://version2.ice-d.org/antarctica/sample/BFKS2006-BEH-3/</v>
      </c>
      <c r="L936" s="43" t="s">
        <v>39</v>
      </c>
      <c r="M936" s="155"/>
      <c r="O936" s="17" t="s">
        <v>1079</v>
      </c>
      <c r="P936" s="22">
        <v>-75.314166670000006</v>
      </c>
      <c r="Q936" s="22">
        <v>-72.25972222</v>
      </c>
      <c r="R936" s="22"/>
      <c r="S936" s="22">
        <v>1200</v>
      </c>
      <c r="T936" s="22">
        <v>900</v>
      </c>
      <c r="U936" s="23">
        <v>500</v>
      </c>
      <c r="V936" s="7" t="s">
        <v>2435</v>
      </c>
      <c r="W936" s="44" t="s">
        <v>2436</v>
      </c>
      <c r="X936" s="22">
        <f t="shared" si="23"/>
        <v>300</v>
      </c>
      <c r="Y936" s="22">
        <v>5</v>
      </c>
      <c r="Z936" s="22">
        <v>2.7</v>
      </c>
      <c r="AA936" s="17" t="s">
        <v>51</v>
      </c>
      <c r="AB936" s="26">
        <v>11106</v>
      </c>
      <c r="AC936" s="26">
        <v>334</v>
      </c>
      <c r="AD936" s="26">
        <v>737</v>
      </c>
      <c r="AE936" s="27">
        <v>200000</v>
      </c>
      <c r="AF936" s="27">
        <v>6000</v>
      </c>
      <c r="AG936" s="27">
        <v>1600000</v>
      </c>
      <c r="AH936" s="27">
        <v>48000</v>
      </c>
      <c r="AI936" s="27">
        <v>2004</v>
      </c>
      <c r="AJ936" s="17">
        <v>0</v>
      </c>
      <c r="AK936" s="17">
        <v>0</v>
      </c>
    </row>
    <row r="937" spans="1:38" ht="15.75" customHeight="1">
      <c r="A937" s="43" t="s">
        <v>1087</v>
      </c>
      <c r="B937" s="33" t="s">
        <v>1083</v>
      </c>
      <c r="C937" s="27">
        <v>108</v>
      </c>
      <c r="D937" s="20" t="s">
        <v>196</v>
      </c>
      <c r="E937" s="33">
        <v>0</v>
      </c>
      <c r="F937" s="33" t="s">
        <v>1083</v>
      </c>
      <c r="G937" s="33" t="s">
        <v>1084</v>
      </c>
      <c r="H937" s="19" t="s">
        <v>932</v>
      </c>
      <c r="I937" s="17" t="b">
        <v>0</v>
      </c>
      <c r="J937" s="17" t="s">
        <v>64</v>
      </c>
      <c r="K937" s="21" t="str">
        <f t="shared" si="25"/>
        <v>https://version2.ice-d.org/antarctica/sample/BFKS2006-BEH-3/</v>
      </c>
      <c r="L937" s="43" t="s">
        <v>39</v>
      </c>
      <c r="M937" s="155"/>
      <c r="O937" s="17" t="s">
        <v>1079</v>
      </c>
      <c r="P937" s="22">
        <v>-75.314166670000006</v>
      </c>
      <c r="Q937" s="22">
        <v>-72.25972222</v>
      </c>
      <c r="R937" s="22"/>
      <c r="S937" s="22">
        <v>1200</v>
      </c>
      <c r="T937" s="22">
        <v>900</v>
      </c>
      <c r="U937" s="23">
        <v>500</v>
      </c>
      <c r="V937" s="7" t="s">
        <v>2435</v>
      </c>
      <c r="W937" s="44" t="s">
        <v>2436</v>
      </c>
      <c r="X937" s="22">
        <f t="shared" si="23"/>
        <v>300</v>
      </c>
      <c r="Y937" s="22">
        <v>5</v>
      </c>
      <c r="Z937" s="22">
        <v>2.7</v>
      </c>
      <c r="AA937" s="17" t="s">
        <v>51</v>
      </c>
      <c r="AB937" s="26">
        <v>12677</v>
      </c>
      <c r="AC937" s="26">
        <v>383</v>
      </c>
      <c r="AD937" s="26">
        <v>1162</v>
      </c>
      <c r="AE937" s="27">
        <v>200000</v>
      </c>
      <c r="AF937" s="27">
        <v>6000</v>
      </c>
      <c r="AG937" s="27">
        <v>1600000</v>
      </c>
      <c r="AH937" s="27">
        <v>48000</v>
      </c>
      <c r="AI937" s="27">
        <v>2004</v>
      </c>
      <c r="AJ937" s="17">
        <v>0</v>
      </c>
      <c r="AK937" s="17">
        <v>0</v>
      </c>
    </row>
    <row r="938" spans="1:38" ht="15.75" customHeight="1">
      <c r="A938" s="45" t="s">
        <v>1088</v>
      </c>
      <c r="B938" s="33" t="s">
        <v>1066</v>
      </c>
      <c r="C938" s="27">
        <v>109</v>
      </c>
      <c r="D938" s="20" t="s">
        <v>196</v>
      </c>
      <c r="E938" s="33">
        <v>0</v>
      </c>
      <c r="F938" s="33" t="s">
        <v>1089</v>
      </c>
      <c r="G938" s="33" t="s">
        <v>1078</v>
      </c>
      <c r="H938" s="19" t="s">
        <v>932</v>
      </c>
      <c r="I938" s="17" t="b">
        <v>0</v>
      </c>
      <c r="J938" s="17" t="s">
        <v>64</v>
      </c>
      <c r="K938" s="21" t="str">
        <f t="shared" si="25"/>
        <v>https://version2.ice-d.org/antarctica/sample/BFKS2006-ABL-1/</v>
      </c>
      <c r="L938" s="45" t="s">
        <v>39</v>
      </c>
      <c r="M938" s="45" t="s">
        <v>44</v>
      </c>
      <c r="O938" s="17" t="s">
        <v>1090</v>
      </c>
      <c r="P938" s="22">
        <v>-70.837500000000006</v>
      </c>
      <c r="Q938" s="22">
        <v>-68.541666669999998</v>
      </c>
      <c r="R938" s="22"/>
      <c r="S938" s="22">
        <v>690</v>
      </c>
      <c r="T938" s="22">
        <v>30</v>
      </c>
      <c r="U938" s="23">
        <v>500</v>
      </c>
      <c r="V938" s="7" t="s">
        <v>2435</v>
      </c>
      <c r="W938" s="44" t="s">
        <v>2436</v>
      </c>
      <c r="X938" s="22">
        <f t="shared" si="23"/>
        <v>660</v>
      </c>
      <c r="Y938" s="22">
        <v>8</v>
      </c>
      <c r="Z938" s="22">
        <v>2.7</v>
      </c>
      <c r="AA938" s="17" t="s">
        <v>51</v>
      </c>
      <c r="AB938" s="26">
        <v>12789</v>
      </c>
      <c r="AC938" s="26">
        <v>386</v>
      </c>
      <c r="AD938" s="26">
        <v>1172</v>
      </c>
      <c r="AE938" s="27">
        <v>410000</v>
      </c>
      <c r="AF938" s="27">
        <v>12300</v>
      </c>
      <c r="AG938" s="27">
        <v>1000000</v>
      </c>
      <c r="AH938" s="27">
        <v>30000</v>
      </c>
      <c r="AI938" s="27">
        <v>2004</v>
      </c>
      <c r="AJ938" s="17">
        <v>0</v>
      </c>
      <c r="AK938" s="17">
        <v>1</v>
      </c>
      <c r="AL938" s="17" t="s">
        <v>1091</v>
      </c>
    </row>
    <row r="939" spans="1:38" ht="15.75" customHeight="1">
      <c r="A939" s="46" t="s">
        <v>1092</v>
      </c>
      <c r="B939" s="19" t="s">
        <v>1093</v>
      </c>
      <c r="C939" s="27">
        <v>109</v>
      </c>
      <c r="D939" s="20" t="s">
        <v>196</v>
      </c>
      <c r="E939" s="33">
        <v>0</v>
      </c>
      <c r="F939" s="33" t="s">
        <v>1089</v>
      </c>
      <c r="G939" s="33" t="s">
        <v>1078</v>
      </c>
      <c r="H939" s="19" t="s">
        <v>932</v>
      </c>
      <c r="I939" s="28" t="b">
        <v>0</v>
      </c>
      <c r="J939" s="17" t="s">
        <v>43</v>
      </c>
      <c r="K939" s="21" t="str">
        <f t="shared" si="25"/>
        <v>https://version2.ice-d.org/antarctica/sample/BFKS2006-MV1/</v>
      </c>
      <c r="L939" s="46" t="s">
        <v>148</v>
      </c>
      <c r="M939" s="179" t="s">
        <v>1094</v>
      </c>
      <c r="O939" s="28" t="s">
        <v>1090</v>
      </c>
      <c r="P939" s="22">
        <v>-70.861666670000005</v>
      </c>
      <c r="Q939" s="22">
        <v>-68.439700000000002</v>
      </c>
      <c r="R939" s="22"/>
      <c r="S939" s="22">
        <v>600</v>
      </c>
      <c r="T939" s="22">
        <v>30</v>
      </c>
      <c r="U939" s="23">
        <v>500</v>
      </c>
      <c r="V939" s="7" t="s">
        <v>2435</v>
      </c>
      <c r="W939" s="44" t="s">
        <v>2436</v>
      </c>
      <c r="X939" s="22">
        <f t="shared" si="23"/>
        <v>570</v>
      </c>
      <c r="Y939" s="22">
        <v>5</v>
      </c>
      <c r="Z939" s="22">
        <v>2.7</v>
      </c>
      <c r="AA939" s="17" t="s">
        <v>51</v>
      </c>
      <c r="AB939" s="26">
        <v>12472</v>
      </c>
      <c r="AC939" s="26">
        <v>375</v>
      </c>
      <c r="AD939" s="26">
        <v>828</v>
      </c>
      <c r="AE939" s="27">
        <v>130000</v>
      </c>
      <c r="AF939" s="27">
        <v>3900</v>
      </c>
      <c r="AG939" s="27">
        <v>1300000</v>
      </c>
      <c r="AH939" s="27">
        <v>39000</v>
      </c>
      <c r="AI939" s="27">
        <v>2004</v>
      </c>
      <c r="AJ939" s="17">
        <v>0</v>
      </c>
      <c r="AK939" s="17">
        <v>0</v>
      </c>
    </row>
    <row r="940" spans="1:38" ht="15.75" customHeight="1">
      <c r="A940" s="133" t="s">
        <v>1092</v>
      </c>
      <c r="B940" s="19" t="s">
        <v>1093</v>
      </c>
      <c r="C940" s="27">
        <v>109</v>
      </c>
      <c r="D940" s="20" t="s">
        <v>196</v>
      </c>
      <c r="E940" s="33">
        <v>0</v>
      </c>
      <c r="F940" s="33" t="s">
        <v>1089</v>
      </c>
      <c r="G940" s="33" t="s">
        <v>1078</v>
      </c>
      <c r="H940" s="19" t="s">
        <v>932</v>
      </c>
      <c r="I940" s="28" t="b">
        <v>0</v>
      </c>
      <c r="J940" s="17" t="s">
        <v>64</v>
      </c>
      <c r="K940" s="21" t="str">
        <f t="shared" si="25"/>
        <v>https://version2.ice-d.org/antarctica/sample/BFKS2006-MV1/</v>
      </c>
      <c r="L940" s="46" t="s">
        <v>148</v>
      </c>
      <c r="M940" s="155"/>
      <c r="O940" s="28" t="s">
        <v>1090</v>
      </c>
      <c r="P940" s="27">
        <v>-70.861666670000005</v>
      </c>
      <c r="Q940" s="27">
        <v>-68.439700000000002</v>
      </c>
      <c r="R940" s="27"/>
      <c r="S940" s="27">
        <v>600</v>
      </c>
      <c r="T940" s="22">
        <v>30</v>
      </c>
      <c r="U940" s="23">
        <v>500</v>
      </c>
      <c r="V940" s="7" t="s">
        <v>2435</v>
      </c>
      <c r="W940" s="44" t="s">
        <v>2436</v>
      </c>
      <c r="X940" s="22">
        <f t="shared" si="23"/>
        <v>570</v>
      </c>
      <c r="Y940" s="27">
        <v>5</v>
      </c>
      <c r="Z940" s="27">
        <v>2.7</v>
      </c>
      <c r="AA940" s="28" t="s">
        <v>51</v>
      </c>
      <c r="AB940" s="26">
        <v>17718</v>
      </c>
      <c r="AC940" s="26">
        <v>536</v>
      </c>
      <c r="AD940" s="26">
        <v>1628</v>
      </c>
      <c r="AE940" s="27">
        <v>130000</v>
      </c>
      <c r="AF940" s="27">
        <v>3900</v>
      </c>
      <c r="AG940" s="27">
        <v>1300000</v>
      </c>
      <c r="AH940" s="27">
        <v>39000</v>
      </c>
      <c r="AI940" s="27">
        <v>2004</v>
      </c>
      <c r="AJ940" s="17">
        <v>0</v>
      </c>
      <c r="AK940" s="17">
        <v>0</v>
      </c>
    </row>
    <row r="941" spans="1:38" ht="15.75" customHeight="1">
      <c r="A941" s="46" t="s">
        <v>1095</v>
      </c>
      <c r="B941" s="19" t="s">
        <v>1093</v>
      </c>
      <c r="C941" s="27">
        <v>109</v>
      </c>
      <c r="D941" s="20" t="s">
        <v>196</v>
      </c>
      <c r="E941" s="33">
        <v>0</v>
      </c>
      <c r="F941" s="33" t="s">
        <v>1089</v>
      </c>
      <c r="G941" s="33" t="s">
        <v>1078</v>
      </c>
      <c r="H941" s="19" t="s">
        <v>932</v>
      </c>
      <c r="I941" s="17" t="b">
        <v>0</v>
      </c>
      <c r="J941" s="17" t="s">
        <v>43</v>
      </c>
      <c r="K941" s="21" t="str">
        <f t="shared" si="25"/>
        <v>https://version2.ice-d.org/antarctica/sample/BFKS2006-MV5/</v>
      </c>
      <c r="L941" s="46" t="s">
        <v>148</v>
      </c>
      <c r="M941" s="155"/>
      <c r="O941" s="17" t="s">
        <v>1079</v>
      </c>
      <c r="P941" s="22">
        <v>-70.878611109999994</v>
      </c>
      <c r="Q941" s="22">
        <v>-68.391111109999997</v>
      </c>
      <c r="R941" s="22"/>
      <c r="S941" s="22">
        <v>500</v>
      </c>
      <c r="T941" s="22">
        <v>30</v>
      </c>
      <c r="U941" s="23">
        <v>500</v>
      </c>
      <c r="V941" s="7" t="s">
        <v>2435</v>
      </c>
      <c r="W941" s="44" t="s">
        <v>2436</v>
      </c>
      <c r="X941" s="22">
        <f t="shared" si="23"/>
        <v>470</v>
      </c>
      <c r="Y941" s="22">
        <v>8</v>
      </c>
      <c r="Z941" s="22">
        <v>2.7</v>
      </c>
      <c r="AA941" s="17" t="s">
        <v>51</v>
      </c>
      <c r="AB941" s="26">
        <v>7729</v>
      </c>
      <c r="AC941" s="26">
        <v>232</v>
      </c>
      <c r="AD941" s="26">
        <v>513</v>
      </c>
      <c r="AE941" s="27">
        <v>72000</v>
      </c>
      <c r="AF941" s="27">
        <v>2160</v>
      </c>
      <c r="AG941" s="27">
        <v>810000</v>
      </c>
      <c r="AH941" s="27">
        <v>24300</v>
      </c>
      <c r="AI941" s="27">
        <v>2004</v>
      </c>
      <c r="AJ941" s="17">
        <v>0</v>
      </c>
      <c r="AK941" s="17">
        <v>0</v>
      </c>
    </row>
    <row r="942" spans="1:38" ht="15.75" customHeight="1">
      <c r="A942" s="46" t="s">
        <v>1095</v>
      </c>
      <c r="B942" s="19" t="s">
        <v>1093</v>
      </c>
      <c r="C942" s="27">
        <v>109</v>
      </c>
      <c r="D942" s="20" t="s">
        <v>196</v>
      </c>
      <c r="E942" s="33">
        <v>0</v>
      </c>
      <c r="F942" s="33" t="s">
        <v>1089</v>
      </c>
      <c r="G942" s="33" t="s">
        <v>1078</v>
      </c>
      <c r="H942" s="19" t="s">
        <v>932</v>
      </c>
      <c r="I942" s="17" t="b">
        <v>0</v>
      </c>
      <c r="J942" s="17" t="s">
        <v>64</v>
      </c>
      <c r="K942" s="21" t="str">
        <f t="shared" si="25"/>
        <v>https://version2.ice-d.org/antarctica/sample/BFKS2006-MV5/</v>
      </c>
      <c r="L942" s="46" t="s">
        <v>148</v>
      </c>
      <c r="M942" s="155"/>
      <c r="O942" s="17" t="s">
        <v>1079</v>
      </c>
      <c r="P942" s="22">
        <v>-70.878611109999994</v>
      </c>
      <c r="Q942" s="22">
        <v>-68.391111109999997</v>
      </c>
      <c r="R942" s="22"/>
      <c r="S942" s="22">
        <v>500</v>
      </c>
      <c r="T942" s="22">
        <v>30</v>
      </c>
      <c r="U942" s="23">
        <v>500</v>
      </c>
      <c r="V942" s="7" t="s">
        <v>2435</v>
      </c>
      <c r="W942" s="44" t="s">
        <v>2436</v>
      </c>
      <c r="X942" s="22">
        <f t="shared" si="23"/>
        <v>470</v>
      </c>
      <c r="Y942" s="22">
        <v>8</v>
      </c>
      <c r="Z942" s="22">
        <v>2.7</v>
      </c>
      <c r="AA942" s="17" t="s">
        <v>51</v>
      </c>
      <c r="AB942" s="26">
        <v>12364</v>
      </c>
      <c r="AC942" s="26">
        <v>373</v>
      </c>
      <c r="AD942" s="26">
        <v>1133</v>
      </c>
      <c r="AE942" s="27">
        <v>72000</v>
      </c>
      <c r="AF942" s="27">
        <v>2160</v>
      </c>
      <c r="AG942" s="27">
        <v>810000</v>
      </c>
      <c r="AH942" s="27">
        <v>24300</v>
      </c>
      <c r="AI942" s="27">
        <v>2004</v>
      </c>
      <c r="AJ942" s="17">
        <v>0</v>
      </c>
      <c r="AK942" s="17">
        <v>0</v>
      </c>
    </row>
    <row r="943" spans="1:38" ht="15.75" customHeight="1">
      <c r="A943" s="129" t="s">
        <v>1096</v>
      </c>
      <c r="B943" s="33" t="s">
        <v>1097</v>
      </c>
      <c r="C943" s="27">
        <v>110</v>
      </c>
      <c r="D943" s="20" t="s">
        <v>196</v>
      </c>
      <c r="E943" s="33">
        <v>0</v>
      </c>
      <c r="F943" s="33" t="s">
        <v>1089</v>
      </c>
      <c r="G943" s="33" t="s">
        <v>1078</v>
      </c>
      <c r="H943" s="19" t="s">
        <v>932</v>
      </c>
      <c r="I943" s="28" t="b">
        <v>0</v>
      </c>
      <c r="J943" s="17" t="s">
        <v>43</v>
      </c>
      <c r="K943" s="21" t="str">
        <f t="shared" si="25"/>
        <v>https://version2.ice-d.org/antarctica/sample/BFKS2006-TSC-1/</v>
      </c>
      <c r="L943" s="134" t="s">
        <v>39</v>
      </c>
      <c r="M943" s="134"/>
      <c r="N943" s="28"/>
      <c r="O943" s="28" t="s">
        <v>1090</v>
      </c>
      <c r="P943" s="22">
        <v>-71.831944440000001</v>
      </c>
      <c r="Q943" s="22">
        <v>-68.247222219999998</v>
      </c>
      <c r="R943" s="22"/>
      <c r="S943" s="22">
        <v>380</v>
      </c>
      <c r="T943" s="22">
        <v>30</v>
      </c>
      <c r="U943" s="23">
        <v>500</v>
      </c>
      <c r="V943" s="7" t="s">
        <v>2435</v>
      </c>
      <c r="W943" s="44" t="s">
        <v>2436</v>
      </c>
      <c r="X943" s="22">
        <f t="shared" si="23"/>
        <v>350</v>
      </c>
      <c r="Y943" s="22">
        <v>7</v>
      </c>
      <c r="Z943" s="22">
        <v>2.7</v>
      </c>
      <c r="AA943" s="17" t="s">
        <v>51</v>
      </c>
      <c r="AB943" s="26">
        <v>7536</v>
      </c>
      <c r="AC943" s="26">
        <v>227</v>
      </c>
      <c r="AD943" s="26">
        <v>500</v>
      </c>
      <c r="AE943" s="27">
        <v>63000</v>
      </c>
      <c r="AF943" s="27">
        <v>1890</v>
      </c>
      <c r="AG943" s="27">
        <v>510000</v>
      </c>
      <c r="AH943" s="27">
        <v>15300</v>
      </c>
      <c r="AI943" s="27">
        <v>2004</v>
      </c>
      <c r="AJ943" s="17">
        <v>0</v>
      </c>
      <c r="AK943" s="17">
        <v>0</v>
      </c>
      <c r="AL943" s="17" t="s">
        <v>1098</v>
      </c>
    </row>
    <row r="944" spans="1:38" ht="15.75" customHeight="1">
      <c r="A944" s="129" t="s">
        <v>1096</v>
      </c>
      <c r="B944" s="33" t="s">
        <v>1097</v>
      </c>
      <c r="C944" s="27">
        <v>110</v>
      </c>
      <c r="D944" s="20" t="s">
        <v>196</v>
      </c>
      <c r="E944" s="33">
        <v>0</v>
      </c>
      <c r="F944" s="33" t="s">
        <v>1089</v>
      </c>
      <c r="G944" s="33" t="s">
        <v>1078</v>
      </c>
      <c r="H944" s="19" t="s">
        <v>932</v>
      </c>
      <c r="I944" s="28" t="b">
        <v>0</v>
      </c>
      <c r="J944" s="17" t="s">
        <v>64</v>
      </c>
      <c r="K944" s="21" t="str">
        <f t="shared" si="25"/>
        <v>https://version2.ice-d.org/antarctica/sample/BFKS2006-TSC-1/</v>
      </c>
      <c r="L944" s="134" t="s">
        <v>39</v>
      </c>
      <c r="M944" s="134"/>
      <c r="N944" s="28"/>
      <c r="O944" s="28" t="s">
        <v>1090</v>
      </c>
      <c r="P944" s="22">
        <v>-71.831944440000001</v>
      </c>
      <c r="Q944" s="22">
        <v>-68.247222219999998</v>
      </c>
      <c r="R944" s="22"/>
      <c r="S944" s="22">
        <v>380</v>
      </c>
      <c r="T944" s="22">
        <v>30</v>
      </c>
      <c r="U944" s="23">
        <v>500</v>
      </c>
      <c r="V944" s="7" t="s">
        <v>2435</v>
      </c>
      <c r="W944" s="44" t="s">
        <v>2436</v>
      </c>
      <c r="X944" s="22">
        <f t="shared" si="23"/>
        <v>350</v>
      </c>
      <c r="Y944" s="22">
        <v>7</v>
      </c>
      <c r="Z944" s="22">
        <v>2.7</v>
      </c>
      <c r="AA944" s="17" t="s">
        <v>51</v>
      </c>
      <c r="AB944" s="26">
        <v>8592</v>
      </c>
      <c r="AC944" s="26">
        <v>259</v>
      </c>
      <c r="AD944" s="26">
        <v>786</v>
      </c>
      <c r="AE944" s="27">
        <v>63000</v>
      </c>
      <c r="AF944" s="27">
        <v>1890</v>
      </c>
      <c r="AG944" s="27">
        <v>510000</v>
      </c>
      <c r="AH944" s="27">
        <v>15300</v>
      </c>
      <c r="AI944" s="27">
        <v>2004</v>
      </c>
      <c r="AJ944" s="17">
        <v>0</v>
      </c>
      <c r="AK944" s="17">
        <v>0</v>
      </c>
      <c r="AL944" s="17" t="s">
        <v>1098</v>
      </c>
    </row>
    <row r="945" spans="1:38" ht="15.75" customHeight="1">
      <c r="A945" s="129" t="s">
        <v>1099</v>
      </c>
      <c r="B945" s="33" t="s">
        <v>1097</v>
      </c>
      <c r="C945" s="27">
        <v>110</v>
      </c>
      <c r="D945" s="20" t="s">
        <v>196</v>
      </c>
      <c r="E945" s="33">
        <v>0</v>
      </c>
      <c r="F945" s="33" t="s">
        <v>1089</v>
      </c>
      <c r="G945" s="33" t="s">
        <v>1078</v>
      </c>
      <c r="H945" s="19" t="s">
        <v>932</v>
      </c>
      <c r="I945" s="28" t="b">
        <v>0</v>
      </c>
      <c r="J945" s="17" t="s">
        <v>64</v>
      </c>
      <c r="K945" s="21" t="str">
        <f t="shared" si="25"/>
        <v>https://version2.ice-d.org/antarctica/sample/BFKS2006-TSC-2/</v>
      </c>
      <c r="L945" s="134" t="s">
        <v>39</v>
      </c>
      <c r="M945" s="134"/>
      <c r="N945" s="28"/>
      <c r="O945" s="28" t="s">
        <v>1090</v>
      </c>
      <c r="P945" s="22">
        <v>-71.832499999999996</v>
      </c>
      <c r="Q945" s="22">
        <v>-68.246666669999996</v>
      </c>
      <c r="R945" s="22"/>
      <c r="S945" s="22">
        <v>370</v>
      </c>
      <c r="T945" s="22">
        <v>30</v>
      </c>
      <c r="U945" s="23">
        <v>500</v>
      </c>
      <c r="V945" s="7" t="s">
        <v>2435</v>
      </c>
      <c r="W945" s="44" t="s">
        <v>2436</v>
      </c>
      <c r="X945" s="22">
        <f t="shared" si="23"/>
        <v>340</v>
      </c>
      <c r="Y945" s="22">
        <v>5</v>
      </c>
      <c r="Z945" s="22">
        <v>2.7</v>
      </c>
      <c r="AA945" s="17" t="s">
        <v>51</v>
      </c>
      <c r="AB945" s="26">
        <v>7539</v>
      </c>
      <c r="AC945" s="26">
        <v>227</v>
      </c>
      <c r="AD945" s="26">
        <v>689</v>
      </c>
      <c r="AE945" s="27">
        <v>65000</v>
      </c>
      <c r="AF945" s="27">
        <v>1950</v>
      </c>
      <c r="AG945" s="27">
        <v>450000</v>
      </c>
      <c r="AH945" s="27">
        <v>13500</v>
      </c>
      <c r="AI945" s="27">
        <v>2004</v>
      </c>
      <c r="AJ945" s="17">
        <v>0</v>
      </c>
      <c r="AK945" s="17">
        <v>1</v>
      </c>
      <c r="AL945" s="17" t="s">
        <v>1098</v>
      </c>
    </row>
    <row r="946" spans="1:38" ht="15.75" customHeight="1">
      <c r="A946" s="129" t="s">
        <v>1099</v>
      </c>
      <c r="B946" s="33" t="s">
        <v>1097</v>
      </c>
      <c r="C946" s="27">
        <v>110</v>
      </c>
      <c r="D946" s="20" t="s">
        <v>196</v>
      </c>
      <c r="E946" s="33">
        <v>0</v>
      </c>
      <c r="F946" s="33" t="s">
        <v>1089</v>
      </c>
      <c r="G946" s="33" t="s">
        <v>1078</v>
      </c>
      <c r="H946" s="19" t="s">
        <v>932</v>
      </c>
      <c r="I946" s="28" t="b">
        <v>0</v>
      </c>
      <c r="J946" s="17" t="s">
        <v>43</v>
      </c>
      <c r="K946" s="21" t="str">
        <f t="shared" si="25"/>
        <v>https://version2.ice-d.org/antarctica/sample/BFKS2006-TSC-2/</v>
      </c>
      <c r="L946" s="134" t="s">
        <v>39</v>
      </c>
      <c r="M946" s="134" t="s">
        <v>44</v>
      </c>
      <c r="N946" s="28"/>
      <c r="O946" s="28" t="s">
        <v>1090</v>
      </c>
      <c r="P946" s="22">
        <v>-71.832499999999996</v>
      </c>
      <c r="Q946" s="22">
        <v>-68.246666669999996</v>
      </c>
      <c r="R946" s="22"/>
      <c r="S946" s="22">
        <v>370</v>
      </c>
      <c r="T946" s="22">
        <v>30</v>
      </c>
      <c r="U946" s="23">
        <v>500</v>
      </c>
      <c r="V946" s="7" t="s">
        <v>2435</v>
      </c>
      <c r="W946" s="44" t="s">
        <v>2436</v>
      </c>
      <c r="X946" s="22">
        <f t="shared" si="23"/>
        <v>340</v>
      </c>
      <c r="Y946" s="22">
        <v>5</v>
      </c>
      <c r="Z946" s="22">
        <v>2.7</v>
      </c>
      <c r="AA946" s="17" t="s">
        <v>51</v>
      </c>
      <c r="AB946" s="26">
        <v>7716</v>
      </c>
      <c r="AC946" s="26">
        <v>232</v>
      </c>
      <c r="AD946" s="26">
        <v>512</v>
      </c>
      <c r="AE946" s="27">
        <v>65000</v>
      </c>
      <c r="AF946" s="27">
        <v>1950</v>
      </c>
      <c r="AG946" s="27">
        <v>450000</v>
      </c>
      <c r="AH946" s="27">
        <v>13500</v>
      </c>
      <c r="AI946" s="27">
        <v>2004</v>
      </c>
      <c r="AJ946" s="17">
        <v>0</v>
      </c>
      <c r="AK946" s="17">
        <v>1</v>
      </c>
      <c r="AL946" s="17" t="s">
        <v>1098</v>
      </c>
    </row>
    <row r="947" spans="1:38" ht="12.75" customHeight="1">
      <c r="A947" s="45" t="s">
        <v>1100</v>
      </c>
      <c r="B947" s="19" t="s">
        <v>1101</v>
      </c>
      <c r="C947" s="17">
        <v>111</v>
      </c>
      <c r="D947" s="20" t="s">
        <v>196</v>
      </c>
      <c r="E947" s="19">
        <v>0</v>
      </c>
      <c r="F947" s="17" t="s">
        <v>1102</v>
      </c>
      <c r="G947" s="135" t="s">
        <v>1103</v>
      </c>
      <c r="H947" s="19" t="s">
        <v>932</v>
      </c>
      <c r="I947" s="17" t="b">
        <v>0</v>
      </c>
      <c r="J947" s="17" t="s">
        <v>247</v>
      </c>
      <c r="K947" s="21" t="str">
        <f t="shared" si="25"/>
        <v>https://version2.ice-d.org/antarctica/sample/10-LAR-018-SJO/</v>
      </c>
      <c r="L947" s="45" t="s">
        <v>1104</v>
      </c>
      <c r="M947" s="180" t="s">
        <v>44</v>
      </c>
      <c r="O947" s="17" t="s">
        <v>1105</v>
      </c>
      <c r="P947" s="22">
        <v>-64.195310000000006</v>
      </c>
      <c r="Q947" s="22">
        <v>-58.979529999999997</v>
      </c>
      <c r="R947" s="22">
        <v>1.5</v>
      </c>
      <c r="S947" s="22">
        <v>116</v>
      </c>
      <c r="T947" s="22">
        <v>0</v>
      </c>
      <c r="U947" s="23">
        <v>500</v>
      </c>
      <c r="V947" s="7" t="s">
        <v>2435</v>
      </c>
      <c r="W947" s="44" t="s">
        <v>2436</v>
      </c>
      <c r="X947" s="22">
        <f t="shared" si="23"/>
        <v>116</v>
      </c>
      <c r="Y947" s="22">
        <v>6.5</v>
      </c>
      <c r="Z947" s="22">
        <v>2.65</v>
      </c>
      <c r="AA947" s="17" t="s">
        <v>73</v>
      </c>
      <c r="AB947" s="26">
        <v>5506</v>
      </c>
      <c r="AC947" s="26">
        <v>180</v>
      </c>
      <c r="AD947" s="26"/>
      <c r="AE947" s="27">
        <v>27674</v>
      </c>
      <c r="AF947" s="27">
        <v>686</v>
      </c>
      <c r="AG947" s="28"/>
      <c r="AH947" s="28"/>
      <c r="AI947" s="17">
        <v>2010</v>
      </c>
      <c r="AJ947" s="17">
        <v>1</v>
      </c>
      <c r="AK947" s="17">
        <v>1</v>
      </c>
      <c r="AL947" s="17" t="s">
        <v>1106</v>
      </c>
    </row>
    <row r="948" spans="1:38" ht="12.75" customHeight="1">
      <c r="A948" s="45" t="s">
        <v>1100</v>
      </c>
      <c r="B948" s="19" t="s">
        <v>1101</v>
      </c>
      <c r="C948" s="17">
        <v>111</v>
      </c>
      <c r="D948" s="20" t="s">
        <v>196</v>
      </c>
      <c r="E948" s="19">
        <v>0</v>
      </c>
      <c r="F948" s="17" t="s">
        <v>1102</v>
      </c>
      <c r="G948" s="135" t="s">
        <v>1103</v>
      </c>
      <c r="H948" s="19" t="s">
        <v>932</v>
      </c>
      <c r="I948" s="17" t="b">
        <v>0</v>
      </c>
      <c r="J948" s="17" t="s">
        <v>247</v>
      </c>
      <c r="K948" s="21" t="str">
        <f t="shared" si="25"/>
        <v>https://version2.ice-d.org/antarctica/sample/10-LAR-018-SJO/</v>
      </c>
      <c r="L948" s="45" t="s">
        <v>1104</v>
      </c>
      <c r="M948" s="155"/>
      <c r="O948" s="17" t="s">
        <v>1105</v>
      </c>
      <c r="P948" s="22">
        <v>-64.195310000000006</v>
      </c>
      <c r="Q948" s="22">
        <v>-58.979529999999997</v>
      </c>
      <c r="R948" s="22">
        <v>1.5</v>
      </c>
      <c r="S948" s="22">
        <v>116</v>
      </c>
      <c r="T948" s="22">
        <v>0</v>
      </c>
      <c r="U948" s="23">
        <v>500</v>
      </c>
      <c r="V948" s="7" t="s">
        <v>2435</v>
      </c>
      <c r="W948" s="44" t="s">
        <v>2436</v>
      </c>
      <c r="X948" s="22">
        <f t="shared" si="23"/>
        <v>116</v>
      </c>
      <c r="Y948" s="22">
        <v>6.5</v>
      </c>
      <c r="Z948" s="22">
        <v>2.65</v>
      </c>
      <c r="AA948" s="17" t="s">
        <v>73</v>
      </c>
      <c r="AB948" s="26">
        <v>7224</v>
      </c>
      <c r="AC948" s="26">
        <v>361</v>
      </c>
      <c r="AD948" s="26"/>
      <c r="AE948" s="27">
        <v>27674</v>
      </c>
      <c r="AF948" s="27">
        <v>686</v>
      </c>
      <c r="AG948" s="28"/>
      <c r="AH948" s="28"/>
      <c r="AI948" s="17">
        <v>2010</v>
      </c>
      <c r="AJ948" s="17">
        <v>1</v>
      </c>
      <c r="AK948" s="17">
        <v>1</v>
      </c>
      <c r="AL948" s="17" t="s">
        <v>1106</v>
      </c>
    </row>
    <row r="949" spans="1:38" ht="12.75" customHeight="1">
      <c r="A949" s="45" t="s">
        <v>1107</v>
      </c>
      <c r="B949" s="19" t="s">
        <v>1101</v>
      </c>
      <c r="C949" s="17">
        <v>111</v>
      </c>
      <c r="D949" s="20" t="s">
        <v>196</v>
      </c>
      <c r="E949" s="19">
        <v>0</v>
      </c>
      <c r="F949" s="17" t="s">
        <v>1102</v>
      </c>
      <c r="G949" s="135" t="s">
        <v>1103</v>
      </c>
      <c r="H949" s="19" t="s">
        <v>932</v>
      </c>
      <c r="I949" s="17" t="b">
        <v>0</v>
      </c>
      <c r="J949" s="17" t="s">
        <v>43</v>
      </c>
      <c r="K949" s="21" t="str">
        <f t="shared" si="25"/>
        <v>https://version2.ice-d.org/antarctica/sample/10-LAR-019-SJO/</v>
      </c>
      <c r="L949" s="45" t="s">
        <v>1104</v>
      </c>
      <c r="M949" s="155"/>
      <c r="O949" s="17" t="s">
        <v>1105</v>
      </c>
      <c r="P949" s="22">
        <v>-64.196529999999996</v>
      </c>
      <c r="Q949" s="22">
        <v>-58.979489999999998</v>
      </c>
      <c r="R949" s="22">
        <v>1.5</v>
      </c>
      <c r="S949" s="22">
        <v>97</v>
      </c>
      <c r="T949" s="22">
        <v>0</v>
      </c>
      <c r="U949" s="23">
        <v>500</v>
      </c>
      <c r="V949" s="7" t="s">
        <v>2435</v>
      </c>
      <c r="W949" s="44" t="s">
        <v>2436</v>
      </c>
      <c r="X949" s="22">
        <f t="shared" si="23"/>
        <v>97</v>
      </c>
      <c r="Y949" s="22">
        <v>6</v>
      </c>
      <c r="Z949" s="22">
        <v>2.65</v>
      </c>
      <c r="AA949" s="17" t="s">
        <v>73</v>
      </c>
      <c r="AB949" s="26">
        <v>254</v>
      </c>
      <c r="AC949" s="26">
        <v>43</v>
      </c>
      <c r="AD949" s="26"/>
      <c r="AE949" s="27">
        <v>1401</v>
      </c>
      <c r="AF949" s="27">
        <v>238</v>
      </c>
      <c r="AG949" s="28"/>
      <c r="AH949" s="28"/>
      <c r="AI949" s="17">
        <v>2010</v>
      </c>
      <c r="AJ949" s="17">
        <v>1</v>
      </c>
      <c r="AK949" s="17">
        <v>1</v>
      </c>
      <c r="AL949" s="17" t="s">
        <v>1108</v>
      </c>
    </row>
    <row r="950" spans="1:38" ht="12.75" customHeight="1">
      <c r="A950" s="45" t="s">
        <v>1109</v>
      </c>
      <c r="B950" s="19" t="s">
        <v>1101</v>
      </c>
      <c r="C950" s="17">
        <v>111</v>
      </c>
      <c r="D950" s="20" t="s">
        <v>196</v>
      </c>
      <c r="E950" s="19">
        <v>0</v>
      </c>
      <c r="F950" s="17" t="s">
        <v>1102</v>
      </c>
      <c r="G950" s="135" t="s">
        <v>1103</v>
      </c>
      <c r="H950" s="19" t="s">
        <v>932</v>
      </c>
      <c r="I950" s="17" t="b">
        <v>0</v>
      </c>
      <c r="J950" s="17" t="s">
        <v>1110</v>
      </c>
      <c r="K950" s="21" t="str">
        <f t="shared" si="25"/>
        <v>https://version2.ice-d.org/antarctica/sample/10-LAR-020-SJO/</v>
      </c>
      <c r="L950" s="45" t="s">
        <v>1104</v>
      </c>
      <c r="M950" s="155"/>
      <c r="O950" s="17" t="s">
        <v>1105</v>
      </c>
      <c r="P950" s="22">
        <v>-64.196529999999996</v>
      </c>
      <c r="Q950" s="22">
        <v>-58.979489999999998</v>
      </c>
      <c r="R950" s="22">
        <v>1.5</v>
      </c>
      <c r="S950" s="22">
        <v>97</v>
      </c>
      <c r="T950" s="22">
        <v>0</v>
      </c>
      <c r="U950" s="23">
        <v>500</v>
      </c>
      <c r="V950" s="7" t="s">
        <v>2435</v>
      </c>
      <c r="W950" s="44" t="s">
        <v>2436</v>
      </c>
      <c r="X950" s="22">
        <f t="shared" si="23"/>
        <v>97</v>
      </c>
      <c r="Y950" s="22">
        <v>4</v>
      </c>
      <c r="Z950" s="22">
        <v>2.65</v>
      </c>
      <c r="AA950" s="17" t="s">
        <v>73</v>
      </c>
      <c r="AB950" s="26">
        <v>229</v>
      </c>
      <c r="AC950" s="26">
        <v>50</v>
      </c>
      <c r="AD950" s="26"/>
      <c r="AE950" s="27">
        <v>1269</v>
      </c>
      <c r="AF950" s="27">
        <v>278</v>
      </c>
      <c r="AG950" s="28"/>
      <c r="AH950" s="28"/>
      <c r="AI950" s="17">
        <v>2010</v>
      </c>
      <c r="AJ950" s="17">
        <v>1</v>
      </c>
      <c r="AK950" s="17">
        <v>1</v>
      </c>
      <c r="AL950" s="17" t="s">
        <v>1108</v>
      </c>
    </row>
    <row r="951" spans="1:38" ht="12.75" customHeight="1">
      <c r="A951" s="45" t="s">
        <v>1111</v>
      </c>
      <c r="B951" s="19" t="s">
        <v>1101</v>
      </c>
      <c r="C951" s="17">
        <v>111</v>
      </c>
      <c r="D951" s="20" t="s">
        <v>196</v>
      </c>
      <c r="E951" s="19">
        <v>0</v>
      </c>
      <c r="F951" s="17" t="s">
        <v>1102</v>
      </c>
      <c r="G951" s="135" t="s">
        <v>1103</v>
      </c>
      <c r="H951" s="19" t="s">
        <v>932</v>
      </c>
      <c r="I951" s="17" t="b">
        <v>0</v>
      </c>
      <c r="J951" s="17" t="s">
        <v>43</v>
      </c>
      <c r="K951" s="21" t="str">
        <f t="shared" si="25"/>
        <v>https://version2.ice-d.org/antarctica/sample/10-LAR-021-SJO/</v>
      </c>
      <c r="L951" s="45" t="s">
        <v>1104</v>
      </c>
      <c r="M951" s="155"/>
      <c r="O951" s="17" t="s">
        <v>1105</v>
      </c>
      <c r="P951" s="22">
        <v>-64.19726</v>
      </c>
      <c r="Q951" s="22">
        <v>-58.978070000000002</v>
      </c>
      <c r="R951" s="22">
        <v>1.5</v>
      </c>
      <c r="S951" s="22">
        <v>74</v>
      </c>
      <c r="T951" s="22">
        <v>0</v>
      </c>
      <c r="U951" s="23">
        <v>500</v>
      </c>
      <c r="V951" s="7" t="s">
        <v>2435</v>
      </c>
      <c r="W951" s="44" t="s">
        <v>2436</v>
      </c>
      <c r="X951" s="22">
        <f t="shared" si="23"/>
        <v>74</v>
      </c>
      <c r="Y951" s="22">
        <v>0</v>
      </c>
      <c r="Z951" s="22">
        <v>2.65</v>
      </c>
      <c r="AA951" s="17" t="s">
        <v>73</v>
      </c>
      <c r="AB951" s="26">
        <v>337</v>
      </c>
      <c r="AC951" s="26">
        <v>207</v>
      </c>
      <c r="AD951" s="26"/>
      <c r="AE951" s="27">
        <v>1951</v>
      </c>
      <c r="AF951" s="27">
        <v>1202</v>
      </c>
      <c r="AG951" s="28"/>
      <c r="AH951" s="28"/>
      <c r="AI951" s="17">
        <v>2010</v>
      </c>
      <c r="AJ951" s="17">
        <v>1</v>
      </c>
      <c r="AK951" s="17">
        <v>1</v>
      </c>
      <c r="AL951" s="17" t="s">
        <v>1108</v>
      </c>
    </row>
    <row r="952" spans="1:38" ht="12.75" customHeight="1">
      <c r="A952" s="45" t="s">
        <v>1112</v>
      </c>
      <c r="B952" s="19" t="s">
        <v>1101</v>
      </c>
      <c r="C952" s="17">
        <v>111</v>
      </c>
      <c r="D952" s="20" t="s">
        <v>196</v>
      </c>
      <c r="E952" s="19">
        <v>0</v>
      </c>
      <c r="F952" s="17" t="s">
        <v>1102</v>
      </c>
      <c r="G952" s="135" t="s">
        <v>1103</v>
      </c>
      <c r="H952" s="19" t="s">
        <v>932</v>
      </c>
      <c r="I952" s="17" t="b">
        <v>0</v>
      </c>
      <c r="J952" s="17" t="s">
        <v>247</v>
      </c>
      <c r="K952" s="21" t="str">
        <f t="shared" si="25"/>
        <v>https://version2.ice-d.org/antarctica/sample/10-LAR-022-SJO/</v>
      </c>
      <c r="L952" s="45" t="s">
        <v>1104</v>
      </c>
      <c r="M952" s="155"/>
      <c r="O952" s="17" t="s">
        <v>1105</v>
      </c>
      <c r="P952" s="22">
        <v>-64.19726</v>
      </c>
      <c r="Q952" s="22">
        <v>-58.978070000000002</v>
      </c>
      <c r="R952" s="22">
        <v>1.5</v>
      </c>
      <c r="S952" s="22">
        <v>74</v>
      </c>
      <c r="T952" s="22">
        <v>0</v>
      </c>
      <c r="U952" s="23">
        <v>500</v>
      </c>
      <c r="V952" s="7" t="s">
        <v>2435</v>
      </c>
      <c r="W952" s="44" t="s">
        <v>2436</v>
      </c>
      <c r="X952" s="22">
        <f t="shared" si="23"/>
        <v>74</v>
      </c>
      <c r="Y952" s="22">
        <v>5</v>
      </c>
      <c r="Z952" s="22">
        <v>2.65</v>
      </c>
      <c r="AA952" s="17" t="s">
        <v>73</v>
      </c>
      <c r="AB952" s="26">
        <v>7370</v>
      </c>
      <c r="AC952" s="26">
        <v>246</v>
      </c>
      <c r="AD952" s="26"/>
      <c r="AE952" s="27">
        <v>24186</v>
      </c>
      <c r="AF952" s="27">
        <v>1269</v>
      </c>
      <c r="AG952" s="28"/>
      <c r="AH952" s="28"/>
      <c r="AI952" s="17">
        <v>2010</v>
      </c>
      <c r="AJ952" s="17">
        <v>1</v>
      </c>
      <c r="AK952" s="17">
        <v>1</v>
      </c>
      <c r="AL952" s="17" t="s">
        <v>1106</v>
      </c>
    </row>
    <row r="953" spans="1:38" ht="12.75" customHeight="1">
      <c r="A953" s="45" t="s">
        <v>1112</v>
      </c>
      <c r="B953" s="19" t="s">
        <v>1101</v>
      </c>
      <c r="C953" s="17">
        <v>111</v>
      </c>
      <c r="D953" s="20" t="s">
        <v>196</v>
      </c>
      <c r="E953" s="19">
        <v>0</v>
      </c>
      <c r="F953" s="17" t="s">
        <v>1102</v>
      </c>
      <c r="G953" s="135" t="s">
        <v>1103</v>
      </c>
      <c r="H953" s="19" t="s">
        <v>932</v>
      </c>
      <c r="I953" s="17" t="b">
        <v>0</v>
      </c>
      <c r="J953" s="17" t="s">
        <v>247</v>
      </c>
      <c r="K953" s="21" t="str">
        <f t="shared" si="25"/>
        <v>https://version2.ice-d.org/antarctica/sample/10-LAR-022-SJO/</v>
      </c>
      <c r="L953" s="45" t="s">
        <v>1104</v>
      </c>
      <c r="M953" s="155"/>
      <c r="O953" s="17" t="s">
        <v>1105</v>
      </c>
      <c r="P953" s="22">
        <v>-64.19726</v>
      </c>
      <c r="Q953" s="22">
        <v>-58.978070000000002</v>
      </c>
      <c r="R953" s="22">
        <v>1.5</v>
      </c>
      <c r="S953" s="22">
        <v>74</v>
      </c>
      <c r="T953" s="22">
        <v>0</v>
      </c>
      <c r="U953" s="23">
        <v>500</v>
      </c>
      <c r="V953" s="7" t="s">
        <v>2435</v>
      </c>
      <c r="W953" s="44" t="s">
        <v>2436</v>
      </c>
      <c r="X953" s="22">
        <f t="shared" si="23"/>
        <v>74</v>
      </c>
      <c r="Y953" s="22">
        <v>5</v>
      </c>
      <c r="Z953" s="22">
        <v>2.65</v>
      </c>
      <c r="AA953" s="17" t="s">
        <v>73</v>
      </c>
      <c r="AB953" s="26">
        <v>8986</v>
      </c>
      <c r="AC953" s="26">
        <v>474</v>
      </c>
      <c r="AD953" s="26"/>
      <c r="AE953" s="27">
        <v>24186</v>
      </c>
      <c r="AF953" s="27">
        <v>1269</v>
      </c>
      <c r="AG953" s="28"/>
      <c r="AH953" s="28"/>
      <c r="AI953" s="17">
        <v>2010</v>
      </c>
      <c r="AJ953" s="17">
        <v>1</v>
      </c>
      <c r="AK953" s="17">
        <v>1</v>
      </c>
      <c r="AL953" s="17" t="s">
        <v>1106</v>
      </c>
    </row>
    <row r="954" spans="1:38" ht="12.75" customHeight="1">
      <c r="A954" s="45" t="s">
        <v>1113</v>
      </c>
      <c r="B954" s="19" t="s">
        <v>1101</v>
      </c>
      <c r="C954" s="17">
        <v>111</v>
      </c>
      <c r="D954" s="20" t="s">
        <v>196</v>
      </c>
      <c r="E954" s="19">
        <v>0</v>
      </c>
      <c r="F954" s="17" t="s">
        <v>1102</v>
      </c>
      <c r="G954" s="135" t="s">
        <v>1103</v>
      </c>
      <c r="H954" s="19" t="s">
        <v>932</v>
      </c>
      <c r="I954" s="17" t="b">
        <v>0</v>
      </c>
      <c r="J954" s="17" t="s">
        <v>247</v>
      </c>
      <c r="K954" s="21" t="str">
        <f t="shared" si="25"/>
        <v>https://version2.ice-d.org/antarctica/sample/10-LAR-023-SJO/</v>
      </c>
      <c r="L954" s="45" t="s">
        <v>1104</v>
      </c>
      <c r="M954" s="155"/>
      <c r="O954" s="17" t="s">
        <v>1105</v>
      </c>
      <c r="P954" s="22">
        <v>-64.199389999999994</v>
      </c>
      <c r="Q954" s="22">
        <v>-58.97813</v>
      </c>
      <c r="R954" s="22">
        <v>1.5</v>
      </c>
      <c r="S954" s="22">
        <v>39</v>
      </c>
      <c r="T954" s="22">
        <v>0</v>
      </c>
      <c r="U954" s="23">
        <v>500</v>
      </c>
      <c r="V954" s="7" t="s">
        <v>2435</v>
      </c>
      <c r="W954" s="44" t="s">
        <v>2436</v>
      </c>
      <c r="X954" s="22">
        <f t="shared" si="23"/>
        <v>39</v>
      </c>
      <c r="Y954" s="22"/>
      <c r="Z954" s="22"/>
      <c r="AB954" s="26">
        <v>0</v>
      </c>
      <c r="AC954" s="26">
        <v>0</v>
      </c>
      <c r="AD954" s="26"/>
      <c r="AE954" s="27"/>
      <c r="AF954" s="27"/>
      <c r="AG954" s="28"/>
      <c r="AH954" s="28"/>
      <c r="AK954" s="17">
        <v>1</v>
      </c>
      <c r="AL954" s="17" t="s">
        <v>1106</v>
      </c>
    </row>
    <row r="955" spans="1:38" ht="12.75" customHeight="1">
      <c r="A955" s="45" t="s">
        <v>1114</v>
      </c>
      <c r="B955" s="19" t="s">
        <v>1101</v>
      </c>
      <c r="C955" s="17">
        <v>111</v>
      </c>
      <c r="D955" s="20" t="s">
        <v>196</v>
      </c>
      <c r="E955" s="19">
        <v>0</v>
      </c>
      <c r="F955" s="17" t="s">
        <v>1102</v>
      </c>
      <c r="G955" s="135" t="s">
        <v>1103</v>
      </c>
      <c r="H955" s="19" t="s">
        <v>932</v>
      </c>
      <c r="I955" s="17" t="b">
        <v>0</v>
      </c>
      <c r="J955" s="17" t="s">
        <v>247</v>
      </c>
      <c r="K955" s="21" t="str">
        <f t="shared" si="25"/>
        <v>https://version2.ice-d.org/antarctica/sample/10-LAR-024-SJO/</v>
      </c>
      <c r="L955" s="45" t="s">
        <v>1104</v>
      </c>
      <c r="M955" s="155"/>
      <c r="O955" s="17" t="s">
        <v>1105</v>
      </c>
      <c r="P955" s="22">
        <v>-64.199389999999994</v>
      </c>
      <c r="Q955" s="22">
        <v>-58.97813</v>
      </c>
      <c r="R955" s="22">
        <v>1.5</v>
      </c>
      <c r="S955" s="22">
        <v>39</v>
      </c>
      <c r="T955" s="22">
        <v>0</v>
      </c>
      <c r="U955" s="23">
        <v>500</v>
      </c>
      <c r="V955" s="7" t="s">
        <v>2435</v>
      </c>
      <c r="W955" s="44" t="s">
        <v>2436</v>
      </c>
      <c r="X955" s="22">
        <f t="shared" si="23"/>
        <v>39</v>
      </c>
      <c r="Y955" s="22">
        <v>8</v>
      </c>
      <c r="Z955" s="22">
        <v>2.65</v>
      </c>
      <c r="AA955" s="17" t="s">
        <v>73</v>
      </c>
      <c r="AB955" s="26">
        <v>6927</v>
      </c>
      <c r="AC955" s="26">
        <v>237</v>
      </c>
      <c r="AD955" s="26"/>
      <c r="AE955" s="27">
        <v>18068</v>
      </c>
      <c r="AF955" s="27">
        <v>591</v>
      </c>
      <c r="AG955" s="28"/>
      <c r="AH955" s="28"/>
      <c r="AI955" s="17">
        <v>2010</v>
      </c>
      <c r="AJ955" s="17">
        <v>1</v>
      </c>
      <c r="AK955" s="17">
        <v>1</v>
      </c>
      <c r="AL955" s="17" t="s">
        <v>1106</v>
      </c>
    </row>
    <row r="956" spans="1:38" ht="15" customHeight="1">
      <c r="A956" s="45" t="s">
        <v>1114</v>
      </c>
      <c r="B956" s="19" t="s">
        <v>1101</v>
      </c>
      <c r="C956" s="17">
        <v>111</v>
      </c>
      <c r="D956" s="20" t="s">
        <v>196</v>
      </c>
      <c r="E956" s="19">
        <v>0</v>
      </c>
      <c r="F956" s="17" t="s">
        <v>1102</v>
      </c>
      <c r="G956" s="135" t="s">
        <v>1103</v>
      </c>
      <c r="H956" s="19" t="s">
        <v>932</v>
      </c>
      <c r="I956" s="17" t="b">
        <v>0</v>
      </c>
      <c r="J956" s="17" t="s">
        <v>247</v>
      </c>
      <c r="K956" s="21" t="str">
        <f t="shared" si="25"/>
        <v>https://version2.ice-d.org/antarctica/sample/10-LAR-024-SJO/</v>
      </c>
      <c r="L956" s="45" t="s">
        <v>1104</v>
      </c>
      <c r="M956" s="155"/>
      <c r="O956" s="17" t="s">
        <v>1105</v>
      </c>
      <c r="P956" s="22">
        <v>-64.199389999999994</v>
      </c>
      <c r="Q956" s="22">
        <v>-58.97813</v>
      </c>
      <c r="R956" s="22">
        <v>1.5</v>
      </c>
      <c r="S956" s="22">
        <v>39</v>
      </c>
      <c r="T956" s="22">
        <v>0</v>
      </c>
      <c r="U956" s="23">
        <v>500</v>
      </c>
      <c r="V956" s="7" t="s">
        <v>2435</v>
      </c>
      <c r="W956" s="44" t="s">
        <v>2436</v>
      </c>
      <c r="X956" s="22">
        <f t="shared" si="23"/>
        <v>39</v>
      </c>
      <c r="Y956" s="22">
        <v>8</v>
      </c>
      <c r="Z956" s="22">
        <v>2.65</v>
      </c>
      <c r="AA956" s="17" t="s">
        <v>73</v>
      </c>
      <c r="AB956" s="26">
        <v>10814</v>
      </c>
      <c r="AC956" s="26">
        <v>628</v>
      </c>
      <c r="AD956" s="26"/>
      <c r="AE956" s="27">
        <v>18068</v>
      </c>
      <c r="AF956" s="27">
        <v>591</v>
      </c>
      <c r="AG956" s="28"/>
      <c r="AH956" s="28"/>
      <c r="AI956" s="17">
        <v>2010</v>
      </c>
      <c r="AJ956" s="17">
        <v>1</v>
      </c>
      <c r="AK956" s="17">
        <v>1</v>
      </c>
      <c r="AL956" s="17" t="s">
        <v>1106</v>
      </c>
    </row>
    <row r="957" spans="1:38" ht="12.75" customHeight="1">
      <c r="A957" s="45" t="s">
        <v>1115</v>
      </c>
      <c r="B957" s="19" t="s">
        <v>1116</v>
      </c>
      <c r="C957" s="17">
        <v>111</v>
      </c>
      <c r="D957" s="20" t="s">
        <v>196</v>
      </c>
      <c r="E957" s="19">
        <v>0</v>
      </c>
      <c r="F957" s="17" t="s">
        <v>1102</v>
      </c>
      <c r="G957" s="135" t="s">
        <v>1103</v>
      </c>
      <c r="H957" s="19" t="s">
        <v>932</v>
      </c>
      <c r="I957" s="17" t="b">
        <v>0</v>
      </c>
      <c r="J957" s="17" t="s">
        <v>43</v>
      </c>
      <c r="K957" s="21" t="str">
        <f t="shared" si="25"/>
        <v>https://version2.ice-d.org/antarctica/sample/10-LAR-008-SJO/</v>
      </c>
      <c r="L957" s="45" t="s">
        <v>1104</v>
      </c>
      <c r="M957" s="155"/>
      <c r="O957" s="17" t="s">
        <v>1105</v>
      </c>
      <c r="P957" s="22">
        <v>-64.264229999999998</v>
      </c>
      <c r="Q957" s="22">
        <v>-59.07658</v>
      </c>
      <c r="R957" s="22">
        <v>1.5</v>
      </c>
      <c r="S957" s="22">
        <v>303.45446190000001</v>
      </c>
      <c r="T957" s="22">
        <v>0</v>
      </c>
      <c r="U957" s="23">
        <v>500</v>
      </c>
      <c r="V957" s="7" t="s">
        <v>2435</v>
      </c>
      <c r="W957" s="44" t="s">
        <v>2436</v>
      </c>
      <c r="X957" s="22">
        <f t="shared" si="23"/>
        <v>303.45446190000001</v>
      </c>
      <c r="Y957" s="22">
        <v>5</v>
      </c>
      <c r="Z957" s="22">
        <v>2.65</v>
      </c>
      <c r="AA957" s="17" t="s">
        <v>73</v>
      </c>
      <c r="AB957" s="26">
        <v>6740</v>
      </c>
      <c r="AC957" s="26">
        <v>154</v>
      </c>
      <c r="AD957" s="26">
        <v>427</v>
      </c>
      <c r="AE957" s="27">
        <v>47789</v>
      </c>
      <c r="AF957" s="27">
        <v>1090</v>
      </c>
      <c r="AG957" s="28"/>
      <c r="AH957" s="28"/>
      <c r="AI957" s="17">
        <v>2010</v>
      </c>
      <c r="AJ957" s="17">
        <v>1</v>
      </c>
      <c r="AK957" s="17">
        <v>0</v>
      </c>
    </row>
    <row r="958" spans="1:38" ht="12.75" customHeight="1">
      <c r="A958" s="45" t="s">
        <v>1117</v>
      </c>
      <c r="B958" s="19" t="s">
        <v>1116</v>
      </c>
      <c r="C958" s="17">
        <v>111</v>
      </c>
      <c r="D958" s="20" t="s">
        <v>196</v>
      </c>
      <c r="E958" s="19">
        <v>0</v>
      </c>
      <c r="F958" s="17" t="s">
        <v>1102</v>
      </c>
      <c r="G958" s="135" t="s">
        <v>1103</v>
      </c>
      <c r="H958" s="19" t="s">
        <v>932</v>
      </c>
      <c r="I958" s="17" t="b">
        <v>0</v>
      </c>
      <c r="J958" s="17" t="s">
        <v>43</v>
      </c>
      <c r="K958" s="21" t="str">
        <f t="shared" si="25"/>
        <v>https://version2.ice-d.org/antarctica/sample/10-LAR-009-SJO/</v>
      </c>
      <c r="L958" s="45" t="s">
        <v>1104</v>
      </c>
      <c r="M958" s="155"/>
      <c r="O958" s="17" t="s">
        <v>1105</v>
      </c>
      <c r="P958" s="22">
        <v>-64.264229999999998</v>
      </c>
      <c r="Q958" s="22">
        <v>-59.07658</v>
      </c>
      <c r="R958" s="22">
        <v>1.5</v>
      </c>
      <c r="S958" s="22">
        <v>303.45446190000001</v>
      </c>
      <c r="T958" s="22">
        <v>0</v>
      </c>
      <c r="U958" s="23">
        <v>500</v>
      </c>
      <c r="V958" s="7" t="s">
        <v>2435</v>
      </c>
      <c r="W958" s="44" t="s">
        <v>2436</v>
      </c>
      <c r="X958" s="22">
        <f t="shared" si="23"/>
        <v>303.45446190000001</v>
      </c>
      <c r="Y958" s="22">
        <v>5.5</v>
      </c>
      <c r="Z958" s="22">
        <v>2.65</v>
      </c>
      <c r="AA958" s="17" t="s">
        <v>73</v>
      </c>
      <c r="AB958" s="26">
        <v>7071</v>
      </c>
      <c r="AC958" s="26">
        <v>163</v>
      </c>
      <c r="AD958" s="26">
        <v>449</v>
      </c>
      <c r="AE958" s="27">
        <v>50011</v>
      </c>
      <c r="AF958" s="27">
        <v>1153</v>
      </c>
      <c r="AG958" s="28"/>
      <c r="AH958" s="28"/>
      <c r="AI958" s="17">
        <v>2010</v>
      </c>
      <c r="AJ958" s="17">
        <v>1</v>
      </c>
      <c r="AK958" s="17">
        <v>0</v>
      </c>
    </row>
    <row r="959" spans="1:38" ht="12.75" customHeight="1">
      <c r="A959" s="45" t="s">
        <v>1118</v>
      </c>
      <c r="B959" s="19" t="s">
        <v>1116</v>
      </c>
      <c r="C959" s="17">
        <v>111</v>
      </c>
      <c r="D959" s="20" t="s">
        <v>196</v>
      </c>
      <c r="E959" s="19">
        <v>0</v>
      </c>
      <c r="F959" s="17" t="s">
        <v>1102</v>
      </c>
      <c r="G959" s="135" t="s">
        <v>1103</v>
      </c>
      <c r="H959" s="19" t="s">
        <v>932</v>
      </c>
      <c r="I959" s="17" t="b">
        <v>0</v>
      </c>
      <c r="J959" s="17" t="s">
        <v>43</v>
      </c>
      <c r="K959" s="21" t="str">
        <f t="shared" si="25"/>
        <v>https://version2.ice-d.org/antarctica/sample/10-LAR-013-SJO/</v>
      </c>
      <c r="L959" s="45" t="s">
        <v>1104</v>
      </c>
      <c r="M959" s="155"/>
      <c r="O959" s="17" t="s">
        <v>1105</v>
      </c>
      <c r="P959" s="22">
        <v>-64.266289999999998</v>
      </c>
      <c r="Q959" s="22">
        <v>-59.081319999999998</v>
      </c>
      <c r="R959" s="22">
        <v>1.5</v>
      </c>
      <c r="S959" s="22">
        <v>343</v>
      </c>
      <c r="T959" s="22">
        <v>0</v>
      </c>
      <c r="U959" s="23">
        <v>500</v>
      </c>
      <c r="V959" s="7" t="s">
        <v>2435</v>
      </c>
      <c r="W959" s="44" t="s">
        <v>2436</v>
      </c>
      <c r="X959" s="22">
        <f t="shared" si="23"/>
        <v>343</v>
      </c>
      <c r="Y959" s="22">
        <v>4.5</v>
      </c>
      <c r="Z959" s="22">
        <v>2.65</v>
      </c>
      <c r="AA959" s="17" t="s">
        <v>73</v>
      </c>
      <c r="AB959" s="26">
        <v>6887</v>
      </c>
      <c r="AC959" s="26">
        <v>184</v>
      </c>
      <c r="AD959" s="26">
        <v>447</v>
      </c>
      <c r="AE959" s="27">
        <v>51010</v>
      </c>
      <c r="AF959" s="27">
        <v>1360</v>
      </c>
      <c r="AG959" s="28"/>
      <c r="AH959" s="28"/>
      <c r="AI959" s="17">
        <v>2010</v>
      </c>
      <c r="AJ959" s="17">
        <v>1</v>
      </c>
      <c r="AK959" s="17">
        <v>0</v>
      </c>
    </row>
    <row r="960" spans="1:38" ht="12.75" customHeight="1">
      <c r="A960" s="45" t="s">
        <v>1119</v>
      </c>
      <c r="B960" s="19" t="s">
        <v>1116</v>
      </c>
      <c r="C960" s="17">
        <v>111</v>
      </c>
      <c r="D960" s="20" t="s">
        <v>196</v>
      </c>
      <c r="E960" s="19">
        <v>0</v>
      </c>
      <c r="F960" s="17" t="s">
        <v>1102</v>
      </c>
      <c r="G960" s="135" t="s">
        <v>1103</v>
      </c>
      <c r="H960" s="19" t="s">
        <v>932</v>
      </c>
      <c r="I960" s="17" t="b">
        <v>0</v>
      </c>
      <c r="J960" s="17" t="s">
        <v>43</v>
      </c>
      <c r="K960" s="21" t="str">
        <f t="shared" si="25"/>
        <v>https://version2.ice-d.org/antarctica/sample/10-LAR-017-SJO/</v>
      </c>
      <c r="L960" s="45" t="s">
        <v>1104</v>
      </c>
      <c r="M960" s="155"/>
      <c r="O960" s="17" t="s">
        <v>1105</v>
      </c>
      <c r="P960" s="22">
        <v>-64.195310000000006</v>
      </c>
      <c r="Q960" s="22">
        <v>-58.979529999999997</v>
      </c>
      <c r="R960" s="22">
        <v>1.5</v>
      </c>
      <c r="S960" s="22">
        <v>116</v>
      </c>
      <c r="T960" s="22">
        <v>0</v>
      </c>
      <c r="U960" s="23">
        <v>500</v>
      </c>
      <c r="V960" s="7" t="s">
        <v>2435</v>
      </c>
      <c r="W960" s="44" t="s">
        <v>2436</v>
      </c>
      <c r="X960" s="22">
        <f t="shared" si="23"/>
        <v>116</v>
      </c>
      <c r="Y960" s="22">
        <v>0</v>
      </c>
      <c r="Z960" s="22">
        <v>2.65</v>
      </c>
      <c r="AA960" s="17" t="s">
        <v>73</v>
      </c>
      <c r="AB960" s="26">
        <v>4733</v>
      </c>
      <c r="AC960" s="26">
        <v>140</v>
      </c>
      <c r="AD960" s="26">
        <v>313</v>
      </c>
      <c r="AE960" s="27">
        <v>28969</v>
      </c>
      <c r="AF960" s="27">
        <v>854</v>
      </c>
      <c r="AG960" s="28"/>
      <c r="AH960" s="28"/>
      <c r="AI960" s="17">
        <v>2010</v>
      </c>
      <c r="AJ960" s="17">
        <v>1</v>
      </c>
      <c r="AK960" s="17">
        <v>0</v>
      </c>
    </row>
    <row r="961" spans="1:38" ht="12.75" customHeight="1">
      <c r="A961" s="45" t="s">
        <v>1100</v>
      </c>
      <c r="B961" s="19" t="s">
        <v>1116</v>
      </c>
      <c r="C961" s="17">
        <v>111</v>
      </c>
      <c r="D961" s="20" t="s">
        <v>196</v>
      </c>
      <c r="E961" s="19">
        <v>0</v>
      </c>
      <c r="F961" s="17" t="s">
        <v>1102</v>
      </c>
      <c r="G961" s="135" t="s">
        <v>1103</v>
      </c>
      <c r="H961" s="19" t="s">
        <v>932</v>
      </c>
      <c r="I961" s="17" t="b">
        <v>0</v>
      </c>
      <c r="J961" s="17" t="s">
        <v>43</v>
      </c>
      <c r="K961" s="21" t="str">
        <f t="shared" si="25"/>
        <v>https://version2.ice-d.org/antarctica/sample/10-LAR-018-SJO/</v>
      </c>
      <c r="L961" s="45" t="s">
        <v>1104</v>
      </c>
      <c r="M961" s="155"/>
      <c r="O961" s="17" t="s">
        <v>1105</v>
      </c>
      <c r="P961" s="22">
        <v>-64.195310000000006</v>
      </c>
      <c r="Q961" s="22">
        <v>-58.979529999999997</v>
      </c>
      <c r="R961" s="22">
        <v>1.5</v>
      </c>
      <c r="S961" s="22">
        <v>116</v>
      </c>
      <c r="T961" s="22">
        <v>0</v>
      </c>
      <c r="U961" s="23">
        <v>500</v>
      </c>
      <c r="V961" s="7" t="s">
        <v>2435</v>
      </c>
      <c r="W961" s="44" t="s">
        <v>2436</v>
      </c>
      <c r="X961" s="22">
        <f t="shared" si="23"/>
        <v>116</v>
      </c>
      <c r="Y961" s="22">
        <v>6.5</v>
      </c>
      <c r="Z961" s="22">
        <v>2.65</v>
      </c>
      <c r="AA961" s="17" t="s">
        <v>73</v>
      </c>
      <c r="AB961" s="26">
        <v>4767</v>
      </c>
      <c r="AC961" s="26">
        <v>118</v>
      </c>
      <c r="AD961" s="26">
        <v>305</v>
      </c>
      <c r="AE961" s="27">
        <v>27674</v>
      </c>
      <c r="AF961" s="27">
        <v>686</v>
      </c>
      <c r="AG961" s="28"/>
      <c r="AH961" s="28"/>
      <c r="AI961" s="17">
        <v>2010</v>
      </c>
      <c r="AJ961" s="17">
        <v>1</v>
      </c>
      <c r="AK961" s="17">
        <v>0</v>
      </c>
    </row>
    <row r="962" spans="1:38" ht="12.75" customHeight="1">
      <c r="A962" s="45" t="s">
        <v>1112</v>
      </c>
      <c r="B962" s="19" t="s">
        <v>1116</v>
      </c>
      <c r="C962" s="17">
        <v>111</v>
      </c>
      <c r="D962" s="20" t="s">
        <v>196</v>
      </c>
      <c r="E962" s="19">
        <v>0</v>
      </c>
      <c r="F962" s="17" t="s">
        <v>1102</v>
      </c>
      <c r="G962" s="135" t="s">
        <v>1103</v>
      </c>
      <c r="H962" s="19" t="s">
        <v>932</v>
      </c>
      <c r="I962" s="17" t="b">
        <v>0</v>
      </c>
      <c r="J962" s="17" t="s">
        <v>43</v>
      </c>
      <c r="K962" s="21" t="str">
        <f t="shared" si="25"/>
        <v>https://version2.ice-d.org/antarctica/sample/10-LAR-022-SJO/</v>
      </c>
      <c r="L962" s="45" t="s">
        <v>1104</v>
      </c>
      <c r="M962" s="155"/>
      <c r="O962" s="17" t="s">
        <v>1105</v>
      </c>
      <c r="P962" s="22">
        <v>-64.19726</v>
      </c>
      <c r="Q962" s="22">
        <v>-58.978070000000002</v>
      </c>
      <c r="R962" s="22">
        <v>1.5</v>
      </c>
      <c r="S962" s="22">
        <v>74</v>
      </c>
      <c r="T962" s="22">
        <v>0</v>
      </c>
      <c r="U962" s="23">
        <v>500</v>
      </c>
      <c r="V962" s="7" t="s">
        <v>2435</v>
      </c>
      <c r="W962" s="44" t="s">
        <v>2436</v>
      </c>
      <c r="X962" s="22">
        <f t="shared" si="23"/>
        <v>74</v>
      </c>
      <c r="Y962" s="22">
        <v>5</v>
      </c>
      <c r="Z962" s="22">
        <v>2.65</v>
      </c>
      <c r="AA962" s="17" t="s">
        <v>73</v>
      </c>
      <c r="AB962" s="26">
        <v>4284</v>
      </c>
      <c r="AC962" s="26">
        <v>225</v>
      </c>
      <c r="AD962" s="26">
        <v>339</v>
      </c>
      <c r="AE962" s="27">
        <v>24186</v>
      </c>
      <c r="AF962" s="27">
        <v>1269</v>
      </c>
      <c r="AG962" s="28"/>
      <c r="AH962" s="28"/>
      <c r="AI962" s="17">
        <v>2010</v>
      </c>
      <c r="AJ962" s="17">
        <v>1</v>
      </c>
      <c r="AK962" s="17">
        <v>0</v>
      </c>
    </row>
    <row r="963" spans="1:38" ht="12.75" customHeight="1">
      <c r="A963" s="45" t="s">
        <v>1113</v>
      </c>
      <c r="B963" s="19" t="s">
        <v>1116</v>
      </c>
      <c r="C963" s="17">
        <v>111</v>
      </c>
      <c r="D963" s="20" t="s">
        <v>196</v>
      </c>
      <c r="E963" s="19">
        <v>0</v>
      </c>
      <c r="F963" s="17" t="s">
        <v>1102</v>
      </c>
      <c r="G963" s="135" t="s">
        <v>1103</v>
      </c>
      <c r="H963" s="19" t="s">
        <v>932</v>
      </c>
      <c r="I963" s="17" t="b">
        <v>0</v>
      </c>
      <c r="J963" s="17" t="s">
        <v>43</v>
      </c>
      <c r="K963" s="21" t="str">
        <f t="shared" si="25"/>
        <v>https://version2.ice-d.org/antarctica/sample/10-LAR-023-SJO/</v>
      </c>
      <c r="L963" s="45" t="s">
        <v>1104</v>
      </c>
      <c r="M963" s="155"/>
      <c r="O963" s="17" t="s">
        <v>1105</v>
      </c>
      <c r="P963" s="22">
        <v>-64.199389999999994</v>
      </c>
      <c r="Q963" s="22">
        <v>-58.97813</v>
      </c>
      <c r="R963" s="22">
        <v>1.5</v>
      </c>
      <c r="S963" s="22">
        <v>39</v>
      </c>
      <c r="T963" s="22">
        <v>0</v>
      </c>
      <c r="U963" s="23">
        <v>500</v>
      </c>
      <c r="V963" s="7" t="s">
        <v>2435</v>
      </c>
      <c r="W963" s="44" t="s">
        <v>2436</v>
      </c>
      <c r="X963" s="22">
        <f t="shared" si="23"/>
        <v>39</v>
      </c>
      <c r="Y963" s="22">
        <v>5.5</v>
      </c>
      <c r="Z963" s="22">
        <v>2.65</v>
      </c>
      <c r="AA963" s="17" t="s">
        <v>73</v>
      </c>
      <c r="AB963" s="26">
        <v>3299</v>
      </c>
      <c r="AC963" s="26">
        <v>593</v>
      </c>
      <c r="AD963" s="26">
        <v>624</v>
      </c>
      <c r="AE963" s="27">
        <v>18103</v>
      </c>
      <c r="AF963" s="27">
        <v>3251</v>
      </c>
      <c r="AG963" s="28"/>
      <c r="AH963" s="28"/>
      <c r="AI963" s="17">
        <v>2010</v>
      </c>
      <c r="AJ963" s="17">
        <v>1</v>
      </c>
      <c r="AK963" s="17">
        <v>0</v>
      </c>
    </row>
    <row r="964" spans="1:38" ht="12.75" customHeight="1">
      <c r="A964" s="45" t="s">
        <v>1114</v>
      </c>
      <c r="B964" s="19" t="s">
        <v>1116</v>
      </c>
      <c r="C964" s="17">
        <v>111</v>
      </c>
      <c r="D964" s="20" t="s">
        <v>196</v>
      </c>
      <c r="E964" s="19">
        <v>0</v>
      </c>
      <c r="F964" s="17" t="s">
        <v>1102</v>
      </c>
      <c r="G964" s="135" t="s">
        <v>1103</v>
      </c>
      <c r="H964" s="19" t="s">
        <v>932</v>
      </c>
      <c r="I964" s="17" t="b">
        <v>0</v>
      </c>
      <c r="J964" s="17" t="s">
        <v>43</v>
      </c>
      <c r="K964" s="21" t="str">
        <f t="shared" si="25"/>
        <v>https://version2.ice-d.org/antarctica/sample/10-LAR-024-SJO/</v>
      </c>
      <c r="L964" s="45" t="s">
        <v>1104</v>
      </c>
      <c r="M964" s="155"/>
      <c r="O964" s="17" t="s">
        <v>1105</v>
      </c>
      <c r="P964" s="22">
        <v>-64.199389999999994</v>
      </c>
      <c r="Q964" s="22">
        <v>-58.97813</v>
      </c>
      <c r="R964" s="22">
        <v>1.5</v>
      </c>
      <c r="S964" s="22">
        <v>39</v>
      </c>
      <c r="T964" s="22">
        <v>0</v>
      </c>
      <c r="U964" s="23">
        <v>500</v>
      </c>
      <c r="V964" s="7" t="s">
        <v>2435</v>
      </c>
      <c r="W964" s="44" t="s">
        <v>2436</v>
      </c>
      <c r="X964" s="22">
        <f t="shared" si="23"/>
        <v>39</v>
      </c>
      <c r="Y964" s="22">
        <v>8</v>
      </c>
      <c r="Z964" s="22">
        <v>2.65</v>
      </c>
      <c r="AA964" s="17" t="s">
        <v>73</v>
      </c>
      <c r="AB964" s="26">
        <v>3359</v>
      </c>
      <c r="AC964" s="26">
        <v>110</v>
      </c>
      <c r="AD964" s="26">
        <v>227</v>
      </c>
      <c r="AE964" s="27">
        <v>18068</v>
      </c>
      <c r="AF964" s="27">
        <v>591</v>
      </c>
      <c r="AG964" s="28"/>
      <c r="AH964" s="28"/>
      <c r="AI964" s="17">
        <v>2010</v>
      </c>
      <c r="AJ964" s="17">
        <v>1</v>
      </c>
      <c r="AK964" s="17">
        <v>0</v>
      </c>
    </row>
    <row r="965" spans="1:38" ht="12.75" customHeight="1">
      <c r="A965" s="45" t="s">
        <v>1120</v>
      </c>
      <c r="B965" s="19" t="s">
        <v>1121</v>
      </c>
      <c r="C965" s="17">
        <v>112</v>
      </c>
      <c r="D965" s="20" t="s">
        <v>196</v>
      </c>
      <c r="E965" s="19">
        <v>0</v>
      </c>
      <c r="F965" s="17" t="s">
        <v>1102</v>
      </c>
      <c r="G965" s="135" t="s">
        <v>1103</v>
      </c>
      <c r="H965" s="19" t="s">
        <v>932</v>
      </c>
      <c r="I965" s="17" t="b">
        <v>0</v>
      </c>
      <c r="J965" s="17" t="s">
        <v>43</v>
      </c>
      <c r="K965" s="21" t="str">
        <f t="shared" si="25"/>
        <v>https://version2.ice-d.org/antarctica/sample/10-LAR-005-SJO/</v>
      </c>
      <c r="L965" s="45" t="s">
        <v>1104</v>
      </c>
      <c r="M965" s="155"/>
      <c r="O965" s="17" t="s">
        <v>1105</v>
      </c>
      <c r="P965" s="22">
        <v>-64.272189999999995</v>
      </c>
      <c r="Q965" s="22">
        <v>-58.876060000000003</v>
      </c>
      <c r="R965" s="22">
        <v>1.5</v>
      </c>
      <c r="S965" s="22">
        <v>84.403875479999996</v>
      </c>
      <c r="T965" s="22">
        <v>0</v>
      </c>
      <c r="U965" s="23">
        <v>500</v>
      </c>
      <c r="V965" s="7" t="s">
        <v>2435</v>
      </c>
      <c r="W965" s="44" t="s">
        <v>2436</v>
      </c>
      <c r="X965" s="22">
        <v>84.41</v>
      </c>
      <c r="Y965" s="22">
        <v>7</v>
      </c>
      <c r="Z965" s="22">
        <v>2.65</v>
      </c>
      <c r="AA965" s="17" t="s">
        <v>73</v>
      </c>
      <c r="AB965" s="26">
        <v>8484</v>
      </c>
      <c r="AC965" s="26">
        <v>195</v>
      </c>
      <c r="AD965" s="26">
        <v>538</v>
      </c>
      <c r="AE965" s="27">
        <v>47955</v>
      </c>
      <c r="AF965" s="27">
        <v>1098</v>
      </c>
      <c r="AG965" s="28"/>
      <c r="AH965" s="28"/>
      <c r="AI965" s="17">
        <v>2010</v>
      </c>
      <c r="AJ965" s="17">
        <v>1</v>
      </c>
      <c r="AK965" s="17">
        <v>0</v>
      </c>
    </row>
    <row r="966" spans="1:38" ht="12.75" customHeight="1">
      <c r="A966" s="45" t="s">
        <v>1122</v>
      </c>
      <c r="B966" s="19" t="s">
        <v>1121</v>
      </c>
      <c r="C966" s="17">
        <v>112</v>
      </c>
      <c r="D966" s="20" t="s">
        <v>196</v>
      </c>
      <c r="E966" s="19">
        <v>0</v>
      </c>
      <c r="F966" s="17" t="s">
        <v>1102</v>
      </c>
      <c r="G966" s="135" t="s">
        <v>1103</v>
      </c>
      <c r="H966" s="19" t="s">
        <v>932</v>
      </c>
      <c r="I966" s="17" t="b">
        <v>0</v>
      </c>
      <c r="J966" s="17" t="s">
        <v>43</v>
      </c>
      <c r="K966" s="21" t="str">
        <f t="shared" si="25"/>
        <v>https://version2.ice-d.org/antarctica/sample/10-LAR-006-SJO/</v>
      </c>
      <c r="L966" s="45" t="s">
        <v>1104</v>
      </c>
      <c r="M966" s="155"/>
      <c r="O966" s="17" t="s">
        <v>1105</v>
      </c>
      <c r="P966" s="22">
        <v>-64.272189999999995</v>
      </c>
      <c r="Q966" s="22">
        <v>-58.876060000000003</v>
      </c>
      <c r="R966" s="22">
        <v>1.5</v>
      </c>
      <c r="S966" s="22">
        <v>84.403875479999996</v>
      </c>
      <c r="T966" s="22">
        <v>0</v>
      </c>
      <c r="U966" s="23">
        <v>500</v>
      </c>
      <c r="V966" s="7" t="s">
        <v>2435</v>
      </c>
      <c r="W966" s="44" t="s">
        <v>2436</v>
      </c>
      <c r="X966" s="22">
        <v>84.4</v>
      </c>
      <c r="Y966" s="22">
        <v>6</v>
      </c>
      <c r="Z966" s="22">
        <v>2.65</v>
      </c>
      <c r="AA966" s="17" t="s">
        <v>58</v>
      </c>
      <c r="AB966" s="26">
        <v>5924</v>
      </c>
      <c r="AC966" s="26">
        <v>202</v>
      </c>
      <c r="AD966" s="26">
        <v>404</v>
      </c>
      <c r="AE966" s="27">
        <v>33424</v>
      </c>
      <c r="AF966" s="27">
        <v>1139</v>
      </c>
      <c r="AG966" s="28"/>
      <c r="AH966" s="28"/>
      <c r="AI966" s="17">
        <v>2010</v>
      </c>
      <c r="AJ966" s="17">
        <v>1</v>
      </c>
      <c r="AK966" s="17">
        <v>0</v>
      </c>
    </row>
    <row r="967" spans="1:38" ht="12.75" customHeight="1">
      <c r="A967" s="47" t="s">
        <v>1123</v>
      </c>
      <c r="B967" s="19" t="s">
        <v>1124</v>
      </c>
      <c r="C967" s="17">
        <v>113</v>
      </c>
      <c r="D967" s="20" t="s">
        <v>196</v>
      </c>
      <c r="E967" s="19">
        <v>0</v>
      </c>
      <c r="F967" s="17" t="s">
        <v>1125</v>
      </c>
      <c r="G967" s="17" t="s">
        <v>1126</v>
      </c>
      <c r="H967" s="19" t="s">
        <v>932</v>
      </c>
      <c r="I967" s="17" t="b">
        <v>0</v>
      </c>
      <c r="J967" s="17" t="s">
        <v>43</v>
      </c>
      <c r="K967" s="21" t="str">
        <f t="shared" si="25"/>
        <v>https://version2.ice-d.org/antarctica/sample/10-LAR-029-DRY/</v>
      </c>
      <c r="L967" s="47" t="s">
        <v>1104</v>
      </c>
      <c r="M967" s="181" t="s">
        <v>44</v>
      </c>
      <c r="N967" s="17" t="s">
        <v>39</v>
      </c>
      <c r="O967" s="17" t="s">
        <v>1105</v>
      </c>
      <c r="P967" s="22">
        <v>-64.772949999999994</v>
      </c>
      <c r="Q967" s="22">
        <v>-60.790280000000003</v>
      </c>
      <c r="R967" s="22">
        <v>1.5</v>
      </c>
      <c r="S967" s="22">
        <v>465</v>
      </c>
      <c r="T967" s="22">
        <v>50</v>
      </c>
      <c r="U967" s="23">
        <v>500</v>
      </c>
      <c r="V967" s="7" t="s">
        <v>2435</v>
      </c>
      <c r="W967" s="44" t="s">
        <v>2436</v>
      </c>
      <c r="X967" s="22">
        <f t="shared" ref="X967:X1083" si="26">S967-T967</f>
        <v>415</v>
      </c>
      <c r="Y967" s="22">
        <v>6</v>
      </c>
      <c r="Z967" s="22">
        <v>2.65</v>
      </c>
      <c r="AA967" s="17" t="s">
        <v>1127</v>
      </c>
      <c r="AB967" s="26">
        <v>9287</v>
      </c>
      <c r="AC967" s="26">
        <v>206</v>
      </c>
      <c r="AD967" s="26">
        <v>586</v>
      </c>
      <c r="AE967" s="27">
        <v>76058</v>
      </c>
      <c r="AF967" s="27">
        <v>1680</v>
      </c>
      <c r="AG967" s="28"/>
      <c r="AH967" s="28"/>
      <c r="AI967" s="17">
        <v>2010</v>
      </c>
      <c r="AJ967" s="17">
        <v>1</v>
      </c>
      <c r="AK967" s="17">
        <v>0</v>
      </c>
    </row>
    <row r="968" spans="1:38" ht="12.75" customHeight="1">
      <c r="A968" s="47" t="s">
        <v>1128</v>
      </c>
      <c r="B968" s="19" t="s">
        <v>1124</v>
      </c>
      <c r="C968" s="17">
        <v>113</v>
      </c>
      <c r="D968" s="20" t="s">
        <v>196</v>
      </c>
      <c r="E968" s="19">
        <v>0</v>
      </c>
      <c r="F968" s="17" t="s">
        <v>1125</v>
      </c>
      <c r="G968" s="17" t="s">
        <v>1126</v>
      </c>
      <c r="H968" s="19" t="s">
        <v>932</v>
      </c>
      <c r="I968" s="17" t="b">
        <v>0</v>
      </c>
      <c r="J968" s="17" t="s">
        <v>43</v>
      </c>
      <c r="K968" s="21" t="str">
        <f t="shared" si="25"/>
        <v>https://version2.ice-d.org/antarctica/sample/10-LAR-025-DRY/</v>
      </c>
      <c r="L968" s="47" t="s">
        <v>1104</v>
      </c>
      <c r="M968" s="155"/>
      <c r="N968" s="17" t="s">
        <v>39</v>
      </c>
      <c r="O968" s="17" t="s">
        <v>1105</v>
      </c>
      <c r="P968" s="22">
        <v>-64.772480000000002</v>
      </c>
      <c r="Q968" s="22">
        <v>-60.793219999999998</v>
      </c>
      <c r="R968" s="22">
        <v>1.5</v>
      </c>
      <c r="S968" s="22">
        <v>516</v>
      </c>
      <c r="T968" s="22">
        <v>50</v>
      </c>
      <c r="U968" s="23">
        <v>500</v>
      </c>
      <c r="V968" s="7" t="s">
        <v>2435</v>
      </c>
      <c r="W968" s="44" t="s">
        <v>2436</v>
      </c>
      <c r="X968" s="22">
        <f t="shared" si="26"/>
        <v>466</v>
      </c>
      <c r="Y968" s="22">
        <v>4</v>
      </c>
      <c r="Z968" s="22">
        <v>2.65</v>
      </c>
      <c r="AA968" s="17" t="s">
        <v>73</v>
      </c>
      <c r="AB968" s="26">
        <v>4199</v>
      </c>
      <c r="AC968" s="26">
        <v>118</v>
      </c>
      <c r="AD968" s="26">
        <v>275</v>
      </c>
      <c r="AE968" s="27">
        <v>36769</v>
      </c>
      <c r="AF968" s="27">
        <v>1036</v>
      </c>
      <c r="AG968" s="28"/>
      <c r="AH968" s="28"/>
      <c r="AI968" s="17">
        <v>2010</v>
      </c>
      <c r="AJ968" s="17">
        <v>1</v>
      </c>
      <c r="AK968" s="17">
        <v>1</v>
      </c>
      <c r="AL968" s="17" t="s">
        <v>1129</v>
      </c>
    </row>
    <row r="969" spans="1:38" ht="15.75" customHeight="1">
      <c r="A969" s="47" t="s">
        <v>1130</v>
      </c>
      <c r="B969" s="19" t="s">
        <v>1124</v>
      </c>
      <c r="C969" s="17">
        <v>114</v>
      </c>
      <c r="D969" s="20" t="s">
        <v>196</v>
      </c>
      <c r="E969" s="19">
        <v>0</v>
      </c>
      <c r="F969" s="17" t="s">
        <v>1125</v>
      </c>
      <c r="G969" s="17" t="s">
        <v>1126</v>
      </c>
      <c r="H969" s="19" t="s">
        <v>932</v>
      </c>
      <c r="I969" s="17" t="b">
        <v>0</v>
      </c>
      <c r="J969" s="17" t="s">
        <v>43</v>
      </c>
      <c r="K969" s="21" t="str">
        <f t="shared" si="25"/>
        <v>https://version2.ice-d.org/antarctica/sample/10-LAR-030-DRY/</v>
      </c>
      <c r="L969" s="47" t="s">
        <v>39</v>
      </c>
      <c r="M969" s="155"/>
      <c r="O969" s="17" t="s">
        <v>1105</v>
      </c>
      <c r="P969" s="22">
        <v>-64.702870000000004</v>
      </c>
      <c r="Q969" s="22">
        <v>-60.625979999999998</v>
      </c>
      <c r="R969" s="22">
        <v>1.5</v>
      </c>
      <c r="S969" s="22">
        <v>49</v>
      </c>
      <c r="T969" s="22">
        <v>50</v>
      </c>
      <c r="U969" s="23">
        <v>500</v>
      </c>
      <c r="V969" s="7" t="s">
        <v>2435</v>
      </c>
      <c r="W969" s="44" t="s">
        <v>2436</v>
      </c>
      <c r="X969" s="22">
        <f t="shared" si="26"/>
        <v>-1</v>
      </c>
      <c r="Y969" s="22">
        <v>5</v>
      </c>
      <c r="Z969" s="22">
        <v>2.65</v>
      </c>
      <c r="AA969" s="17" t="s">
        <v>73</v>
      </c>
      <c r="AB969" s="26">
        <v>610</v>
      </c>
      <c r="AC969" s="26">
        <v>58</v>
      </c>
      <c r="AD969" s="26">
        <v>68</v>
      </c>
      <c r="AE969" s="27">
        <v>3413</v>
      </c>
      <c r="AF969" s="27">
        <v>325</v>
      </c>
      <c r="AG969" s="28"/>
      <c r="AH969" s="28"/>
      <c r="AI969" s="17">
        <v>2010</v>
      </c>
      <c r="AJ969" s="17">
        <v>1</v>
      </c>
      <c r="AK969" s="17">
        <v>1</v>
      </c>
      <c r="AL969" s="17" t="s">
        <v>1108</v>
      </c>
    </row>
    <row r="970" spans="1:38" ht="15.75" customHeight="1">
      <c r="A970" s="47" t="s">
        <v>1131</v>
      </c>
      <c r="B970" s="19" t="s">
        <v>1124</v>
      </c>
      <c r="C970" s="17">
        <v>114</v>
      </c>
      <c r="D970" s="20" t="s">
        <v>196</v>
      </c>
      <c r="E970" s="19">
        <v>0</v>
      </c>
      <c r="F970" s="17" t="s">
        <v>1125</v>
      </c>
      <c r="G970" s="17" t="s">
        <v>1126</v>
      </c>
      <c r="H970" s="19" t="s">
        <v>932</v>
      </c>
      <c r="I970" s="17" t="b">
        <v>0</v>
      </c>
      <c r="J970" s="17" t="s">
        <v>43</v>
      </c>
      <c r="K970" s="21" t="str">
        <f t="shared" si="25"/>
        <v>https://version2.ice-d.org/antarctica/sample/10-LAR-031-DRY/</v>
      </c>
      <c r="L970" s="47" t="s">
        <v>39</v>
      </c>
      <c r="M970" s="155"/>
      <c r="O970" s="17" t="s">
        <v>1105</v>
      </c>
      <c r="P970" s="22">
        <v>-64.702870000000004</v>
      </c>
      <c r="Q970" s="22">
        <v>-60.625979999999998</v>
      </c>
      <c r="R970" s="22">
        <v>1.5</v>
      </c>
      <c r="S970" s="22">
        <v>50</v>
      </c>
      <c r="T970" s="22">
        <v>50</v>
      </c>
      <c r="U970" s="23">
        <v>500</v>
      </c>
      <c r="V970" s="7" t="s">
        <v>2435</v>
      </c>
      <c r="W970" s="44" t="s">
        <v>2436</v>
      </c>
      <c r="X970" s="22">
        <f t="shared" si="26"/>
        <v>0</v>
      </c>
      <c r="Y970" s="22">
        <v>5.5</v>
      </c>
      <c r="Z970" s="22">
        <v>2.65</v>
      </c>
      <c r="AA970" s="17" t="s">
        <v>73</v>
      </c>
      <c r="AB970" s="26">
        <v>585</v>
      </c>
      <c r="AC970" s="26">
        <v>63</v>
      </c>
      <c r="AD970" s="26"/>
      <c r="AE970" s="27">
        <v>3255</v>
      </c>
      <c r="AF970" s="27">
        <v>350</v>
      </c>
      <c r="AG970" s="28"/>
      <c r="AH970" s="28"/>
      <c r="AI970" s="17">
        <v>2010</v>
      </c>
      <c r="AJ970" s="17">
        <v>1</v>
      </c>
      <c r="AK970" s="17">
        <v>1</v>
      </c>
      <c r="AL970" s="17" t="s">
        <v>1108</v>
      </c>
    </row>
    <row r="971" spans="1:38" ht="15.75" customHeight="1">
      <c r="A971" s="47" t="s">
        <v>1132</v>
      </c>
      <c r="B971" s="19" t="s">
        <v>1124</v>
      </c>
      <c r="C971" s="17">
        <v>114</v>
      </c>
      <c r="D971" s="20" t="s">
        <v>196</v>
      </c>
      <c r="E971" s="19">
        <v>0</v>
      </c>
      <c r="F971" s="17" t="s">
        <v>1125</v>
      </c>
      <c r="G971" s="17" t="s">
        <v>1126</v>
      </c>
      <c r="H971" s="19" t="s">
        <v>932</v>
      </c>
      <c r="I971" s="17" t="b">
        <v>0</v>
      </c>
      <c r="J971" s="17" t="s">
        <v>43</v>
      </c>
      <c r="K971" s="21" t="str">
        <f t="shared" si="25"/>
        <v>https://version2.ice-d.org/antarctica/sample/10-LAR-032-DRY/</v>
      </c>
      <c r="L971" s="47" t="s">
        <v>39</v>
      </c>
      <c r="M971" s="155"/>
      <c r="O971" s="17" t="s">
        <v>1105</v>
      </c>
      <c r="P971" s="22">
        <v>-64.702380000000005</v>
      </c>
      <c r="Q971" s="22">
        <v>-60.62435</v>
      </c>
      <c r="R971" s="22">
        <v>1.5</v>
      </c>
      <c r="S971" s="22">
        <v>84</v>
      </c>
      <c r="T971" s="22">
        <v>50</v>
      </c>
      <c r="U971" s="23">
        <v>500</v>
      </c>
      <c r="V971" s="7" t="s">
        <v>2435</v>
      </c>
      <c r="W971" s="44" t="s">
        <v>2436</v>
      </c>
      <c r="X971" s="22">
        <f t="shared" si="26"/>
        <v>34</v>
      </c>
      <c r="Y971" s="22">
        <v>9</v>
      </c>
      <c r="Z971" s="22">
        <v>2.65</v>
      </c>
      <c r="AA971" s="17" t="s">
        <v>73</v>
      </c>
      <c r="AB971" s="26">
        <v>138</v>
      </c>
      <c r="AC971" s="26">
        <v>50</v>
      </c>
      <c r="AD971" s="26"/>
      <c r="AE971" s="27">
        <v>701</v>
      </c>
      <c r="AF971" s="27">
        <v>254</v>
      </c>
      <c r="AG971" s="28"/>
      <c r="AH971" s="28"/>
      <c r="AI971" s="17">
        <v>2010</v>
      </c>
      <c r="AJ971" s="17">
        <v>1</v>
      </c>
      <c r="AK971" s="17">
        <v>1</v>
      </c>
      <c r="AL971" s="17" t="s">
        <v>1108</v>
      </c>
    </row>
    <row r="972" spans="1:38" ht="15.75" customHeight="1">
      <c r="A972" s="47" t="s">
        <v>1133</v>
      </c>
      <c r="B972" s="19" t="s">
        <v>1124</v>
      </c>
      <c r="C972" s="17">
        <v>114</v>
      </c>
      <c r="D972" s="20" t="s">
        <v>196</v>
      </c>
      <c r="E972" s="19">
        <v>0</v>
      </c>
      <c r="F972" s="17" t="s">
        <v>1125</v>
      </c>
      <c r="G972" s="17" t="s">
        <v>1126</v>
      </c>
      <c r="H972" s="19" t="s">
        <v>932</v>
      </c>
      <c r="I972" s="17" t="b">
        <v>0</v>
      </c>
      <c r="J972" s="17" t="s">
        <v>43</v>
      </c>
      <c r="K972" s="21" t="str">
        <f t="shared" si="25"/>
        <v>https://version2.ice-d.org/antarctica/sample/10-LAR-033-DRY/</v>
      </c>
      <c r="L972" s="47" t="s">
        <v>39</v>
      </c>
      <c r="M972" s="155"/>
      <c r="O972" s="17" t="s">
        <v>1105</v>
      </c>
      <c r="P972" s="22">
        <v>-64.701719999999995</v>
      </c>
      <c r="Q972" s="22">
        <v>-60.619889999999998</v>
      </c>
      <c r="R972" s="22">
        <v>1.5</v>
      </c>
      <c r="S972" s="22">
        <v>101</v>
      </c>
      <c r="T972" s="22">
        <v>50</v>
      </c>
      <c r="U972" s="23">
        <v>500</v>
      </c>
      <c r="V972" s="7" t="s">
        <v>2435</v>
      </c>
      <c r="W972" s="44" t="s">
        <v>2436</v>
      </c>
      <c r="X972" s="22">
        <f t="shared" si="26"/>
        <v>51</v>
      </c>
      <c r="Y972" s="22">
        <v>5.5</v>
      </c>
      <c r="Z972" s="22">
        <v>2.65</v>
      </c>
      <c r="AA972" s="17" t="s">
        <v>73</v>
      </c>
      <c r="AB972" s="26">
        <v>6191</v>
      </c>
      <c r="AC972" s="26">
        <v>201</v>
      </c>
      <c r="AD972" s="26"/>
      <c r="AE972" s="27">
        <v>35612</v>
      </c>
      <c r="AF972" s="27">
        <v>1156</v>
      </c>
      <c r="AG972" s="28"/>
      <c r="AH972" s="28"/>
      <c r="AI972" s="17">
        <v>2010</v>
      </c>
      <c r="AJ972" s="17">
        <v>1</v>
      </c>
      <c r="AK972" s="17">
        <v>1</v>
      </c>
      <c r="AL972" s="17" t="s">
        <v>1134</v>
      </c>
    </row>
    <row r="973" spans="1:38" ht="15.75" customHeight="1">
      <c r="A973" s="47" t="s">
        <v>1135</v>
      </c>
      <c r="B973" s="19" t="s">
        <v>1124</v>
      </c>
      <c r="C973" s="17">
        <v>114</v>
      </c>
      <c r="D973" s="20" t="s">
        <v>196</v>
      </c>
      <c r="E973" s="19">
        <v>0</v>
      </c>
      <c r="F973" s="17" t="s">
        <v>1125</v>
      </c>
      <c r="G973" s="17" t="s">
        <v>1126</v>
      </c>
      <c r="H973" s="19" t="s">
        <v>932</v>
      </c>
      <c r="I973" s="17" t="b">
        <v>0</v>
      </c>
      <c r="J973" s="17" t="s">
        <v>43</v>
      </c>
      <c r="K973" s="21" t="str">
        <f t="shared" si="25"/>
        <v>https://version2.ice-d.org/antarctica/sample/10-LAR-034-DRY/</v>
      </c>
      <c r="L973" s="47" t="s">
        <v>39</v>
      </c>
      <c r="M973" s="155"/>
      <c r="O973" s="17" t="s">
        <v>1105</v>
      </c>
      <c r="P973" s="22">
        <v>-64.700980000000001</v>
      </c>
      <c r="Q973" s="22">
        <v>-60.613419999999998</v>
      </c>
      <c r="R973" s="22">
        <v>1.5</v>
      </c>
      <c r="S973" s="22">
        <v>133</v>
      </c>
      <c r="T973" s="22">
        <v>50</v>
      </c>
      <c r="U973" s="23">
        <v>500</v>
      </c>
      <c r="V973" s="7" t="s">
        <v>2435</v>
      </c>
      <c r="W973" s="44" t="s">
        <v>2436</v>
      </c>
      <c r="X973" s="22">
        <f t="shared" si="26"/>
        <v>83</v>
      </c>
      <c r="Y973" s="22">
        <v>5.5</v>
      </c>
      <c r="Z973" s="22">
        <v>2.65</v>
      </c>
      <c r="AA973" s="17" t="s">
        <v>73</v>
      </c>
      <c r="AB973" s="26">
        <v>4741</v>
      </c>
      <c r="AC973" s="26">
        <v>243</v>
      </c>
      <c r="AD973" s="26"/>
      <c r="AE973" s="27">
        <v>28228</v>
      </c>
      <c r="AF973" s="27">
        <v>1445</v>
      </c>
      <c r="AG973" s="28"/>
      <c r="AH973" s="28"/>
      <c r="AI973" s="17">
        <v>2010</v>
      </c>
      <c r="AJ973" s="17">
        <v>1</v>
      </c>
      <c r="AK973" s="17">
        <v>1</v>
      </c>
      <c r="AL973" s="17" t="s">
        <v>1134</v>
      </c>
    </row>
    <row r="974" spans="1:38" ht="12.75" customHeight="1">
      <c r="A974" s="47" t="s">
        <v>1136</v>
      </c>
      <c r="B974" s="19" t="s">
        <v>1124</v>
      </c>
      <c r="C974" s="17">
        <v>114</v>
      </c>
      <c r="D974" s="20" t="s">
        <v>196</v>
      </c>
      <c r="E974" s="19">
        <v>0</v>
      </c>
      <c r="F974" s="17" t="s">
        <v>1125</v>
      </c>
      <c r="G974" s="17" t="s">
        <v>1126</v>
      </c>
      <c r="H974" s="19" t="s">
        <v>932</v>
      </c>
      <c r="I974" s="17" t="b">
        <v>0</v>
      </c>
      <c r="J974" s="17" t="s">
        <v>43</v>
      </c>
      <c r="K974" s="21" t="str">
        <f t="shared" si="25"/>
        <v>https://version2.ice-d.org/antarctica/sample/10-LAR-035-DRY/</v>
      </c>
      <c r="L974" s="47" t="s">
        <v>39</v>
      </c>
      <c r="M974" s="155"/>
      <c r="O974" s="17" t="s">
        <v>1105</v>
      </c>
      <c r="P974" s="22">
        <v>-64.699979999999996</v>
      </c>
      <c r="Q974" s="22">
        <v>-60.61063</v>
      </c>
      <c r="R974" s="22">
        <v>1.5</v>
      </c>
      <c r="S974" s="22">
        <v>159</v>
      </c>
      <c r="T974" s="22">
        <v>50</v>
      </c>
      <c r="U974" s="23">
        <v>500</v>
      </c>
      <c r="V974" s="7" t="s">
        <v>2435</v>
      </c>
      <c r="W974" s="44" t="s">
        <v>2436</v>
      </c>
      <c r="X974" s="22">
        <f t="shared" si="26"/>
        <v>109</v>
      </c>
      <c r="Y974" s="22">
        <v>5.5</v>
      </c>
      <c r="Z974" s="22">
        <v>2.65</v>
      </c>
      <c r="AA974" s="17" t="s">
        <v>73</v>
      </c>
      <c r="AB974" s="26">
        <v>5452</v>
      </c>
      <c r="AC974" s="26">
        <v>183</v>
      </c>
      <c r="AD974" s="26"/>
      <c r="AE974" s="27">
        <v>33350</v>
      </c>
      <c r="AF974" s="27">
        <v>1118</v>
      </c>
      <c r="AG974" s="28"/>
      <c r="AH974" s="28"/>
      <c r="AI974" s="17">
        <v>2010</v>
      </c>
      <c r="AJ974" s="17">
        <v>1</v>
      </c>
      <c r="AK974" s="17">
        <v>1</v>
      </c>
      <c r="AL974" s="17" t="s">
        <v>1134</v>
      </c>
    </row>
    <row r="975" spans="1:38" ht="12.75" customHeight="1">
      <c r="A975" s="47" t="s">
        <v>1137</v>
      </c>
      <c r="B975" s="19" t="s">
        <v>1124</v>
      </c>
      <c r="C975" s="17">
        <v>114</v>
      </c>
      <c r="D975" s="20" t="s">
        <v>196</v>
      </c>
      <c r="E975" s="19">
        <v>0</v>
      </c>
      <c r="F975" s="17" t="s">
        <v>1125</v>
      </c>
      <c r="G975" s="17" t="s">
        <v>1126</v>
      </c>
      <c r="H975" s="19" t="s">
        <v>932</v>
      </c>
      <c r="I975" s="17" t="b">
        <v>0</v>
      </c>
      <c r="J975" s="17" t="s">
        <v>43</v>
      </c>
      <c r="K975" s="21" t="str">
        <f t="shared" si="25"/>
        <v>https://version2.ice-d.org/antarctica/sample/10-LAR-036-DRY/</v>
      </c>
      <c r="L975" s="47" t="s">
        <v>39</v>
      </c>
      <c r="M975" s="155"/>
      <c r="O975" s="17" t="s">
        <v>1105</v>
      </c>
      <c r="P975" s="22">
        <v>-64.699979999999996</v>
      </c>
      <c r="Q975" s="22">
        <v>-60.61063</v>
      </c>
      <c r="R975" s="22">
        <v>1.5</v>
      </c>
      <c r="S975" s="22">
        <v>159</v>
      </c>
      <c r="T975" s="22">
        <v>50</v>
      </c>
      <c r="U975" s="23">
        <v>500</v>
      </c>
      <c r="V975" s="7" t="s">
        <v>2435</v>
      </c>
      <c r="W975" s="44" t="s">
        <v>2436</v>
      </c>
      <c r="X975" s="22">
        <f t="shared" si="26"/>
        <v>109</v>
      </c>
      <c r="Y975" s="22">
        <v>5.5</v>
      </c>
      <c r="Z975" s="22">
        <v>2.65</v>
      </c>
      <c r="AA975" s="17" t="s">
        <v>73</v>
      </c>
      <c r="AB975" s="26">
        <v>112</v>
      </c>
      <c r="AC975" s="26">
        <v>56</v>
      </c>
      <c r="AD975" s="26"/>
      <c r="AE975" s="27">
        <v>623</v>
      </c>
      <c r="AF975" s="27">
        <v>311</v>
      </c>
      <c r="AG975" s="28"/>
      <c r="AH975" s="28"/>
      <c r="AI975" s="17">
        <v>2010</v>
      </c>
      <c r="AJ975" s="17">
        <v>1</v>
      </c>
      <c r="AK975" s="17">
        <v>1</v>
      </c>
      <c r="AL975" s="17" t="s">
        <v>1108</v>
      </c>
    </row>
    <row r="976" spans="1:38" ht="12.75" customHeight="1">
      <c r="A976" s="47" t="s">
        <v>1133</v>
      </c>
      <c r="B976" s="19" t="s">
        <v>1124</v>
      </c>
      <c r="C976" s="17">
        <v>114</v>
      </c>
      <c r="D976" s="20" t="s">
        <v>196</v>
      </c>
      <c r="E976" s="19">
        <v>0</v>
      </c>
      <c r="F976" s="17" t="s">
        <v>1125</v>
      </c>
      <c r="G976" s="17" t="s">
        <v>1126</v>
      </c>
      <c r="H976" s="19" t="s">
        <v>932</v>
      </c>
      <c r="I976" s="17" t="b">
        <v>0</v>
      </c>
      <c r="J976" s="17" t="s">
        <v>247</v>
      </c>
      <c r="K976" s="21" t="str">
        <f t="shared" si="25"/>
        <v>https://version2.ice-d.org/antarctica/sample/10-LAR-033-DRY/</v>
      </c>
      <c r="L976" s="47" t="s">
        <v>39</v>
      </c>
      <c r="M976" s="155"/>
      <c r="O976" s="17" t="s">
        <v>1105</v>
      </c>
      <c r="P976" s="22">
        <v>-64.701719999999995</v>
      </c>
      <c r="Q976" s="22">
        <v>-60.619889999999998</v>
      </c>
      <c r="R976" s="22">
        <v>1.5</v>
      </c>
      <c r="S976" s="22">
        <v>101</v>
      </c>
      <c r="T976" s="22">
        <v>50</v>
      </c>
      <c r="U976" s="23">
        <v>500</v>
      </c>
      <c r="V976" s="7" t="s">
        <v>2435</v>
      </c>
      <c r="W976" s="44" t="s">
        <v>2436</v>
      </c>
      <c r="X976" s="22">
        <f t="shared" si="26"/>
        <v>51</v>
      </c>
      <c r="Y976" s="22">
        <v>5.5</v>
      </c>
      <c r="Z976" s="22">
        <v>2.65</v>
      </c>
      <c r="AA976" s="17" t="s">
        <v>73</v>
      </c>
      <c r="AB976" s="26">
        <v>1747</v>
      </c>
      <c r="AC976" s="26">
        <v>91</v>
      </c>
      <c r="AD976" s="26">
        <v>133</v>
      </c>
      <c r="AE976" s="27">
        <v>35612</v>
      </c>
      <c r="AF976" s="27">
        <v>1156</v>
      </c>
      <c r="AG976" s="28"/>
      <c r="AH976" s="28"/>
      <c r="AI976" s="17">
        <v>2010</v>
      </c>
      <c r="AJ976" s="17">
        <v>1</v>
      </c>
      <c r="AK976" s="17">
        <v>0</v>
      </c>
    </row>
    <row r="977" spans="1:46" ht="15.75" customHeight="1">
      <c r="A977" s="47" t="s">
        <v>1135</v>
      </c>
      <c r="B977" s="19" t="s">
        <v>1124</v>
      </c>
      <c r="C977" s="17">
        <v>114</v>
      </c>
      <c r="D977" s="20" t="s">
        <v>196</v>
      </c>
      <c r="E977" s="19">
        <v>0</v>
      </c>
      <c r="F977" s="17" t="s">
        <v>1125</v>
      </c>
      <c r="G977" s="17" t="s">
        <v>1126</v>
      </c>
      <c r="H977" s="19" t="s">
        <v>932</v>
      </c>
      <c r="I977" s="17" t="b">
        <v>0</v>
      </c>
      <c r="J977" s="17" t="s">
        <v>247</v>
      </c>
      <c r="K977" s="21" t="str">
        <f t="shared" si="25"/>
        <v>https://version2.ice-d.org/antarctica/sample/10-LAR-034-DRY/</v>
      </c>
      <c r="L977" s="47" t="s">
        <v>39</v>
      </c>
      <c r="M977" s="155"/>
      <c r="O977" s="17" t="s">
        <v>1105</v>
      </c>
      <c r="P977" s="22">
        <v>-64.700980000000001</v>
      </c>
      <c r="Q977" s="22">
        <v>-60.613419999999998</v>
      </c>
      <c r="R977" s="22">
        <v>1.5</v>
      </c>
      <c r="S977" s="22">
        <v>133</v>
      </c>
      <c r="T977" s="22">
        <v>50</v>
      </c>
      <c r="U977" s="23">
        <v>500</v>
      </c>
      <c r="V977" s="7" t="s">
        <v>2435</v>
      </c>
      <c r="W977" s="44" t="s">
        <v>2436</v>
      </c>
      <c r="X977" s="22">
        <f t="shared" si="26"/>
        <v>83</v>
      </c>
      <c r="Y977" s="22">
        <v>5.5</v>
      </c>
      <c r="Z977" s="22">
        <v>2.65</v>
      </c>
      <c r="AA977" s="17" t="s">
        <v>73</v>
      </c>
      <c r="AB977" s="26">
        <v>5337</v>
      </c>
      <c r="AC977" s="26">
        <v>189</v>
      </c>
      <c r="AD977" s="26">
        <v>420</v>
      </c>
      <c r="AE977" s="27">
        <v>28228</v>
      </c>
      <c r="AF977" s="27">
        <v>1445</v>
      </c>
      <c r="AG977" s="28"/>
      <c r="AH977" s="28"/>
      <c r="AI977" s="17">
        <v>2010</v>
      </c>
      <c r="AJ977" s="17">
        <v>1</v>
      </c>
      <c r="AK977" s="17">
        <v>0</v>
      </c>
    </row>
    <row r="978" spans="1:46" ht="15.75" customHeight="1">
      <c r="A978" s="47" t="s">
        <v>1135</v>
      </c>
      <c r="B978" s="19" t="s">
        <v>1124</v>
      </c>
      <c r="C978" s="17">
        <v>114</v>
      </c>
      <c r="D978" s="20" t="s">
        <v>196</v>
      </c>
      <c r="E978" s="19">
        <v>0</v>
      </c>
      <c r="F978" s="17" t="s">
        <v>1125</v>
      </c>
      <c r="G978" s="17" t="s">
        <v>1126</v>
      </c>
      <c r="H978" s="19" t="s">
        <v>932</v>
      </c>
      <c r="I978" s="17" t="b">
        <v>0</v>
      </c>
      <c r="J978" s="17" t="s">
        <v>247</v>
      </c>
      <c r="K978" s="21" t="str">
        <f t="shared" si="25"/>
        <v>https://version2.ice-d.org/antarctica/sample/10-LAR-034-DRY/</v>
      </c>
      <c r="L978" s="47" t="s">
        <v>39</v>
      </c>
      <c r="M978" s="155"/>
      <c r="O978" s="17" t="s">
        <v>1105</v>
      </c>
      <c r="P978" s="22">
        <v>-64.700980000000001</v>
      </c>
      <c r="Q978" s="22">
        <v>-60.613419999999998</v>
      </c>
      <c r="R978" s="22">
        <v>1.5</v>
      </c>
      <c r="S978" s="22">
        <v>133</v>
      </c>
      <c r="T978" s="22">
        <v>50</v>
      </c>
      <c r="U978" s="23">
        <v>500</v>
      </c>
      <c r="V978" s="7" t="s">
        <v>2435</v>
      </c>
      <c r="W978" s="44" t="s">
        <v>2436</v>
      </c>
      <c r="X978" s="22">
        <f t="shared" si="26"/>
        <v>83</v>
      </c>
      <c r="Y978" s="22">
        <v>5.5</v>
      </c>
      <c r="Z978" s="22">
        <v>2.65</v>
      </c>
      <c r="AA978" s="17" t="s">
        <v>73</v>
      </c>
      <c r="AB978" s="26">
        <v>6346</v>
      </c>
      <c r="AC978" s="26">
        <v>321</v>
      </c>
      <c r="AD978" s="26">
        <v>575</v>
      </c>
      <c r="AE978" s="27">
        <v>28228</v>
      </c>
      <c r="AF978" s="27">
        <v>1445</v>
      </c>
      <c r="AG978" s="28"/>
      <c r="AH978" s="28"/>
      <c r="AI978" s="17">
        <v>2010</v>
      </c>
      <c r="AJ978" s="17">
        <v>1</v>
      </c>
      <c r="AK978" s="17">
        <v>0</v>
      </c>
    </row>
    <row r="979" spans="1:46" ht="12.75" customHeight="1">
      <c r="A979" s="47" t="s">
        <v>1136</v>
      </c>
      <c r="B979" s="19" t="s">
        <v>1124</v>
      </c>
      <c r="C979" s="17">
        <v>114</v>
      </c>
      <c r="D979" s="20" t="s">
        <v>196</v>
      </c>
      <c r="E979" s="19">
        <v>0</v>
      </c>
      <c r="F979" s="17" t="s">
        <v>1125</v>
      </c>
      <c r="G979" s="17" t="s">
        <v>1126</v>
      </c>
      <c r="H979" s="19" t="s">
        <v>932</v>
      </c>
      <c r="I979" s="17" t="b">
        <v>0</v>
      </c>
      <c r="J979" s="17" t="s">
        <v>247</v>
      </c>
      <c r="K979" s="21" t="str">
        <f t="shared" si="25"/>
        <v>https://version2.ice-d.org/antarctica/sample/10-LAR-035-DRY/</v>
      </c>
      <c r="L979" s="47" t="s">
        <v>39</v>
      </c>
      <c r="M979" s="155"/>
      <c r="O979" s="17" t="s">
        <v>1105</v>
      </c>
      <c r="P979" s="22">
        <v>-64.699979999999996</v>
      </c>
      <c r="Q979" s="22">
        <v>-60.61063</v>
      </c>
      <c r="R979" s="22">
        <v>1.5</v>
      </c>
      <c r="S979" s="22">
        <v>159</v>
      </c>
      <c r="T979" s="22">
        <v>50</v>
      </c>
      <c r="U979" s="23">
        <v>500</v>
      </c>
      <c r="V979" s="7" t="s">
        <v>2435</v>
      </c>
      <c r="W979" s="44" t="s">
        <v>2436</v>
      </c>
      <c r="X979" s="22">
        <f t="shared" si="26"/>
        <v>109</v>
      </c>
      <c r="Y979" s="22">
        <v>5.5</v>
      </c>
      <c r="Z979" s="22">
        <v>2.65</v>
      </c>
      <c r="AA979" s="17" t="s">
        <v>73</v>
      </c>
      <c r="AB979" s="26">
        <v>6208</v>
      </c>
      <c r="AC979" s="26">
        <v>224</v>
      </c>
      <c r="AD979" s="26">
        <v>514</v>
      </c>
      <c r="AE979" s="27">
        <v>33350</v>
      </c>
      <c r="AF979" s="27">
        <v>1118</v>
      </c>
      <c r="AG979" s="28"/>
      <c r="AH979" s="28"/>
      <c r="AI979" s="17">
        <v>2010</v>
      </c>
      <c r="AJ979" s="17">
        <v>1</v>
      </c>
      <c r="AK979" s="17">
        <v>0</v>
      </c>
    </row>
    <row r="980" spans="1:46" ht="15.75" customHeight="1">
      <c r="A980" s="47" t="s">
        <v>1136</v>
      </c>
      <c r="B980" s="19" t="s">
        <v>1124</v>
      </c>
      <c r="C980" s="17">
        <v>114</v>
      </c>
      <c r="D980" s="20" t="s">
        <v>196</v>
      </c>
      <c r="E980" s="19">
        <v>0</v>
      </c>
      <c r="F980" s="17" t="s">
        <v>1125</v>
      </c>
      <c r="G980" s="17" t="s">
        <v>1126</v>
      </c>
      <c r="H980" s="19" t="s">
        <v>932</v>
      </c>
      <c r="I980" s="17" t="b">
        <v>0</v>
      </c>
      <c r="J980" s="17" t="s">
        <v>247</v>
      </c>
      <c r="K980" s="21" t="str">
        <f t="shared" si="25"/>
        <v>https://version2.ice-d.org/antarctica/sample/10-LAR-035-DRY/</v>
      </c>
      <c r="L980" s="47" t="s">
        <v>39</v>
      </c>
      <c r="M980" s="155"/>
      <c r="O980" s="17" t="s">
        <v>1105</v>
      </c>
      <c r="P980" s="22">
        <v>-64.699979999999996</v>
      </c>
      <c r="Q980" s="22">
        <v>-60.61063</v>
      </c>
      <c r="R980" s="22">
        <v>1.5</v>
      </c>
      <c r="S980" s="22">
        <v>159</v>
      </c>
      <c r="T980" s="22">
        <v>50</v>
      </c>
      <c r="U980" s="23">
        <v>500</v>
      </c>
      <c r="V980" s="7" t="s">
        <v>2435</v>
      </c>
      <c r="W980" s="44" t="s">
        <v>2436</v>
      </c>
      <c r="X980" s="22">
        <f t="shared" si="26"/>
        <v>109</v>
      </c>
      <c r="Y980" s="22">
        <v>5.5</v>
      </c>
      <c r="Z980" s="22">
        <v>2.65</v>
      </c>
      <c r="AA980" s="17" t="s">
        <v>73</v>
      </c>
      <c r="AB980" s="26">
        <v>8421</v>
      </c>
      <c r="AC980" s="26">
        <v>407</v>
      </c>
      <c r="AD980" s="26">
        <v>837</v>
      </c>
      <c r="AE980" s="27">
        <v>33350</v>
      </c>
      <c r="AF980" s="27">
        <v>1118</v>
      </c>
      <c r="AG980" s="28"/>
      <c r="AH980" s="28"/>
      <c r="AI980" s="17">
        <v>2010</v>
      </c>
      <c r="AJ980" s="17">
        <v>1</v>
      </c>
      <c r="AK980" s="17">
        <v>0</v>
      </c>
    </row>
    <row r="981" spans="1:46" ht="15.75" customHeight="1">
      <c r="A981" s="113" t="s">
        <v>1138</v>
      </c>
      <c r="B981" s="19" t="s">
        <v>1139</v>
      </c>
      <c r="C981" s="17">
        <v>115</v>
      </c>
      <c r="D981" s="20" t="s">
        <v>196</v>
      </c>
      <c r="E981" s="19">
        <v>0</v>
      </c>
      <c r="F981" s="33" t="s">
        <v>1140</v>
      </c>
      <c r="G981" s="33" t="s">
        <v>1141</v>
      </c>
      <c r="H981" s="33" t="s">
        <v>1142</v>
      </c>
      <c r="I981" s="17" t="b">
        <v>0</v>
      </c>
      <c r="J981" s="17" t="s">
        <v>43</v>
      </c>
      <c r="K981" s="21" t="str">
        <f t="shared" si="25"/>
        <v>https://version2.ice-d.org/antarctica/sample/B2016-HAR-10/</v>
      </c>
      <c r="L981" s="113" t="s">
        <v>39</v>
      </c>
      <c r="M981" s="182" t="s">
        <v>44</v>
      </c>
      <c r="O981" s="17" t="s">
        <v>1143</v>
      </c>
      <c r="P981" s="22">
        <v>-84.059349999999995</v>
      </c>
      <c r="Q981" s="22">
        <v>-57.244630000000001</v>
      </c>
      <c r="R981" s="22"/>
      <c r="S981" s="22">
        <v>734</v>
      </c>
      <c r="T981" s="22">
        <v>710</v>
      </c>
      <c r="U981" s="23">
        <v>500</v>
      </c>
      <c r="V981" s="8" t="s">
        <v>1942</v>
      </c>
      <c r="W981" s="148" t="s">
        <v>2439</v>
      </c>
      <c r="X981" s="22">
        <f t="shared" si="26"/>
        <v>24</v>
      </c>
      <c r="Y981" s="22">
        <v>2.5</v>
      </c>
      <c r="Z981" s="22">
        <v>2.7</v>
      </c>
      <c r="AA981" s="17" t="s">
        <v>73</v>
      </c>
      <c r="AB981" s="26">
        <v>14038</v>
      </c>
      <c r="AC981" s="26">
        <v>523</v>
      </c>
      <c r="AD981" s="26"/>
      <c r="AE981" s="27">
        <v>154400</v>
      </c>
      <c r="AF981" s="27">
        <v>5735</v>
      </c>
      <c r="AG981" s="28"/>
      <c r="AH981" s="28"/>
      <c r="AI981" s="17">
        <v>2009</v>
      </c>
      <c r="AJ981" s="17">
        <v>1</v>
      </c>
      <c r="AK981" s="17">
        <v>1</v>
      </c>
      <c r="AL981" s="17" t="s">
        <v>1144</v>
      </c>
      <c r="AN981" s="21"/>
      <c r="AT981" s="21"/>
    </row>
    <row r="982" spans="1:46" ht="15.75" customHeight="1">
      <c r="A982" s="113" t="s">
        <v>1145</v>
      </c>
      <c r="B982" s="19" t="s">
        <v>1139</v>
      </c>
      <c r="C982" s="17">
        <v>115</v>
      </c>
      <c r="D982" s="20" t="s">
        <v>196</v>
      </c>
      <c r="E982" s="19">
        <v>0</v>
      </c>
      <c r="F982" s="33" t="s">
        <v>1140</v>
      </c>
      <c r="G982" s="33" t="s">
        <v>1141</v>
      </c>
      <c r="H982" s="33" t="s">
        <v>1142</v>
      </c>
      <c r="I982" s="17" t="b">
        <v>0</v>
      </c>
      <c r="J982" s="17" t="s">
        <v>43</v>
      </c>
      <c r="K982" s="21" t="str">
        <f t="shared" si="25"/>
        <v>https://version2.ice-d.org/antarctica/sample/B2016-HAR-11/</v>
      </c>
      <c r="L982" s="113" t="s">
        <v>39</v>
      </c>
      <c r="M982" s="155"/>
      <c r="O982" s="17" t="s">
        <v>1143</v>
      </c>
      <c r="P982" s="22">
        <v>-84.059349999999995</v>
      </c>
      <c r="Q982" s="22">
        <v>-57.244630000000001</v>
      </c>
      <c r="R982" s="22"/>
      <c r="S982" s="22">
        <v>734</v>
      </c>
      <c r="T982" s="22">
        <v>710</v>
      </c>
      <c r="U982" s="23">
        <v>500</v>
      </c>
      <c r="V982" s="8" t="s">
        <v>1942</v>
      </c>
      <c r="W982" s="148" t="s">
        <v>2439</v>
      </c>
      <c r="X982" s="22">
        <f t="shared" si="26"/>
        <v>24</v>
      </c>
      <c r="Y982" s="22">
        <v>7</v>
      </c>
      <c r="Z982" s="22">
        <v>2.7</v>
      </c>
      <c r="AA982" s="17" t="s">
        <v>73</v>
      </c>
      <c r="AB982" s="26">
        <v>9130</v>
      </c>
      <c r="AC982" s="26">
        <v>340</v>
      </c>
      <c r="AD982" s="26"/>
      <c r="AE982" s="27">
        <v>97310</v>
      </c>
      <c r="AF982" s="27">
        <v>3614</v>
      </c>
      <c r="AG982" s="28"/>
      <c r="AH982" s="28"/>
      <c r="AI982" s="17">
        <v>2009</v>
      </c>
      <c r="AJ982" s="17">
        <v>1</v>
      </c>
      <c r="AK982" s="17">
        <v>1</v>
      </c>
      <c r="AL982" s="17" t="s">
        <v>1144</v>
      </c>
      <c r="AN982" s="21"/>
      <c r="AT982" s="21"/>
    </row>
    <row r="983" spans="1:46" ht="15.75" customHeight="1">
      <c r="A983" s="18" t="s">
        <v>1146</v>
      </c>
      <c r="B983" s="19" t="s">
        <v>1147</v>
      </c>
      <c r="C983" s="17">
        <v>116</v>
      </c>
      <c r="D983" s="20" t="s">
        <v>196</v>
      </c>
      <c r="E983" s="19">
        <v>2500</v>
      </c>
      <c r="F983" s="33" t="s">
        <v>1140</v>
      </c>
      <c r="G983" s="33" t="s">
        <v>1141</v>
      </c>
      <c r="H983" s="33" t="s">
        <v>1142</v>
      </c>
      <c r="I983" s="17" t="b">
        <v>0</v>
      </c>
      <c r="J983" s="17" t="s">
        <v>43</v>
      </c>
      <c r="K983" s="21" t="str">
        <f t="shared" si="25"/>
        <v>https://version2.ice-d.org/antarctica/sample/B2016-BRG-1/</v>
      </c>
      <c r="L983" s="18" t="s">
        <v>39</v>
      </c>
      <c r="M983" s="183" t="s">
        <v>44</v>
      </c>
      <c r="O983" s="17" t="s">
        <v>1143</v>
      </c>
      <c r="P983" s="22">
        <v>-84.098519999999994</v>
      </c>
      <c r="Q983" s="22">
        <v>-56.781649999999999</v>
      </c>
      <c r="R983" s="22"/>
      <c r="S983" s="22">
        <v>1048</v>
      </c>
      <c r="T983" s="22">
        <v>810</v>
      </c>
      <c r="U983" s="23">
        <v>500</v>
      </c>
      <c r="V983" s="8" t="s">
        <v>1942</v>
      </c>
      <c r="W983" s="148" t="s">
        <v>2439</v>
      </c>
      <c r="X983" s="22">
        <f t="shared" si="26"/>
        <v>238</v>
      </c>
      <c r="Y983" s="22">
        <v>3</v>
      </c>
      <c r="Z983" s="22">
        <v>2.7</v>
      </c>
      <c r="AA983" s="17" t="s">
        <v>73</v>
      </c>
      <c r="AB983" s="26">
        <v>18489</v>
      </c>
      <c r="AC983" s="26">
        <v>534</v>
      </c>
      <c r="AD983" s="26">
        <v>1219</v>
      </c>
      <c r="AE983" s="27">
        <v>268600</v>
      </c>
      <c r="AF983" s="27">
        <v>7721</v>
      </c>
      <c r="AG983" s="28"/>
      <c r="AH983" s="28"/>
      <c r="AI983" s="17">
        <v>2009</v>
      </c>
      <c r="AJ983" s="17">
        <v>1</v>
      </c>
      <c r="AK983" s="17">
        <v>0</v>
      </c>
      <c r="AN983" s="21"/>
      <c r="AT983" s="21"/>
    </row>
    <row r="984" spans="1:46" ht="15.75" customHeight="1">
      <c r="A984" s="18" t="s">
        <v>1148</v>
      </c>
      <c r="B984" s="19" t="s">
        <v>1147</v>
      </c>
      <c r="C984" s="17">
        <v>116</v>
      </c>
      <c r="D984" s="20" t="s">
        <v>196</v>
      </c>
      <c r="E984" s="19">
        <v>2500</v>
      </c>
      <c r="F984" s="33" t="s">
        <v>1140</v>
      </c>
      <c r="G984" s="33" t="s">
        <v>1141</v>
      </c>
      <c r="H984" s="33" t="s">
        <v>1142</v>
      </c>
      <c r="I984" s="17" t="b">
        <v>0</v>
      </c>
      <c r="J984" s="17" t="s">
        <v>43</v>
      </c>
      <c r="K984" s="21" t="str">
        <f t="shared" si="25"/>
        <v>https://version2.ice-d.org/antarctica/sample/B2016-BRG-14/</v>
      </c>
      <c r="L984" s="18" t="s">
        <v>39</v>
      </c>
      <c r="M984" s="155"/>
      <c r="O984" s="17" t="s">
        <v>1143</v>
      </c>
      <c r="P984" s="22">
        <v>-84.091380000000001</v>
      </c>
      <c r="Q984" s="22">
        <v>-56.782780000000002</v>
      </c>
      <c r="R984" s="22"/>
      <c r="S984" s="22">
        <v>1196</v>
      </c>
      <c r="T984" s="22">
        <v>813</v>
      </c>
      <c r="U984" s="23">
        <v>500</v>
      </c>
      <c r="V984" s="8" t="s">
        <v>1942</v>
      </c>
      <c r="W984" s="148" t="s">
        <v>2439</v>
      </c>
      <c r="X984" s="22">
        <f t="shared" si="26"/>
        <v>383</v>
      </c>
      <c r="Y984" s="22">
        <v>4</v>
      </c>
      <c r="Z984" s="22">
        <v>2.7</v>
      </c>
      <c r="AA984" s="17" t="s">
        <v>73</v>
      </c>
      <c r="AB984" s="26">
        <v>16607</v>
      </c>
      <c r="AC984" s="26">
        <v>543</v>
      </c>
      <c r="AD984" s="26">
        <v>1124</v>
      </c>
      <c r="AE984" s="27">
        <v>273000</v>
      </c>
      <c r="AF984" s="27">
        <v>8882</v>
      </c>
      <c r="AG984" s="28"/>
      <c r="AH984" s="28"/>
      <c r="AI984" s="17">
        <v>2009</v>
      </c>
      <c r="AJ984" s="17">
        <v>1</v>
      </c>
      <c r="AK984" s="17">
        <v>0</v>
      </c>
      <c r="AN984" s="21"/>
      <c r="AT984" s="21"/>
    </row>
    <row r="985" spans="1:46" ht="15.75" customHeight="1">
      <c r="A985" s="18" t="s">
        <v>1149</v>
      </c>
      <c r="B985" s="19" t="s">
        <v>1147</v>
      </c>
      <c r="C985" s="17">
        <v>116</v>
      </c>
      <c r="D985" s="20" t="s">
        <v>196</v>
      </c>
      <c r="E985" s="19">
        <v>2500</v>
      </c>
      <c r="F985" s="33" t="s">
        <v>1140</v>
      </c>
      <c r="G985" s="33" t="s">
        <v>1141</v>
      </c>
      <c r="H985" s="33" t="s">
        <v>1142</v>
      </c>
      <c r="I985" s="17" t="b">
        <v>0</v>
      </c>
      <c r="J985" s="17" t="s">
        <v>43</v>
      </c>
      <c r="K985" s="21" t="str">
        <f t="shared" si="25"/>
        <v>https://version2.ice-d.org/antarctica/sample/B2016-BRG-2/</v>
      </c>
      <c r="L985" s="18" t="s">
        <v>39</v>
      </c>
      <c r="M985" s="155"/>
      <c r="O985" s="17" t="s">
        <v>1143</v>
      </c>
      <c r="P985" s="22">
        <v>-84.098519999999994</v>
      </c>
      <c r="Q985" s="22">
        <v>-56.782499999999999</v>
      </c>
      <c r="R985" s="22"/>
      <c r="S985" s="22">
        <v>1047</v>
      </c>
      <c r="T985" s="22">
        <v>810</v>
      </c>
      <c r="U985" s="23">
        <v>500</v>
      </c>
      <c r="V985" s="8" t="s">
        <v>1942</v>
      </c>
      <c r="W985" s="148" t="s">
        <v>2439</v>
      </c>
      <c r="X985" s="22">
        <f t="shared" si="26"/>
        <v>237</v>
      </c>
      <c r="Y985" s="22">
        <v>6</v>
      </c>
      <c r="Z985" s="22">
        <v>2.7</v>
      </c>
      <c r="AA985" s="17" t="s">
        <v>73</v>
      </c>
      <c r="AB985" s="26">
        <v>13112</v>
      </c>
      <c r="AC985" s="26">
        <v>421</v>
      </c>
      <c r="AD985" s="26">
        <v>883</v>
      </c>
      <c r="AE985" s="27">
        <v>186200</v>
      </c>
      <c r="AF985" s="27">
        <v>5954</v>
      </c>
      <c r="AG985" s="28"/>
      <c r="AH985" s="28"/>
      <c r="AI985" s="17">
        <v>2009</v>
      </c>
      <c r="AJ985" s="17">
        <v>1</v>
      </c>
      <c r="AK985" s="17">
        <v>0</v>
      </c>
      <c r="AN985" s="21"/>
      <c r="AT985" s="21"/>
    </row>
    <row r="986" spans="1:46" ht="15.75" customHeight="1">
      <c r="A986" s="18" t="s">
        <v>1150</v>
      </c>
      <c r="B986" s="19" t="s">
        <v>1147</v>
      </c>
      <c r="C986" s="17">
        <v>116</v>
      </c>
      <c r="D986" s="20" t="s">
        <v>196</v>
      </c>
      <c r="E986" s="19">
        <v>2500</v>
      </c>
      <c r="F986" s="33" t="s">
        <v>1140</v>
      </c>
      <c r="G986" s="33" t="s">
        <v>1141</v>
      </c>
      <c r="H986" s="33" t="s">
        <v>1142</v>
      </c>
      <c r="I986" s="17" t="b">
        <v>0</v>
      </c>
      <c r="J986" s="17" t="s">
        <v>64</v>
      </c>
      <c r="K986" s="21" t="str">
        <f t="shared" si="25"/>
        <v>https://version2.ice-d.org/antarctica/sample/B2016-BRG-20/</v>
      </c>
      <c r="L986" s="18" t="s">
        <v>39</v>
      </c>
      <c r="M986" s="155"/>
      <c r="O986" s="17" t="s">
        <v>1143</v>
      </c>
      <c r="P986" s="22">
        <v>-84.099069999999998</v>
      </c>
      <c r="Q986" s="22">
        <v>-56.7819</v>
      </c>
      <c r="R986" s="22"/>
      <c r="S986" s="22">
        <v>1030</v>
      </c>
      <c r="T986" s="22">
        <v>810</v>
      </c>
      <c r="U986" s="23">
        <v>500</v>
      </c>
      <c r="V986" s="8" t="s">
        <v>1942</v>
      </c>
      <c r="W986" s="148" t="s">
        <v>2439</v>
      </c>
      <c r="X986" s="22">
        <f t="shared" si="26"/>
        <v>220</v>
      </c>
      <c r="Y986" s="22">
        <v>3</v>
      </c>
      <c r="Z986" s="22">
        <v>2.7</v>
      </c>
      <c r="AA986" s="17" t="s">
        <v>73</v>
      </c>
      <c r="AB986" s="26">
        <v>11031</v>
      </c>
      <c r="AC986" s="26">
        <v>656</v>
      </c>
      <c r="AD986" s="26">
        <v>1157</v>
      </c>
      <c r="AE986" s="27">
        <v>159100</v>
      </c>
      <c r="AF986" s="27">
        <v>5159</v>
      </c>
      <c r="AG986" s="27">
        <v>1113000</v>
      </c>
      <c r="AH986" s="27">
        <v>65790</v>
      </c>
      <c r="AI986" s="17">
        <v>2009</v>
      </c>
      <c r="AJ986" s="17">
        <v>1</v>
      </c>
      <c r="AK986" s="17">
        <v>0</v>
      </c>
      <c r="AN986" s="21"/>
      <c r="AT986" s="21"/>
    </row>
    <row r="987" spans="1:46" ht="15.75" customHeight="1">
      <c r="A987" s="18" t="s">
        <v>1150</v>
      </c>
      <c r="B987" s="19" t="s">
        <v>1147</v>
      </c>
      <c r="C987" s="17">
        <v>116</v>
      </c>
      <c r="D987" s="20" t="s">
        <v>196</v>
      </c>
      <c r="E987" s="19">
        <v>2500</v>
      </c>
      <c r="F987" s="33" t="s">
        <v>1140</v>
      </c>
      <c r="G987" s="33" t="s">
        <v>1141</v>
      </c>
      <c r="H987" s="33" t="s">
        <v>1142</v>
      </c>
      <c r="I987" s="17" t="b">
        <v>0</v>
      </c>
      <c r="J987" s="17" t="s">
        <v>43</v>
      </c>
      <c r="K987" s="21" t="str">
        <f t="shared" si="25"/>
        <v>https://version2.ice-d.org/antarctica/sample/B2016-BRG-20/</v>
      </c>
      <c r="L987" s="18" t="s">
        <v>39</v>
      </c>
      <c r="M987" s="155"/>
      <c r="O987" s="17" t="s">
        <v>1143</v>
      </c>
      <c r="P987" s="22">
        <v>-84.099069999999998</v>
      </c>
      <c r="Q987" s="22">
        <v>-56.7819</v>
      </c>
      <c r="R987" s="22"/>
      <c r="S987" s="22">
        <v>1030</v>
      </c>
      <c r="T987" s="22">
        <v>813</v>
      </c>
      <c r="U987" s="23">
        <v>500</v>
      </c>
      <c r="V987" s="8" t="s">
        <v>1942</v>
      </c>
      <c r="W987" s="148" t="s">
        <v>2439</v>
      </c>
      <c r="X987" s="22">
        <f t="shared" si="26"/>
        <v>217</v>
      </c>
      <c r="Y987" s="22">
        <v>3</v>
      </c>
      <c r="Z987" s="22">
        <v>2.7</v>
      </c>
      <c r="AA987" s="17" t="s">
        <v>73</v>
      </c>
      <c r="AB987" s="26">
        <v>11104</v>
      </c>
      <c r="AC987" s="26">
        <v>361</v>
      </c>
      <c r="AD987" s="26">
        <v>750</v>
      </c>
      <c r="AE987" s="27">
        <v>159100</v>
      </c>
      <c r="AF987" s="27">
        <v>5159</v>
      </c>
      <c r="AG987" s="27">
        <v>1113000</v>
      </c>
      <c r="AH987" s="27">
        <v>65790</v>
      </c>
      <c r="AI987" s="17">
        <v>2009</v>
      </c>
      <c r="AJ987" s="17">
        <v>1</v>
      </c>
      <c r="AK987" s="17">
        <v>0</v>
      </c>
      <c r="AN987" s="21"/>
      <c r="AT987" s="21"/>
    </row>
    <row r="988" spans="1:46" ht="15.75" customHeight="1">
      <c r="A988" s="18" t="s">
        <v>1151</v>
      </c>
      <c r="B988" s="19" t="s">
        <v>1147</v>
      </c>
      <c r="C988" s="17">
        <v>116</v>
      </c>
      <c r="D988" s="20" t="s">
        <v>196</v>
      </c>
      <c r="E988" s="19">
        <v>2500</v>
      </c>
      <c r="F988" s="33" t="s">
        <v>1140</v>
      </c>
      <c r="G988" s="33" t="s">
        <v>1141</v>
      </c>
      <c r="H988" s="33" t="s">
        <v>1142</v>
      </c>
      <c r="I988" s="17" t="b">
        <v>0</v>
      </c>
      <c r="J988" s="17" t="s">
        <v>64</v>
      </c>
      <c r="K988" s="21" t="str">
        <f t="shared" si="25"/>
        <v>https://version2.ice-d.org/antarctica/sample/B2016-BRG-26/</v>
      </c>
      <c r="L988" s="18" t="s">
        <v>39</v>
      </c>
      <c r="M988" s="155"/>
      <c r="O988" s="17" t="s">
        <v>1143</v>
      </c>
      <c r="P988" s="22">
        <v>-84.104950000000002</v>
      </c>
      <c r="Q988" s="22">
        <v>-56.782020000000003</v>
      </c>
      <c r="R988" s="22"/>
      <c r="S988" s="22">
        <v>840</v>
      </c>
      <c r="T988" s="22">
        <v>813</v>
      </c>
      <c r="U988" s="23">
        <v>500</v>
      </c>
      <c r="V988" s="8" t="s">
        <v>1942</v>
      </c>
      <c r="W988" s="148" t="s">
        <v>2439</v>
      </c>
      <c r="X988" s="22">
        <f t="shared" si="26"/>
        <v>27</v>
      </c>
      <c r="Y988" s="22">
        <v>3.5</v>
      </c>
      <c r="Z988" s="22">
        <v>2.7</v>
      </c>
      <c r="AA988" s="17" t="s">
        <v>73</v>
      </c>
      <c r="AB988" s="26">
        <v>3594</v>
      </c>
      <c r="AC988" s="26">
        <v>305</v>
      </c>
      <c r="AD988" s="26">
        <v>435</v>
      </c>
      <c r="AE988" s="27">
        <v>46200</v>
      </c>
      <c r="AF988" s="27">
        <v>2148</v>
      </c>
      <c r="AG988" s="27">
        <v>307600</v>
      </c>
      <c r="AH988" s="27">
        <v>26040</v>
      </c>
      <c r="AI988" s="17">
        <v>2009</v>
      </c>
      <c r="AJ988" s="17">
        <v>1</v>
      </c>
      <c r="AK988" s="17">
        <v>0</v>
      </c>
      <c r="AN988" s="21"/>
      <c r="AT988" s="21"/>
    </row>
    <row r="989" spans="1:46" ht="15.75" customHeight="1">
      <c r="A989" s="18" t="s">
        <v>1151</v>
      </c>
      <c r="B989" s="19" t="s">
        <v>1147</v>
      </c>
      <c r="C989" s="17">
        <v>116</v>
      </c>
      <c r="D989" s="20" t="s">
        <v>196</v>
      </c>
      <c r="E989" s="19">
        <v>2500</v>
      </c>
      <c r="F989" s="33" t="s">
        <v>1140</v>
      </c>
      <c r="G989" s="33" t="s">
        <v>1141</v>
      </c>
      <c r="H989" s="33" t="s">
        <v>1142</v>
      </c>
      <c r="I989" s="17" t="b">
        <v>0</v>
      </c>
      <c r="J989" s="17" t="s">
        <v>43</v>
      </c>
      <c r="K989" s="21" t="str">
        <f t="shared" si="25"/>
        <v>https://version2.ice-d.org/antarctica/sample/B2016-BRG-26/</v>
      </c>
      <c r="L989" s="18" t="s">
        <v>39</v>
      </c>
      <c r="M989" s="155"/>
      <c r="O989" s="17" t="s">
        <v>1143</v>
      </c>
      <c r="P989" s="22">
        <v>-84.104950000000002</v>
      </c>
      <c r="Q989" s="22">
        <v>-56.782020000000003</v>
      </c>
      <c r="R989" s="22"/>
      <c r="S989" s="22">
        <v>840</v>
      </c>
      <c r="T989" s="22">
        <v>813</v>
      </c>
      <c r="U989" s="23">
        <v>500</v>
      </c>
      <c r="V989" s="8" t="s">
        <v>1942</v>
      </c>
      <c r="W989" s="148" t="s">
        <v>2439</v>
      </c>
      <c r="X989" s="22">
        <f t="shared" si="26"/>
        <v>27</v>
      </c>
      <c r="Y989" s="22">
        <v>3.5</v>
      </c>
      <c r="Z989" s="22">
        <v>2.7</v>
      </c>
      <c r="AA989" s="17" t="s">
        <v>73</v>
      </c>
      <c r="AB989" s="26">
        <v>3835</v>
      </c>
      <c r="AC989" s="26">
        <v>178</v>
      </c>
      <c r="AD989" s="26">
        <v>288</v>
      </c>
      <c r="AE989" s="27">
        <v>46200</v>
      </c>
      <c r="AF989" s="27">
        <v>2148</v>
      </c>
      <c r="AG989" s="27">
        <v>307600</v>
      </c>
      <c r="AH989" s="27">
        <v>26040</v>
      </c>
      <c r="AI989" s="17">
        <v>2009</v>
      </c>
      <c r="AJ989" s="17">
        <v>1</v>
      </c>
      <c r="AK989" s="17">
        <v>0</v>
      </c>
      <c r="AN989" s="21"/>
      <c r="AT989" s="21"/>
    </row>
    <row r="990" spans="1:46" ht="15.75" customHeight="1">
      <c r="A990" s="18" t="s">
        <v>1152</v>
      </c>
      <c r="B990" s="19" t="s">
        <v>1147</v>
      </c>
      <c r="C990" s="17">
        <v>116</v>
      </c>
      <c r="D990" s="20" t="s">
        <v>196</v>
      </c>
      <c r="E990" s="19">
        <v>2500</v>
      </c>
      <c r="F990" s="33" t="s">
        <v>1140</v>
      </c>
      <c r="G990" s="33" t="s">
        <v>1141</v>
      </c>
      <c r="H990" s="33" t="s">
        <v>1142</v>
      </c>
      <c r="I990" s="17" t="b">
        <v>0</v>
      </c>
      <c r="J990" s="17" t="s">
        <v>43</v>
      </c>
      <c r="K990" s="21" t="str">
        <f t="shared" si="25"/>
        <v>https://version2.ice-d.org/antarctica/sample/B2016-BRG-27/</v>
      </c>
      <c r="L990" s="18" t="s">
        <v>39</v>
      </c>
      <c r="M990" s="155"/>
      <c r="O990" s="17" t="s">
        <v>1143</v>
      </c>
      <c r="P990" s="22">
        <v>-84.105400000000003</v>
      </c>
      <c r="Q990" s="22">
        <v>-56.781970000000001</v>
      </c>
      <c r="R990" s="22"/>
      <c r="S990" s="22">
        <v>816</v>
      </c>
      <c r="T990" s="22">
        <v>813</v>
      </c>
      <c r="U990" s="23">
        <v>500</v>
      </c>
      <c r="V990" s="8" t="s">
        <v>1942</v>
      </c>
      <c r="W990" s="148" t="s">
        <v>2439</v>
      </c>
      <c r="X990" s="22">
        <f t="shared" si="26"/>
        <v>3</v>
      </c>
      <c r="Y990" s="22">
        <v>5</v>
      </c>
      <c r="Z990" s="22">
        <v>2.7</v>
      </c>
      <c r="AA990" s="17" t="s">
        <v>73</v>
      </c>
      <c r="AB990" s="26">
        <v>2359</v>
      </c>
      <c r="AC990" s="26">
        <v>166</v>
      </c>
      <c r="AD990" s="26">
        <v>217</v>
      </c>
      <c r="AE990" s="27">
        <v>25360</v>
      </c>
      <c r="AF990" s="27">
        <v>1788</v>
      </c>
      <c r="AG990" s="28"/>
      <c r="AH990" s="28"/>
      <c r="AI990" s="17">
        <v>2009</v>
      </c>
      <c r="AJ990" s="17">
        <v>1</v>
      </c>
      <c r="AK990" s="17">
        <v>0</v>
      </c>
      <c r="AN990" s="21"/>
      <c r="AT990" s="21"/>
    </row>
    <row r="991" spans="1:46" ht="15.75" customHeight="1">
      <c r="A991" s="18" t="s">
        <v>1153</v>
      </c>
      <c r="B991" s="19" t="s">
        <v>1147</v>
      </c>
      <c r="C991" s="17">
        <v>117</v>
      </c>
      <c r="D991" s="20" t="s">
        <v>196</v>
      </c>
      <c r="E991" s="19">
        <v>2500</v>
      </c>
      <c r="F991" s="33" t="s">
        <v>1140</v>
      </c>
      <c r="G991" s="33" t="s">
        <v>1141</v>
      </c>
      <c r="H991" s="33" t="s">
        <v>1142</v>
      </c>
      <c r="I991" s="17" t="b">
        <v>0</v>
      </c>
      <c r="J991" s="17" t="s">
        <v>43</v>
      </c>
      <c r="K991" s="21" t="str">
        <f t="shared" si="25"/>
        <v>https://version2.ice-d.org/antarctica/sample/B2016-BRG-4/</v>
      </c>
      <c r="L991" s="18" t="s">
        <v>39</v>
      </c>
      <c r="M991" s="155"/>
      <c r="O991" s="17" t="s">
        <v>1143</v>
      </c>
      <c r="P991" s="22">
        <v>-84.098349999999996</v>
      </c>
      <c r="Q991" s="22">
        <v>-56.783450000000002</v>
      </c>
      <c r="R991" s="22"/>
      <c r="S991" s="22">
        <v>1049</v>
      </c>
      <c r="T991" s="22">
        <v>810</v>
      </c>
      <c r="U991" s="23">
        <v>500</v>
      </c>
      <c r="V991" s="8" t="s">
        <v>1942</v>
      </c>
      <c r="W991" s="148" t="s">
        <v>2439</v>
      </c>
      <c r="X991" s="22">
        <f t="shared" si="26"/>
        <v>239</v>
      </c>
      <c r="Y991" s="22">
        <v>3.5</v>
      </c>
      <c r="Z991" s="22">
        <v>2.7</v>
      </c>
      <c r="AA991" s="17" t="s">
        <v>73</v>
      </c>
      <c r="AB991" s="26">
        <v>7447</v>
      </c>
      <c r="AC991" s="26">
        <v>260</v>
      </c>
      <c r="AD991" s="26">
        <v>511</v>
      </c>
      <c r="AE991" s="27">
        <v>108700</v>
      </c>
      <c r="AF991" s="27">
        <v>3788</v>
      </c>
      <c r="AG991" s="28"/>
      <c r="AH991" s="28"/>
      <c r="AI991" s="17">
        <v>2009</v>
      </c>
      <c r="AJ991" s="17">
        <v>1</v>
      </c>
      <c r="AK991" s="17">
        <v>0</v>
      </c>
      <c r="AN991" s="21"/>
      <c r="AT991" s="21"/>
    </row>
    <row r="992" spans="1:46" ht="15.75" customHeight="1">
      <c r="A992" s="29" t="s">
        <v>1154</v>
      </c>
      <c r="B992" s="19" t="s">
        <v>1139</v>
      </c>
      <c r="C992" s="17">
        <v>118</v>
      </c>
      <c r="D992" s="20" t="s">
        <v>196</v>
      </c>
      <c r="E992" s="19">
        <v>0</v>
      </c>
      <c r="F992" s="33" t="s">
        <v>1140</v>
      </c>
      <c r="G992" s="33" t="s">
        <v>1141</v>
      </c>
      <c r="H992" s="33" t="s">
        <v>1142</v>
      </c>
      <c r="I992" s="17" t="b">
        <v>0</v>
      </c>
      <c r="J992" s="17" t="s">
        <v>43</v>
      </c>
      <c r="K992" s="21" t="str">
        <f t="shared" si="25"/>
        <v>https://version2.ice-d.org/antarctica/sample/B2016-HAR-1/</v>
      </c>
      <c r="L992" s="29" t="s">
        <v>39</v>
      </c>
      <c r="M992" s="184" t="s">
        <v>44</v>
      </c>
      <c r="O992" s="17" t="s">
        <v>1143</v>
      </c>
      <c r="P992" s="22">
        <v>-84.070520000000002</v>
      </c>
      <c r="Q992" s="22">
        <v>-57.112720000000003</v>
      </c>
      <c r="R992" s="22"/>
      <c r="S992" s="22">
        <v>878</v>
      </c>
      <c r="T992" s="22">
        <v>710</v>
      </c>
      <c r="U992" s="23">
        <v>500</v>
      </c>
      <c r="V992" s="8" t="s">
        <v>1942</v>
      </c>
      <c r="W992" s="148" t="s">
        <v>2439</v>
      </c>
      <c r="X992" s="22">
        <f t="shared" si="26"/>
        <v>168</v>
      </c>
      <c r="Y992" s="22">
        <v>3.5</v>
      </c>
      <c r="Z992" s="22">
        <v>2.7</v>
      </c>
      <c r="AA992" s="17" t="s">
        <v>73</v>
      </c>
      <c r="AB992" s="26">
        <v>4170</v>
      </c>
      <c r="AC992" s="26">
        <v>176</v>
      </c>
      <c r="AD992" s="26">
        <v>302</v>
      </c>
      <c r="AE992" s="27">
        <v>52150</v>
      </c>
      <c r="AF992" s="27">
        <v>2193</v>
      </c>
      <c r="AG992" s="27">
        <v>394300</v>
      </c>
      <c r="AH992" s="27">
        <v>29780</v>
      </c>
      <c r="AI992" s="17">
        <v>2009</v>
      </c>
      <c r="AJ992" s="17">
        <v>1</v>
      </c>
      <c r="AK992" s="17">
        <v>0</v>
      </c>
      <c r="AN992" s="21"/>
      <c r="AT992" s="21"/>
    </row>
    <row r="993" spans="1:46" ht="15.75" customHeight="1">
      <c r="A993" s="29" t="s">
        <v>1154</v>
      </c>
      <c r="B993" s="19" t="s">
        <v>1139</v>
      </c>
      <c r="C993" s="17">
        <v>118</v>
      </c>
      <c r="D993" s="20" t="s">
        <v>196</v>
      </c>
      <c r="E993" s="19">
        <v>0</v>
      </c>
      <c r="F993" s="33" t="s">
        <v>1140</v>
      </c>
      <c r="G993" s="33" t="s">
        <v>1141</v>
      </c>
      <c r="H993" s="33" t="s">
        <v>1142</v>
      </c>
      <c r="I993" s="17" t="b">
        <v>0</v>
      </c>
      <c r="J993" s="17" t="s">
        <v>64</v>
      </c>
      <c r="K993" s="21" t="str">
        <f t="shared" si="25"/>
        <v>https://version2.ice-d.org/antarctica/sample/B2016-HAR-1/</v>
      </c>
      <c r="L993" s="29" t="s">
        <v>39</v>
      </c>
      <c r="M993" s="155"/>
      <c r="O993" s="17" t="s">
        <v>1143</v>
      </c>
      <c r="P993" s="22">
        <v>-84.070520000000002</v>
      </c>
      <c r="Q993" s="22">
        <v>-57.112720000000003</v>
      </c>
      <c r="R993" s="22"/>
      <c r="S993" s="22">
        <v>878</v>
      </c>
      <c r="T993" s="22">
        <v>710</v>
      </c>
      <c r="U993" s="23">
        <v>500</v>
      </c>
      <c r="V993" s="8" t="s">
        <v>1942</v>
      </c>
      <c r="W993" s="148" t="s">
        <v>2439</v>
      </c>
      <c r="X993" s="22">
        <f t="shared" si="26"/>
        <v>168</v>
      </c>
      <c r="Y993" s="22">
        <v>3.5</v>
      </c>
      <c r="Z993" s="22">
        <v>2.7</v>
      </c>
      <c r="AA993" s="17" t="s">
        <v>73</v>
      </c>
      <c r="AB993" s="26">
        <v>4472</v>
      </c>
      <c r="AC993" s="26">
        <v>339</v>
      </c>
      <c r="AD993" s="26">
        <v>513</v>
      </c>
      <c r="AE993" s="27">
        <v>52150</v>
      </c>
      <c r="AF993" s="27">
        <v>2193</v>
      </c>
      <c r="AG993" s="27">
        <v>394300</v>
      </c>
      <c r="AH993" s="27">
        <v>29780</v>
      </c>
      <c r="AI993" s="17">
        <v>2009</v>
      </c>
      <c r="AJ993" s="17">
        <v>1</v>
      </c>
      <c r="AK993" s="17">
        <v>0</v>
      </c>
      <c r="AN993" s="21"/>
      <c r="AT993" s="21"/>
    </row>
    <row r="994" spans="1:46" ht="15.75" customHeight="1">
      <c r="A994" s="29" t="s">
        <v>1155</v>
      </c>
      <c r="B994" s="19" t="s">
        <v>1139</v>
      </c>
      <c r="C994" s="17">
        <v>118</v>
      </c>
      <c r="D994" s="20" t="s">
        <v>196</v>
      </c>
      <c r="E994" s="19">
        <v>0</v>
      </c>
      <c r="F994" s="33" t="s">
        <v>1140</v>
      </c>
      <c r="G994" s="33" t="s">
        <v>1141</v>
      </c>
      <c r="H994" s="33" t="s">
        <v>1142</v>
      </c>
      <c r="I994" s="17" t="b">
        <v>0</v>
      </c>
      <c r="J994" s="17" t="s">
        <v>43</v>
      </c>
      <c r="K994" s="21" t="str">
        <f t="shared" si="25"/>
        <v>https://version2.ice-d.org/antarctica/sample/B2016-HAR-2/</v>
      </c>
      <c r="L994" s="29" t="s">
        <v>39</v>
      </c>
      <c r="M994" s="155"/>
      <c r="O994" s="17" t="s">
        <v>1143</v>
      </c>
      <c r="P994" s="22">
        <v>-84.070549999999997</v>
      </c>
      <c r="Q994" s="22">
        <v>-57.113399999999999</v>
      </c>
      <c r="R994" s="22"/>
      <c r="S994" s="22">
        <v>878</v>
      </c>
      <c r="T994" s="22">
        <v>710</v>
      </c>
      <c r="U994" s="23">
        <v>500</v>
      </c>
      <c r="V994" s="8" t="s">
        <v>1942</v>
      </c>
      <c r="W994" s="148" t="s">
        <v>2439</v>
      </c>
      <c r="X994" s="22">
        <f t="shared" si="26"/>
        <v>168</v>
      </c>
      <c r="Y994" s="22">
        <v>4.5</v>
      </c>
      <c r="Z994" s="22">
        <v>2.7</v>
      </c>
      <c r="AA994" s="17" t="s">
        <v>73</v>
      </c>
      <c r="AB994" s="26">
        <v>3970</v>
      </c>
      <c r="AC994" s="26">
        <v>160</v>
      </c>
      <c r="AD994" s="26">
        <v>284</v>
      </c>
      <c r="AE994" s="27">
        <v>49400</v>
      </c>
      <c r="AF994" s="27">
        <v>1988</v>
      </c>
      <c r="AG994" s="28"/>
      <c r="AH994" s="28"/>
      <c r="AI994" s="17">
        <v>2009</v>
      </c>
      <c r="AJ994" s="17">
        <v>1</v>
      </c>
      <c r="AK994" s="17">
        <v>0</v>
      </c>
      <c r="AN994" s="21"/>
      <c r="AT994" s="21"/>
    </row>
    <row r="995" spans="1:46" ht="15.75" customHeight="1">
      <c r="A995" s="29" t="s">
        <v>1156</v>
      </c>
      <c r="B995" s="19" t="s">
        <v>1139</v>
      </c>
      <c r="C995" s="17">
        <v>118</v>
      </c>
      <c r="D995" s="20" t="s">
        <v>196</v>
      </c>
      <c r="E995" s="19">
        <v>0</v>
      </c>
      <c r="F995" s="33" t="s">
        <v>1140</v>
      </c>
      <c r="G995" s="33" t="s">
        <v>1141</v>
      </c>
      <c r="H995" s="33" t="s">
        <v>1142</v>
      </c>
      <c r="I995" s="17" t="b">
        <v>0</v>
      </c>
      <c r="J995" s="17" t="s">
        <v>43</v>
      </c>
      <c r="K995" s="21" t="str">
        <f t="shared" si="25"/>
        <v>https://version2.ice-d.org/antarctica/sample/B2016-HAR-3/</v>
      </c>
      <c r="L995" s="29" t="s">
        <v>39</v>
      </c>
      <c r="M995" s="155"/>
      <c r="O995" s="17" t="s">
        <v>1143</v>
      </c>
      <c r="P995" s="22">
        <v>-84.070800000000006</v>
      </c>
      <c r="Q995" s="22">
        <v>-57.111530000000002</v>
      </c>
      <c r="R995" s="22"/>
      <c r="S995" s="22">
        <v>878</v>
      </c>
      <c r="T995" s="22">
        <v>710</v>
      </c>
      <c r="U995" s="23">
        <v>500</v>
      </c>
      <c r="V995" s="8" t="s">
        <v>1942</v>
      </c>
      <c r="W995" s="148" t="s">
        <v>2439</v>
      </c>
      <c r="X995" s="22">
        <f t="shared" si="26"/>
        <v>168</v>
      </c>
      <c r="Y995" s="22">
        <v>4</v>
      </c>
      <c r="Z995" s="22">
        <v>2.7</v>
      </c>
      <c r="AA995" s="17" t="s">
        <v>73</v>
      </c>
      <c r="AB995" s="26">
        <v>2951</v>
      </c>
      <c r="AC995" s="26">
        <v>243</v>
      </c>
      <c r="AD995" s="26">
        <v>299</v>
      </c>
      <c r="AE995" s="27">
        <v>37380</v>
      </c>
      <c r="AF995" s="27">
        <v>3079</v>
      </c>
      <c r="AG995" s="28"/>
      <c r="AH995" s="28"/>
      <c r="AI995" s="17">
        <v>2009</v>
      </c>
      <c r="AJ995" s="17">
        <v>1</v>
      </c>
      <c r="AK995" s="17">
        <v>0</v>
      </c>
      <c r="AN995" s="21"/>
      <c r="AT995" s="21"/>
    </row>
    <row r="996" spans="1:46" ht="15.75" customHeight="1">
      <c r="A996" s="29" t="s">
        <v>1157</v>
      </c>
      <c r="B996" s="19" t="s">
        <v>1139</v>
      </c>
      <c r="C996" s="17">
        <v>118</v>
      </c>
      <c r="D996" s="20" t="s">
        <v>196</v>
      </c>
      <c r="E996" s="19">
        <v>0</v>
      </c>
      <c r="F996" s="33" t="s">
        <v>1140</v>
      </c>
      <c r="G996" s="33" t="s">
        <v>1141</v>
      </c>
      <c r="H996" s="33" t="s">
        <v>1142</v>
      </c>
      <c r="I996" s="17" t="b">
        <v>0</v>
      </c>
      <c r="J996" s="17" t="s">
        <v>43</v>
      </c>
      <c r="K996" s="21" t="str">
        <f t="shared" si="25"/>
        <v>https://version2.ice-d.org/antarctica/sample/B2016-HAR-4/</v>
      </c>
      <c r="L996" s="29" t="s">
        <v>39</v>
      </c>
      <c r="M996" s="155"/>
      <c r="O996" s="17" t="s">
        <v>1143</v>
      </c>
      <c r="P996" s="22">
        <v>-84.061930000000004</v>
      </c>
      <c r="Q996" s="22">
        <v>-57.125300000000003</v>
      </c>
      <c r="R996" s="22"/>
      <c r="S996" s="22">
        <v>913</v>
      </c>
      <c r="T996" s="22">
        <v>710</v>
      </c>
      <c r="U996" s="23">
        <v>500</v>
      </c>
      <c r="V996" s="8" t="s">
        <v>1942</v>
      </c>
      <c r="W996" s="148" t="s">
        <v>2439</v>
      </c>
      <c r="X996" s="22">
        <f t="shared" si="26"/>
        <v>203</v>
      </c>
      <c r="Y996" s="22">
        <v>4</v>
      </c>
      <c r="Z996" s="22">
        <v>2.7</v>
      </c>
      <c r="AA996" s="17" t="s">
        <v>73</v>
      </c>
      <c r="AB996" s="26">
        <v>5828</v>
      </c>
      <c r="AC996" s="26">
        <v>242</v>
      </c>
      <c r="AD996" s="26">
        <v>421</v>
      </c>
      <c r="AE996" s="27">
        <v>74610</v>
      </c>
      <c r="AF996" s="27">
        <v>3089</v>
      </c>
      <c r="AG996" s="28"/>
      <c r="AH996" s="28"/>
      <c r="AI996" s="17">
        <v>2009</v>
      </c>
      <c r="AJ996" s="17">
        <v>1</v>
      </c>
      <c r="AK996" s="17">
        <v>0</v>
      </c>
      <c r="AN996" s="21"/>
      <c r="AT996" s="21"/>
    </row>
    <row r="997" spans="1:46" ht="15.75" customHeight="1">
      <c r="A997" s="29" t="s">
        <v>1158</v>
      </c>
      <c r="B997" s="19" t="s">
        <v>1139</v>
      </c>
      <c r="C997" s="17">
        <v>118</v>
      </c>
      <c r="D997" s="20" t="s">
        <v>196</v>
      </c>
      <c r="E997" s="19">
        <v>0</v>
      </c>
      <c r="F997" s="33" t="s">
        <v>1140</v>
      </c>
      <c r="G997" s="33" t="s">
        <v>1141</v>
      </c>
      <c r="H997" s="33" t="s">
        <v>1142</v>
      </c>
      <c r="I997" s="17" t="b">
        <v>0</v>
      </c>
      <c r="J997" s="17" t="s">
        <v>43</v>
      </c>
      <c r="K997" s="21" t="str">
        <f t="shared" si="25"/>
        <v>https://version2.ice-d.org/antarctica/sample/B2016-HAR-5/</v>
      </c>
      <c r="L997" s="29" t="s">
        <v>39</v>
      </c>
      <c r="M997" s="155"/>
      <c r="O997" s="17" t="s">
        <v>1143</v>
      </c>
      <c r="P997" s="22">
        <v>-84.061930000000004</v>
      </c>
      <c r="Q997" s="22">
        <v>-57.125300000000003</v>
      </c>
      <c r="R997" s="22"/>
      <c r="S997" s="22">
        <v>913</v>
      </c>
      <c r="T997" s="22">
        <v>710</v>
      </c>
      <c r="U997" s="23">
        <v>500</v>
      </c>
      <c r="V997" s="8" t="s">
        <v>1942</v>
      </c>
      <c r="W997" s="148" t="s">
        <v>2439</v>
      </c>
      <c r="X997" s="22">
        <f t="shared" si="26"/>
        <v>203</v>
      </c>
      <c r="Y997" s="22">
        <v>4</v>
      </c>
      <c r="Z997" s="22">
        <v>2.7</v>
      </c>
      <c r="AA997" s="17" t="s">
        <v>73</v>
      </c>
      <c r="AB997" s="26">
        <v>5410</v>
      </c>
      <c r="AC997" s="26">
        <v>201</v>
      </c>
      <c r="AD997" s="26">
        <v>378</v>
      </c>
      <c r="AE997" s="27">
        <v>69180</v>
      </c>
      <c r="AF997" s="27">
        <v>2568</v>
      </c>
      <c r="AG997" s="27">
        <v>534600</v>
      </c>
      <c r="AH997" s="27">
        <v>37180</v>
      </c>
      <c r="AI997" s="17">
        <v>2009</v>
      </c>
      <c r="AJ997" s="17">
        <v>1</v>
      </c>
      <c r="AK997" s="17">
        <v>0</v>
      </c>
      <c r="AN997" s="21"/>
      <c r="AT997" s="21"/>
    </row>
    <row r="998" spans="1:46" ht="15.75" customHeight="1">
      <c r="A998" s="29" t="s">
        <v>1158</v>
      </c>
      <c r="B998" s="19" t="s">
        <v>1139</v>
      </c>
      <c r="C998" s="17">
        <v>118</v>
      </c>
      <c r="D998" s="20" t="s">
        <v>196</v>
      </c>
      <c r="E998" s="19">
        <v>0</v>
      </c>
      <c r="F998" s="33" t="s">
        <v>1140</v>
      </c>
      <c r="G998" s="33" t="s">
        <v>1141</v>
      </c>
      <c r="H998" s="33" t="s">
        <v>1142</v>
      </c>
      <c r="I998" s="17" t="b">
        <v>0</v>
      </c>
      <c r="J998" s="17" t="s">
        <v>64</v>
      </c>
      <c r="K998" s="21" t="str">
        <f t="shared" si="25"/>
        <v>https://version2.ice-d.org/antarctica/sample/B2016-HAR-5/</v>
      </c>
      <c r="L998" s="29" t="s">
        <v>39</v>
      </c>
      <c r="M998" s="155"/>
      <c r="O998" s="17" t="s">
        <v>1143</v>
      </c>
      <c r="P998" s="22">
        <v>-84.061930000000004</v>
      </c>
      <c r="Q998" s="22">
        <v>-57.125300000000003</v>
      </c>
      <c r="R998" s="22"/>
      <c r="S998" s="22">
        <v>913</v>
      </c>
      <c r="T998" s="22">
        <v>710</v>
      </c>
      <c r="U998" s="23">
        <v>500</v>
      </c>
      <c r="V998" s="8" t="s">
        <v>1942</v>
      </c>
      <c r="W998" s="148" t="s">
        <v>2439</v>
      </c>
      <c r="X998" s="22">
        <f t="shared" si="26"/>
        <v>203</v>
      </c>
      <c r="Y998" s="22">
        <v>4</v>
      </c>
      <c r="Z998" s="22">
        <v>2.7</v>
      </c>
      <c r="AA998" s="17" t="s">
        <v>73</v>
      </c>
      <c r="AB998" s="26">
        <v>5910</v>
      </c>
      <c r="AC998" s="26">
        <v>412</v>
      </c>
      <c r="AD998" s="26">
        <v>656</v>
      </c>
      <c r="AE998" s="27">
        <v>69180</v>
      </c>
      <c r="AF998" s="27">
        <v>2568</v>
      </c>
      <c r="AG998" s="27">
        <v>534600</v>
      </c>
      <c r="AH998" s="27">
        <v>37180</v>
      </c>
      <c r="AI998" s="17">
        <v>2009</v>
      </c>
      <c r="AJ998" s="17">
        <v>1</v>
      </c>
      <c r="AK998" s="17">
        <v>0</v>
      </c>
      <c r="AN998" s="21"/>
      <c r="AT998" s="21"/>
    </row>
    <row r="999" spans="1:46" ht="15.75" customHeight="1">
      <c r="A999" s="29" t="s">
        <v>1159</v>
      </c>
      <c r="B999" s="19" t="s">
        <v>1139</v>
      </c>
      <c r="C999" s="17">
        <v>119</v>
      </c>
      <c r="D999" s="20" t="s">
        <v>196</v>
      </c>
      <c r="E999" s="19">
        <v>0</v>
      </c>
      <c r="F999" s="33" t="s">
        <v>1140</v>
      </c>
      <c r="G999" s="33" t="s">
        <v>1141</v>
      </c>
      <c r="H999" s="33" t="s">
        <v>1142</v>
      </c>
      <c r="I999" s="17" t="b">
        <v>0</v>
      </c>
      <c r="J999" s="17" t="s">
        <v>43</v>
      </c>
      <c r="K999" s="21" t="str">
        <f t="shared" si="25"/>
        <v>https://version2.ice-d.org/antarctica/sample/B2016-HAR-6/</v>
      </c>
      <c r="L999" s="29" t="s">
        <v>39</v>
      </c>
      <c r="M999" s="155"/>
      <c r="O999" s="17" t="s">
        <v>1143</v>
      </c>
      <c r="P999" s="22">
        <v>-84.061049999999994</v>
      </c>
      <c r="Q999" s="22">
        <v>-57.191299999999998</v>
      </c>
      <c r="R999" s="22"/>
      <c r="S999" s="22">
        <v>840</v>
      </c>
      <c r="T999" s="22">
        <v>710</v>
      </c>
      <c r="U999" s="23">
        <v>500</v>
      </c>
      <c r="V999" s="8" t="s">
        <v>1942</v>
      </c>
      <c r="W999" s="148" t="s">
        <v>2439</v>
      </c>
      <c r="X999" s="22">
        <f t="shared" si="26"/>
        <v>130</v>
      </c>
      <c r="Y999" s="22">
        <v>3.5</v>
      </c>
      <c r="Z999" s="22">
        <v>2.7</v>
      </c>
      <c r="AA999" s="17" t="s">
        <v>73</v>
      </c>
      <c r="AB999" s="26">
        <v>6523</v>
      </c>
      <c r="AC999" s="26">
        <v>297</v>
      </c>
      <c r="AD999" s="26">
        <v>486</v>
      </c>
      <c r="AE999" s="27">
        <v>78550</v>
      </c>
      <c r="AF999" s="27">
        <v>3565</v>
      </c>
      <c r="AG999" s="28"/>
      <c r="AH999" s="28"/>
      <c r="AI999" s="17">
        <v>2009</v>
      </c>
      <c r="AJ999" s="17">
        <v>1</v>
      </c>
      <c r="AK999" s="17">
        <v>0</v>
      </c>
      <c r="AN999" s="21"/>
      <c r="AT999" s="21"/>
    </row>
    <row r="1000" spans="1:46" ht="15.75" customHeight="1">
      <c r="A1000" s="29" t="s">
        <v>1160</v>
      </c>
      <c r="B1000" s="19" t="s">
        <v>1139</v>
      </c>
      <c r="C1000" s="17">
        <v>119</v>
      </c>
      <c r="D1000" s="20" t="s">
        <v>196</v>
      </c>
      <c r="E1000" s="19">
        <v>0</v>
      </c>
      <c r="F1000" s="33" t="s">
        <v>1140</v>
      </c>
      <c r="G1000" s="33" t="s">
        <v>1141</v>
      </c>
      <c r="H1000" s="33" t="s">
        <v>1142</v>
      </c>
      <c r="I1000" s="17" t="b">
        <v>0</v>
      </c>
      <c r="J1000" s="17" t="s">
        <v>43</v>
      </c>
      <c r="K1000" s="21" t="str">
        <f t="shared" si="25"/>
        <v>https://version2.ice-d.org/antarctica/sample/B2016-HAR-7/</v>
      </c>
      <c r="L1000" s="29" t="s">
        <v>39</v>
      </c>
      <c r="M1000" s="155"/>
      <c r="O1000" s="17" t="s">
        <v>1143</v>
      </c>
      <c r="P1000" s="22">
        <v>-84.061000000000007</v>
      </c>
      <c r="Q1000" s="22">
        <v>-57.19182</v>
      </c>
      <c r="R1000" s="22"/>
      <c r="S1000" s="22">
        <v>840</v>
      </c>
      <c r="T1000" s="22">
        <v>710</v>
      </c>
      <c r="U1000" s="23">
        <v>500</v>
      </c>
      <c r="V1000" s="8" t="s">
        <v>1942</v>
      </c>
      <c r="W1000" s="148" t="s">
        <v>2439</v>
      </c>
      <c r="X1000" s="22">
        <f t="shared" si="26"/>
        <v>130</v>
      </c>
      <c r="Y1000" s="22">
        <v>3.5</v>
      </c>
      <c r="Z1000" s="22">
        <v>2.7</v>
      </c>
      <c r="AA1000" s="17" t="s">
        <v>73</v>
      </c>
      <c r="AB1000" s="26">
        <v>7231</v>
      </c>
      <c r="AC1000" s="26">
        <v>264</v>
      </c>
      <c r="AD1000" s="26">
        <v>502</v>
      </c>
      <c r="AE1000" s="27">
        <v>87320</v>
      </c>
      <c r="AF1000" s="27">
        <v>3181</v>
      </c>
      <c r="AG1000" s="27">
        <v>652100</v>
      </c>
      <c r="AH1000" s="27">
        <v>46380</v>
      </c>
      <c r="AI1000" s="17">
        <v>2009</v>
      </c>
      <c r="AJ1000" s="17">
        <v>1</v>
      </c>
      <c r="AK1000" s="17">
        <v>0</v>
      </c>
      <c r="AN1000" s="21"/>
      <c r="AT1000" s="21"/>
    </row>
    <row r="1001" spans="1:46" ht="15.75" customHeight="1">
      <c r="A1001" s="29" t="s">
        <v>1160</v>
      </c>
      <c r="B1001" s="19" t="s">
        <v>1139</v>
      </c>
      <c r="C1001" s="17">
        <v>119</v>
      </c>
      <c r="D1001" s="20" t="s">
        <v>196</v>
      </c>
      <c r="E1001" s="19">
        <v>0</v>
      </c>
      <c r="F1001" s="33" t="s">
        <v>1140</v>
      </c>
      <c r="G1001" s="33" t="s">
        <v>1141</v>
      </c>
      <c r="H1001" s="33" t="s">
        <v>1142</v>
      </c>
      <c r="I1001" s="17" t="b">
        <v>0</v>
      </c>
      <c r="J1001" s="17" t="s">
        <v>64</v>
      </c>
      <c r="K1001" s="21" t="str">
        <f t="shared" si="25"/>
        <v>https://version2.ice-d.org/antarctica/sample/B2016-HAR-7/</v>
      </c>
      <c r="L1001" s="29" t="s">
        <v>39</v>
      </c>
      <c r="M1001" s="155"/>
      <c r="O1001" s="17" t="s">
        <v>1143</v>
      </c>
      <c r="P1001" s="22">
        <v>-84.061000000000007</v>
      </c>
      <c r="Q1001" s="22">
        <v>-57.19182</v>
      </c>
      <c r="R1001" s="22"/>
      <c r="S1001" s="22">
        <v>840</v>
      </c>
      <c r="T1001" s="22">
        <v>710</v>
      </c>
      <c r="U1001" s="23">
        <v>500</v>
      </c>
      <c r="V1001" s="8" t="s">
        <v>1942</v>
      </c>
      <c r="W1001" s="148" t="s">
        <v>2439</v>
      </c>
      <c r="X1001" s="22">
        <f t="shared" si="26"/>
        <v>130</v>
      </c>
      <c r="Y1001" s="22">
        <v>3.5</v>
      </c>
      <c r="Z1001" s="22">
        <v>2.7</v>
      </c>
      <c r="AA1001" s="17" t="s">
        <v>73</v>
      </c>
      <c r="AB1001" s="26">
        <v>7614</v>
      </c>
      <c r="AC1001" s="26">
        <v>544</v>
      </c>
      <c r="AD1001" s="26">
        <v>853</v>
      </c>
      <c r="AE1001" s="27">
        <v>87320</v>
      </c>
      <c r="AF1001" s="27">
        <v>3181</v>
      </c>
      <c r="AG1001" s="27">
        <v>652100</v>
      </c>
      <c r="AH1001" s="27">
        <v>46380</v>
      </c>
      <c r="AI1001" s="17">
        <v>2009</v>
      </c>
      <c r="AJ1001" s="17">
        <v>1</v>
      </c>
      <c r="AK1001" s="17">
        <v>0</v>
      </c>
      <c r="AN1001" s="21"/>
      <c r="AT1001" s="21"/>
    </row>
    <row r="1002" spans="1:46" ht="15.75" customHeight="1">
      <c r="A1002" s="29" t="s">
        <v>1161</v>
      </c>
      <c r="B1002" s="19" t="s">
        <v>1139</v>
      </c>
      <c r="C1002" s="17">
        <v>119</v>
      </c>
      <c r="D1002" s="20" t="s">
        <v>196</v>
      </c>
      <c r="E1002" s="19">
        <v>0</v>
      </c>
      <c r="F1002" s="33" t="s">
        <v>1140</v>
      </c>
      <c r="G1002" s="33" t="s">
        <v>1141</v>
      </c>
      <c r="H1002" s="33" t="s">
        <v>1142</v>
      </c>
      <c r="I1002" s="17" t="b">
        <v>0</v>
      </c>
      <c r="J1002" s="17" t="s">
        <v>43</v>
      </c>
      <c r="K1002" s="21" t="str">
        <f t="shared" si="25"/>
        <v>https://version2.ice-d.org/antarctica/sample/B2016-HAR-8/</v>
      </c>
      <c r="L1002" s="29" t="s">
        <v>39</v>
      </c>
      <c r="M1002" s="155"/>
      <c r="O1002" s="17" t="s">
        <v>1143</v>
      </c>
      <c r="P1002" s="22">
        <v>-84.057720000000003</v>
      </c>
      <c r="Q1002" s="22">
        <v>-57.197249999999997</v>
      </c>
      <c r="R1002" s="22"/>
      <c r="S1002" s="22">
        <v>782</v>
      </c>
      <c r="T1002" s="22">
        <v>710</v>
      </c>
      <c r="U1002" s="23">
        <v>500</v>
      </c>
      <c r="V1002" s="8" t="s">
        <v>1942</v>
      </c>
      <c r="W1002" s="148" t="s">
        <v>2439</v>
      </c>
      <c r="X1002" s="22">
        <f t="shared" si="26"/>
        <v>72</v>
      </c>
      <c r="Y1002" s="22">
        <v>6</v>
      </c>
      <c r="Z1002" s="22">
        <v>2.7</v>
      </c>
      <c r="AA1002" s="17" t="s">
        <v>73</v>
      </c>
      <c r="AB1002" s="26">
        <v>4942</v>
      </c>
      <c r="AC1002" s="26">
        <v>203</v>
      </c>
      <c r="AD1002" s="26">
        <v>355</v>
      </c>
      <c r="AE1002" s="27">
        <v>55140</v>
      </c>
      <c r="AF1002" s="27">
        <v>2260</v>
      </c>
      <c r="AG1002" s="28"/>
      <c r="AH1002" s="28"/>
      <c r="AI1002" s="17">
        <v>2009</v>
      </c>
      <c r="AJ1002" s="17">
        <v>1</v>
      </c>
      <c r="AK1002" s="17">
        <v>0</v>
      </c>
      <c r="AN1002" s="21"/>
      <c r="AT1002" s="21"/>
    </row>
    <row r="1003" spans="1:46" ht="15.75" customHeight="1">
      <c r="A1003" s="30" t="s">
        <v>1162</v>
      </c>
      <c r="B1003" s="19" t="s">
        <v>1163</v>
      </c>
      <c r="C1003" s="17">
        <v>120</v>
      </c>
      <c r="D1003" s="20" t="s">
        <v>196</v>
      </c>
      <c r="E1003" s="19">
        <v>0</v>
      </c>
      <c r="F1003" s="33" t="s">
        <v>1140</v>
      </c>
      <c r="G1003" s="33" t="s">
        <v>1141</v>
      </c>
      <c r="H1003" s="33" t="s">
        <v>1142</v>
      </c>
      <c r="I1003" s="17" t="b">
        <v>0</v>
      </c>
      <c r="J1003" s="17" t="s">
        <v>43</v>
      </c>
      <c r="K1003" s="21" t="str">
        <f t="shared" si="25"/>
        <v>https://version2.ice-d.org/antarctica/sample/B2016-THN-10/</v>
      </c>
      <c r="L1003" s="30" t="s">
        <v>39</v>
      </c>
      <c r="M1003" s="185" t="s">
        <v>44</v>
      </c>
      <c r="O1003" s="17" t="s">
        <v>1143</v>
      </c>
      <c r="P1003" s="22">
        <v>-84.294929999999994</v>
      </c>
      <c r="Q1003" s="22">
        <v>-64.261870000000002</v>
      </c>
      <c r="R1003" s="22"/>
      <c r="S1003" s="22">
        <v>515</v>
      </c>
      <c r="T1003" s="22">
        <v>390</v>
      </c>
      <c r="U1003" s="23">
        <v>500</v>
      </c>
      <c r="V1003" s="8" t="s">
        <v>1942</v>
      </c>
      <c r="W1003" s="148" t="s">
        <v>2439</v>
      </c>
      <c r="X1003" s="22">
        <f t="shared" si="26"/>
        <v>125</v>
      </c>
      <c r="Y1003" s="22">
        <v>4</v>
      </c>
      <c r="Z1003" s="22">
        <v>2.7</v>
      </c>
      <c r="AA1003" s="17" t="s">
        <v>73</v>
      </c>
      <c r="AB1003" s="26">
        <v>4288</v>
      </c>
      <c r="AC1003" s="26">
        <v>657</v>
      </c>
      <c r="AD1003" s="26">
        <v>704</v>
      </c>
      <c r="AE1003" s="27">
        <v>38010</v>
      </c>
      <c r="AF1003" s="27">
        <v>5815</v>
      </c>
      <c r="AG1003" s="27">
        <v>333700</v>
      </c>
      <c r="AH1003" s="27">
        <v>24040</v>
      </c>
      <c r="AI1003" s="17">
        <v>2009</v>
      </c>
      <c r="AJ1003" s="17">
        <v>1</v>
      </c>
      <c r="AK1003" s="17">
        <v>0</v>
      </c>
      <c r="AN1003" s="21"/>
      <c r="AT1003" s="21"/>
    </row>
    <row r="1004" spans="1:46" ht="15.75" customHeight="1">
      <c r="A1004" s="30" t="s">
        <v>1162</v>
      </c>
      <c r="B1004" s="19" t="s">
        <v>1163</v>
      </c>
      <c r="C1004" s="17">
        <v>120</v>
      </c>
      <c r="D1004" s="20" t="s">
        <v>196</v>
      </c>
      <c r="E1004" s="19">
        <v>0</v>
      </c>
      <c r="F1004" s="33" t="s">
        <v>1140</v>
      </c>
      <c r="G1004" s="33" t="s">
        <v>1141</v>
      </c>
      <c r="H1004" s="33" t="s">
        <v>1142</v>
      </c>
      <c r="I1004" s="17" t="b">
        <v>0</v>
      </c>
      <c r="J1004" s="17" t="s">
        <v>64</v>
      </c>
      <c r="K1004" s="21" t="str">
        <f t="shared" si="25"/>
        <v>https://version2.ice-d.org/antarctica/sample/B2016-THN-10/</v>
      </c>
      <c r="L1004" s="30" t="s">
        <v>39</v>
      </c>
      <c r="M1004" s="155"/>
      <c r="O1004" s="17" t="s">
        <v>1143</v>
      </c>
      <c r="P1004" s="22">
        <v>-84.294929999999994</v>
      </c>
      <c r="Q1004" s="22">
        <v>-64.261870000000002</v>
      </c>
      <c r="R1004" s="22"/>
      <c r="S1004" s="22">
        <v>515</v>
      </c>
      <c r="T1004" s="22">
        <v>390</v>
      </c>
      <c r="U1004" s="23">
        <v>500</v>
      </c>
      <c r="V1004" s="8" t="s">
        <v>1942</v>
      </c>
      <c r="W1004" s="148" t="s">
        <v>2439</v>
      </c>
      <c r="X1004" s="22">
        <f t="shared" si="26"/>
        <v>125</v>
      </c>
      <c r="Y1004" s="22">
        <v>4</v>
      </c>
      <c r="Z1004" s="22">
        <v>2.7</v>
      </c>
      <c r="AA1004" s="17" t="s">
        <v>73</v>
      </c>
      <c r="AB1004" s="26">
        <v>5332</v>
      </c>
      <c r="AC1004" s="26">
        <v>385</v>
      </c>
      <c r="AD1004" s="26">
        <v>600</v>
      </c>
      <c r="AE1004" s="27">
        <v>38010</v>
      </c>
      <c r="AF1004" s="27">
        <v>5815</v>
      </c>
      <c r="AG1004" s="27">
        <v>333700</v>
      </c>
      <c r="AH1004" s="27">
        <v>24040</v>
      </c>
      <c r="AI1004" s="17">
        <v>2009</v>
      </c>
      <c r="AJ1004" s="17">
        <v>1</v>
      </c>
      <c r="AK1004" s="17">
        <v>0</v>
      </c>
      <c r="AN1004" s="21"/>
      <c r="AT1004" s="21"/>
    </row>
    <row r="1005" spans="1:46" ht="17.25" customHeight="1">
      <c r="A1005" s="31" t="s">
        <v>1164</v>
      </c>
      <c r="B1005" s="19" t="s">
        <v>1165</v>
      </c>
      <c r="C1005" s="17">
        <v>121</v>
      </c>
      <c r="D1005" s="20" t="s">
        <v>196</v>
      </c>
      <c r="E1005" s="19">
        <v>5000</v>
      </c>
      <c r="F1005" s="33" t="s">
        <v>1140</v>
      </c>
      <c r="G1005" s="33" t="s">
        <v>1141</v>
      </c>
      <c r="H1005" s="33" t="s">
        <v>1142</v>
      </c>
      <c r="I1005" s="17" t="b">
        <v>0</v>
      </c>
      <c r="J1005" s="17" t="s">
        <v>64</v>
      </c>
      <c r="K1005" s="21" t="str">
        <f t="shared" si="25"/>
        <v>https://version2.ice-d.org/antarctica/sample/B2016-WIL-13/</v>
      </c>
      <c r="L1005" s="31" t="s">
        <v>154</v>
      </c>
      <c r="M1005" s="170" t="s">
        <v>44</v>
      </c>
      <c r="O1005" s="17" t="s">
        <v>1143</v>
      </c>
      <c r="P1005" s="22">
        <v>-83.638069999999999</v>
      </c>
      <c r="Q1005" s="22">
        <v>-58.995849999999997</v>
      </c>
      <c r="R1005" s="22"/>
      <c r="S1005" s="22">
        <v>529</v>
      </c>
      <c r="T1005" s="22">
        <v>400</v>
      </c>
      <c r="U1005" s="23">
        <v>500</v>
      </c>
      <c r="V1005" s="8" t="s">
        <v>1942</v>
      </c>
      <c r="W1005" s="148" t="s">
        <v>2439</v>
      </c>
      <c r="X1005" s="22">
        <f t="shared" si="26"/>
        <v>129</v>
      </c>
      <c r="Y1005" s="22">
        <v>3.5</v>
      </c>
      <c r="Z1005" s="22">
        <v>2.7</v>
      </c>
      <c r="AA1005" s="17" t="s">
        <v>73</v>
      </c>
      <c r="AB1005" s="26">
        <v>4981</v>
      </c>
      <c r="AC1005" s="26">
        <v>375</v>
      </c>
      <c r="AD1005" s="26">
        <v>570</v>
      </c>
      <c r="AE1005" s="27">
        <v>47620</v>
      </c>
      <c r="AF1005" s="27">
        <v>2038</v>
      </c>
      <c r="AG1005" s="27">
        <v>317800</v>
      </c>
      <c r="AH1005" s="27">
        <v>23890</v>
      </c>
      <c r="AI1005" s="17">
        <v>2009</v>
      </c>
      <c r="AJ1005" s="17">
        <v>1</v>
      </c>
      <c r="AK1005" s="17">
        <v>0</v>
      </c>
      <c r="AN1005" s="21"/>
      <c r="AT1005" s="21"/>
    </row>
    <row r="1006" spans="1:46" ht="15.75" customHeight="1">
      <c r="A1006" s="31" t="s">
        <v>1164</v>
      </c>
      <c r="B1006" s="19" t="s">
        <v>1165</v>
      </c>
      <c r="C1006" s="17">
        <v>121</v>
      </c>
      <c r="D1006" s="20" t="s">
        <v>196</v>
      </c>
      <c r="E1006" s="19">
        <v>5000</v>
      </c>
      <c r="F1006" s="33" t="s">
        <v>1140</v>
      </c>
      <c r="G1006" s="33" t="s">
        <v>1141</v>
      </c>
      <c r="H1006" s="33" t="s">
        <v>1142</v>
      </c>
      <c r="I1006" s="17" t="b">
        <v>0</v>
      </c>
      <c r="J1006" s="17" t="s">
        <v>43</v>
      </c>
      <c r="K1006" s="21" t="str">
        <f t="shared" si="25"/>
        <v>https://version2.ice-d.org/antarctica/sample/B2016-WIL-13/</v>
      </c>
      <c r="L1006" s="31" t="s">
        <v>154</v>
      </c>
      <c r="M1006" s="155"/>
      <c r="O1006" s="17" t="s">
        <v>1143</v>
      </c>
      <c r="P1006" s="22">
        <v>-83.638069999999999</v>
      </c>
      <c r="Q1006" s="22">
        <v>-58.995849999999997</v>
      </c>
      <c r="R1006" s="22"/>
      <c r="S1006" s="22">
        <v>529</v>
      </c>
      <c r="T1006" s="22">
        <v>400</v>
      </c>
      <c r="U1006" s="23">
        <v>500</v>
      </c>
      <c r="V1006" s="8" t="s">
        <v>1942</v>
      </c>
      <c r="W1006" s="148" t="s">
        <v>2439</v>
      </c>
      <c r="X1006" s="22">
        <f t="shared" si="26"/>
        <v>129</v>
      </c>
      <c r="Y1006" s="22">
        <v>3.5</v>
      </c>
      <c r="Z1006" s="22">
        <v>2.7</v>
      </c>
      <c r="AA1006" s="17" t="s">
        <v>73</v>
      </c>
      <c r="AB1006" s="26">
        <v>5300</v>
      </c>
      <c r="AC1006" s="26">
        <v>227</v>
      </c>
      <c r="AD1006" s="26">
        <v>387</v>
      </c>
      <c r="AE1006" s="27">
        <v>47620</v>
      </c>
      <c r="AF1006" s="27">
        <v>2038</v>
      </c>
      <c r="AG1006" s="27">
        <v>317800</v>
      </c>
      <c r="AH1006" s="27">
        <v>23890</v>
      </c>
      <c r="AI1006" s="17">
        <v>2009</v>
      </c>
      <c r="AJ1006" s="17">
        <v>1</v>
      </c>
      <c r="AK1006" s="17">
        <v>0</v>
      </c>
      <c r="AN1006" s="21"/>
      <c r="AT1006" s="21"/>
    </row>
    <row r="1007" spans="1:46" ht="15.75" customHeight="1">
      <c r="A1007" s="31" t="s">
        <v>1166</v>
      </c>
      <c r="B1007" s="19" t="s">
        <v>1165</v>
      </c>
      <c r="C1007" s="17">
        <v>121</v>
      </c>
      <c r="D1007" s="20" t="s">
        <v>196</v>
      </c>
      <c r="E1007" s="19">
        <v>5000</v>
      </c>
      <c r="F1007" s="33" t="s">
        <v>1140</v>
      </c>
      <c r="G1007" s="33" t="s">
        <v>1141</v>
      </c>
      <c r="H1007" s="33" t="s">
        <v>1142</v>
      </c>
      <c r="I1007" s="17" t="b">
        <v>0</v>
      </c>
      <c r="J1007" s="17" t="s">
        <v>43</v>
      </c>
      <c r="K1007" s="21" t="str">
        <f t="shared" si="25"/>
        <v>https://version2.ice-d.org/antarctica/sample/B2016-WIL-15/</v>
      </c>
      <c r="L1007" s="31" t="s">
        <v>154</v>
      </c>
      <c r="M1007" s="155"/>
      <c r="O1007" s="17" t="s">
        <v>1143</v>
      </c>
      <c r="P1007" s="22">
        <v>-83.636150000000001</v>
      </c>
      <c r="Q1007" s="22">
        <v>-59.008119999999998</v>
      </c>
      <c r="R1007" s="22"/>
      <c r="S1007" s="22">
        <v>500</v>
      </c>
      <c r="T1007" s="22">
        <v>400</v>
      </c>
      <c r="U1007" s="23">
        <v>500</v>
      </c>
      <c r="V1007" s="8" t="s">
        <v>1942</v>
      </c>
      <c r="W1007" s="148" t="s">
        <v>2439</v>
      </c>
      <c r="X1007" s="22">
        <f t="shared" si="26"/>
        <v>100</v>
      </c>
      <c r="Y1007" s="22">
        <v>3.5</v>
      </c>
      <c r="Z1007" s="22">
        <v>2.7</v>
      </c>
      <c r="AA1007" s="17" t="s">
        <v>73</v>
      </c>
      <c r="AB1007" s="26">
        <v>6611</v>
      </c>
      <c r="AC1007" s="26">
        <v>395</v>
      </c>
      <c r="AD1007" s="26">
        <v>556</v>
      </c>
      <c r="AE1007" s="27">
        <v>57940</v>
      </c>
      <c r="AF1007" s="27">
        <v>3458</v>
      </c>
      <c r="AG1007" s="28"/>
      <c r="AH1007" s="28"/>
      <c r="AI1007" s="17">
        <v>2009</v>
      </c>
      <c r="AJ1007" s="17">
        <v>1</v>
      </c>
      <c r="AK1007" s="17">
        <v>0</v>
      </c>
      <c r="AN1007" s="21"/>
      <c r="AT1007" s="21"/>
    </row>
    <row r="1008" spans="1:46" ht="15.75" customHeight="1">
      <c r="A1008" s="31" t="s">
        <v>1167</v>
      </c>
      <c r="B1008" s="19" t="s">
        <v>1165</v>
      </c>
      <c r="C1008" s="17">
        <v>121</v>
      </c>
      <c r="D1008" s="20" t="s">
        <v>196</v>
      </c>
      <c r="E1008" s="19">
        <v>5000</v>
      </c>
      <c r="F1008" s="33" t="s">
        <v>1140</v>
      </c>
      <c r="G1008" s="33" t="s">
        <v>1141</v>
      </c>
      <c r="H1008" s="33" t="s">
        <v>1142</v>
      </c>
      <c r="I1008" s="17" t="b">
        <v>0</v>
      </c>
      <c r="J1008" s="17" t="s">
        <v>43</v>
      </c>
      <c r="K1008" s="21" t="str">
        <f t="shared" si="25"/>
        <v>https://version2.ice-d.org/antarctica/sample/B2016-WIL-17/</v>
      </c>
      <c r="L1008" s="31" t="s">
        <v>154</v>
      </c>
      <c r="M1008" s="155"/>
      <c r="O1008" s="17" t="s">
        <v>1143</v>
      </c>
      <c r="P1008" s="22">
        <v>-83.628349999999998</v>
      </c>
      <c r="Q1008" s="22">
        <v>-59.104149999999997</v>
      </c>
      <c r="R1008" s="22"/>
      <c r="S1008" s="22">
        <v>442</v>
      </c>
      <c r="T1008" s="22">
        <v>400</v>
      </c>
      <c r="U1008" s="23">
        <v>500</v>
      </c>
      <c r="V1008" s="8" t="s">
        <v>1942</v>
      </c>
      <c r="W1008" s="148" t="s">
        <v>2439</v>
      </c>
      <c r="X1008" s="22">
        <f t="shared" si="26"/>
        <v>42</v>
      </c>
      <c r="Y1008" s="22">
        <v>3</v>
      </c>
      <c r="Z1008" s="22">
        <v>2.7</v>
      </c>
      <c r="AA1008" s="17" t="s">
        <v>73</v>
      </c>
      <c r="AB1008" s="26">
        <v>4914</v>
      </c>
      <c r="AC1008" s="26">
        <v>325</v>
      </c>
      <c r="AD1008" s="26">
        <v>436</v>
      </c>
      <c r="AE1008" s="27">
        <v>40850</v>
      </c>
      <c r="AF1008" s="27">
        <v>2701</v>
      </c>
      <c r="AG1008" s="28"/>
      <c r="AH1008" s="28"/>
      <c r="AI1008" s="17">
        <v>2009</v>
      </c>
      <c r="AJ1008" s="17">
        <v>1</v>
      </c>
      <c r="AK1008" s="17">
        <v>0</v>
      </c>
      <c r="AN1008" s="21"/>
      <c r="AT1008" s="21"/>
    </row>
    <row r="1009" spans="1:46" ht="15.75" customHeight="1">
      <c r="A1009" s="31" t="s">
        <v>1168</v>
      </c>
      <c r="B1009" s="19" t="s">
        <v>1165</v>
      </c>
      <c r="C1009" s="17">
        <v>121</v>
      </c>
      <c r="D1009" s="20" t="s">
        <v>196</v>
      </c>
      <c r="E1009" s="19">
        <v>5000</v>
      </c>
      <c r="F1009" s="33" t="s">
        <v>1140</v>
      </c>
      <c r="G1009" s="33" t="s">
        <v>1141</v>
      </c>
      <c r="H1009" s="33" t="s">
        <v>1142</v>
      </c>
      <c r="I1009" s="17" t="b">
        <v>0</v>
      </c>
      <c r="J1009" s="17" t="s">
        <v>43</v>
      </c>
      <c r="K1009" s="21" t="str">
        <f t="shared" si="25"/>
        <v>https://version2.ice-d.org/antarctica/sample/B2016-WIL-8/</v>
      </c>
      <c r="L1009" s="31" t="s">
        <v>154</v>
      </c>
      <c r="M1009" s="155"/>
      <c r="O1009" s="17" t="s">
        <v>1143</v>
      </c>
      <c r="P1009" s="22">
        <v>-83.642129999999995</v>
      </c>
      <c r="Q1009" s="22">
        <v>-58.951219999999999</v>
      </c>
      <c r="R1009" s="22"/>
      <c r="S1009" s="22">
        <v>572</v>
      </c>
      <c r="T1009" s="22">
        <v>400</v>
      </c>
      <c r="U1009" s="23">
        <v>500</v>
      </c>
      <c r="V1009" s="8" t="s">
        <v>1942</v>
      </c>
      <c r="W1009" s="148" t="s">
        <v>2439</v>
      </c>
      <c r="X1009" s="22">
        <f t="shared" si="26"/>
        <v>172</v>
      </c>
      <c r="Y1009" s="22">
        <v>4.5</v>
      </c>
      <c r="Z1009" s="22">
        <v>2.7</v>
      </c>
      <c r="AA1009" s="17" t="s">
        <v>73</v>
      </c>
      <c r="AB1009" s="26">
        <v>5854</v>
      </c>
      <c r="AC1009" s="26">
        <v>301</v>
      </c>
      <c r="AD1009" s="26">
        <v>458</v>
      </c>
      <c r="AE1009" s="27">
        <v>54400</v>
      </c>
      <c r="AF1009" s="27">
        <v>2792</v>
      </c>
      <c r="AG1009" s="28"/>
      <c r="AH1009" s="28"/>
      <c r="AI1009" s="17">
        <v>2009</v>
      </c>
      <c r="AJ1009" s="17">
        <v>1</v>
      </c>
      <c r="AK1009" s="17">
        <v>0</v>
      </c>
      <c r="AN1009" s="21"/>
      <c r="AT1009" s="21"/>
    </row>
    <row r="1010" spans="1:46" ht="15.75" customHeight="1">
      <c r="A1010" s="31" t="s">
        <v>1169</v>
      </c>
      <c r="B1010" s="19" t="s">
        <v>1165</v>
      </c>
      <c r="C1010" s="17">
        <v>122</v>
      </c>
      <c r="D1010" s="20" t="s">
        <v>196</v>
      </c>
      <c r="E1010" s="19">
        <v>5000</v>
      </c>
      <c r="F1010" s="33" t="s">
        <v>1140</v>
      </c>
      <c r="G1010" s="33" t="s">
        <v>1141</v>
      </c>
      <c r="H1010" s="33" t="s">
        <v>1142</v>
      </c>
      <c r="I1010" s="17" t="b">
        <v>0</v>
      </c>
      <c r="J1010" s="17" t="s">
        <v>43</v>
      </c>
      <c r="K1010" s="21" t="str">
        <f t="shared" si="25"/>
        <v>https://version2.ice-d.org/antarctica/sample/B2016-WIL-26/</v>
      </c>
      <c r="L1010" s="31" t="s">
        <v>154</v>
      </c>
      <c r="M1010" s="155"/>
      <c r="O1010" s="17" t="s">
        <v>1143</v>
      </c>
      <c r="P1010" s="22">
        <v>-83.746480000000005</v>
      </c>
      <c r="Q1010" s="22">
        <v>-58.802230000000002</v>
      </c>
      <c r="R1010" s="22"/>
      <c r="S1010" s="22">
        <v>1055</v>
      </c>
      <c r="T1010" s="22">
        <v>600</v>
      </c>
      <c r="U1010" s="23">
        <v>500</v>
      </c>
      <c r="V1010" s="8" t="s">
        <v>1942</v>
      </c>
      <c r="W1010" s="148" t="s">
        <v>2439</v>
      </c>
      <c r="X1010" s="22">
        <f t="shared" si="26"/>
        <v>455</v>
      </c>
      <c r="Y1010" s="22">
        <v>4</v>
      </c>
      <c r="Z1010" s="22">
        <v>2.7</v>
      </c>
      <c r="AA1010" s="17" t="s">
        <v>73</v>
      </c>
      <c r="AB1010" s="26">
        <v>8292</v>
      </c>
      <c r="AC1010" s="26">
        <v>349</v>
      </c>
      <c r="AD1010" s="26">
        <v>602</v>
      </c>
      <c r="AE1010" s="27">
        <v>121700</v>
      </c>
      <c r="AF1010" s="27">
        <v>5115</v>
      </c>
      <c r="AG1010" s="28"/>
      <c r="AH1010" s="28"/>
      <c r="AI1010" s="17">
        <v>2009</v>
      </c>
      <c r="AJ1010" s="17">
        <v>1</v>
      </c>
      <c r="AK1010" s="17">
        <v>0</v>
      </c>
      <c r="AN1010" s="21"/>
      <c r="AT1010" s="21"/>
    </row>
    <row r="1011" spans="1:46" ht="12.75" customHeight="1">
      <c r="A1011" s="31" t="s">
        <v>1170</v>
      </c>
      <c r="B1011" s="19" t="s">
        <v>1165</v>
      </c>
      <c r="C1011" s="17">
        <v>122</v>
      </c>
      <c r="D1011" s="20" t="s">
        <v>196</v>
      </c>
      <c r="E1011" s="19">
        <v>5000</v>
      </c>
      <c r="F1011" s="33" t="s">
        <v>1140</v>
      </c>
      <c r="G1011" s="33" t="s">
        <v>1141</v>
      </c>
      <c r="H1011" s="33" t="s">
        <v>1142</v>
      </c>
      <c r="I1011" s="17" t="b">
        <v>0</v>
      </c>
      <c r="J1011" s="17" t="s">
        <v>43</v>
      </c>
      <c r="K1011" s="21" t="str">
        <f t="shared" si="25"/>
        <v>https://version2.ice-d.org/antarctica/sample/B2016-WIL-28/</v>
      </c>
      <c r="L1011" s="31" t="s">
        <v>154</v>
      </c>
      <c r="M1011" s="155"/>
      <c r="O1011" s="17" t="s">
        <v>1143</v>
      </c>
      <c r="P1011" s="22">
        <v>-83.741219999999998</v>
      </c>
      <c r="Q1011" s="22">
        <v>-59.076099999999997</v>
      </c>
      <c r="R1011" s="22"/>
      <c r="S1011" s="22">
        <v>621</v>
      </c>
      <c r="T1011" s="22">
        <v>500</v>
      </c>
      <c r="U1011" s="23">
        <v>500</v>
      </c>
      <c r="V1011" s="8" t="s">
        <v>1942</v>
      </c>
      <c r="W1011" s="148" t="s">
        <v>2439</v>
      </c>
      <c r="X1011" s="22">
        <f t="shared" si="26"/>
        <v>121</v>
      </c>
      <c r="Y1011" s="22">
        <v>3.5</v>
      </c>
      <c r="Z1011" s="22">
        <v>2.7</v>
      </c>
      <c r="AA1011" s="17" t="s">
        <v>73</v>
      </c>
      <c r="AB1011" s="26">
        <v>5507</v>
      </c>
      <c r="AC1011" s="26">
        <v>315</v>
      </c>
      <c r="AD1011" s="26">
        <v>453</v>
      </c>
      <c r="AE1011" s="27">
        <v>53960</v>
      </c>
      <c r="AF1011" s="27">
        <v>3079</v>
      </c>
      <c r="AG1011" s="28"/>
      <c r="AH1011" s="28"/>
      <c r="AI1011" s="17">
        <v>2009</v>
      </c>
      <c r="AJ1011" s="17">
        <v>1</v>
      </c>
      <c r="AK1011" s="17">
        <v>0</v>
      </c>
    </row>
    <row r="1012" spans="1:46" ht="12.75" customHeight="1">
      <c r="A1012" s="31" t="s">
        <v>1171</v>
      </c>
      <c r="B1012" s="19" t="s">
        <v>1165</v>
      </c>
      <c r="C1012" s="17">
        <v>122</v>
      </c>
      <c r="D1012" s="20" t="s">
        <v>196</v>
      </c>
      <c r="E1012" s="19">
        <v>5000</v>
      </c>
      <c r="F1012" s="33" t="s">
        <v>1140</v>
      </c>
      <c r="G1012" s="33" t="s">
        <v>1141</v>
      </c>
      <c r="H1012" s="33" t="s">
        <v>1142</v>
      </c>
      <c r="I1012" s="17" t="b">
        <v>0</v>
      </c>
      <c r="J1012" s="17" t="s">
        <v>43</v>
      </c>
      <c r="K1012" s="21" t="str">
        <f t="shared" si="25"/>
        <v>https://version2.ice-d.org/antarctica/sample/B2016-WIL-32/</v>
      </c>
      <c r="L1012" s="31" t="s">
        <v>154</v>
      </c>
      <c r="M1012" s="155"/>
      <c r="O1012" s="17" t="s">
        <v>1143</v>
      </c>
      <c r="P1012" s="22">
        <v>-83.748270000000005</v>
      </c>
      <c r="Q1012" s="22">
        <v>-59.045529999999999</v>
      </c>
      <c r="R1012" s="22"/>
      <c r="S1012" s="22">
        <v>796</v>
      </c>
      <c r="T1012" s="22">
        <v>500</v>
      </c>
      <c r="U1012" s="23">
        <v>500</v>
      </c>
      <c r="V1012" s="8" t="s">
        <v>1942</v>
      </c>
      <c r="W1012" s="148" t="s">
        <v>2439</v>
      </c>
      <c r="X1012" s="22">
        <f t="shared" si="26"/>
        <v>296</v>
      </c>
      <c r="Y1012" s="22">
        <v>3.5</v>
      </c>
      <c r="Z1012" s="22">
        <v>2.7</v>
      </c>
      <c r="AA1012" s="17" t="s">
        <v>73</v>
      </c>
      <c r="AB1012" s="26">
        <v>7577</v>
      </c>
      <c r="AC1012" s="26">
        <v>329</v>
      </c>
      <c r="AD1012" s="26">
        <v>556</v>
      </c>
      <c r="AE1012" s="27">
        <v>88210</v>
      </c>
      <c r="AF1012" s="27">
        <v>3818</v>
      </c>
      <c r="AG1012" s="28"/>
      <c r="AH1012" s="28"/>
      <c r="AI1012" s="17">
        <v>2009</v>
      </c>
      <c r="AJ1012" s="17">
        <v>1</v>
      </c>
      <c r="AK1012" s="17">
        <v>0</v>
      </c>
    </row>
    <row r="1013" spans="1:46" ht="12.75" customHeight="1">
      <c r="A1013" s="31" t="s">
        <v>1172</v>
      </c>
      <c r="B1013" s="19" t="s">
        <v>1165</v>
      </c>
      <c r="C1013" s="17">
        <v>122</v>
      </c>
      <c r="D1013" s="20" t="s">
        <v>196</v>
      </c>
      <c r="E1013" s="19">
        <v>5000</v>
      </c>
      <c r="F1013" s="33" t="s">
        <v>1140</v>
      </c>
      <c r="G1013" s="33" t="s">
        <v>1141</v>
      </c>
      <c r="H1013" s="33" t="s">
        <v>1142</v>
      </c>
      <c r="I1013" s="17" t="b">
        <v>0</v>
      </c>
      <c r="J1013" s="17" t="s">
        <v>43</v>
      </c>
      <c r="K1013" s="21" t="str">
        <f t="shared" si="25"/>
        <v>https://version2.ice-d.org/antarctica/sample/B2016-WIL-33/</v>
      </c>
      <c r="L1013" s="31" t="s">
        <v>154</v>
      </c>
      <c r="M1013" s="155"/>
      <c r="O1013" s="17" t="s">
        <v>1143</v>
      </c>
      <c r="P1013" s="22">
        <v>-83.74803</v>
      </c>
      <c r="Q1013" s="22">
        <v>-59.044580000000003</v>
      </c>
      <c r="R1013" s="22"/>
      <c r="S1013" s="22">
        <v>795</v>
      </c>
      <c r="T1013" s="22">
        <v>500</v>
      </c>
      <c r="U1013" s="23">
        <v>500</v>
      </c>
      <c r="V1013" s="8" t="s">
        <v>1942</v>
      </c>
      <c r="W1013" s="148" t="s">
        <v>2439</v>
      </c>
      <c r="X1013" s="22">
        <f t="shared" si="26"/>
        <v>295</v>
      </c>
      <c r="Y1013" s="22">
        <v>5</v>
      </c>
      <c r="Z1013" s="22">
        <v>2.7</v>
      </c>
      <c r="AA1013" s="17" t="s">
        <v>73</v>
      </c>
      <c r="AB1013" s="26">
        <v>6562</v>
      </c>
      <c r="AC1013" s="26">
        <v>336</v>
      </c>
      <c r="AD1013" s="26">
        <v>513</v>
      </c>
      <c r="AE1013" s="27">
        <v>74890</v>
      </c>
      <c r="AF1013" s="27">
        <v>3831</v>
      </c>
      <c r="AG1013" s="28"/>
      <c r="AH1013" s="28"/>
      <c r="AI1013" s="17">
        <v>2009</v>
      </c>
      <c r="AJ1013" s="17">
        <v>1</v>
      </c>
      <c r="AK1013" s="17">
        <v>0</v>
      </c>
    </row>
    <row r="1014" spans="1:46" ht="12.75" customHeight="1">
      <c r="A1014" s="31" t="s">
        <v>1173</v>
      </c>
      <c r="B1014" s="19" t="s">
        <v>1165</v>
      </c>
      <c r="C1014" s="17">
        <v>123</v>
      </c>
      <c r="D1014" s="20" t="s">
        <v>196</v>
      </c>
      <c r="E1014" s="19">
        <v>5000</v>
      </c>
      <c r="F1014" s="33" t="s">
        <v>1140</v>
      </c>
      <c r="G1014" s="33" t="s">
        <v>1141</v>
      </c>
      <c r="H1014" s="33" t="s">
        <v>1142</v>
      </c>
      <c r="I1014" s="17" t="b">
        <v>0</v>
      </c>
      <c r="J1014" s="17" t="s">
        <v>43</v>
      </c>
      <c r="K1014" s="21" t="str">
        <f t="shared" si="25"/>
        <v>https://version2.ice-d.org/antarctica/sample/B2016-WIL-1/</v>
      </c>
      <c r="L1014" s="31" t="s">
        <v>154</v>
      </c>
      <c r="M1014" s="155"/>
      <c r="O1014" s="17" t="s">
        <v>1143</v>
      </c>
      <c r="P1014" s="22">
        <v>-83.653919999999999</v>
      </c>
      <c r="Q1014" s="22">
        <v>-58.63597</v>
      </c>
      <c r="R1014" s="22"/>
      <c r="S1014" s="22">
        <v>689</v>
      </c>
      <c r="T1014" s="22">
        <v>550</v>
      </c>
      <c r="U1014" s="23">
        <v>500</v>
      </c>
      <c r="V1014" s="8" t="s">
        <v>1942</v>
      </c>
      <c r="W1014" s="148" t="s">
        <v>2439</v>
      </c>
      <c r="X1014" s="22">
        <f t="shared" si="26"/>
        <v>139</v>
      </c>
      <c r="Y1014" s="22">
        <v>3</v>
      </c>
      <c r="Z1014" s="22">
        <v>2.7</v>
      </c>
      <c r="AA1014" s="17" t="s">
        <v>73</v>
      </c>
      <c r="AB1014" s="26">
        <v>6222</v>
      </c>
      <c r="AC1014" s="26">
        <v>307</v>
      </c>
      <c r="AD1014" s="26">
        <v>479</v>
      </c>
      <c r="AE1014" s="27">
        <v>65360</v>
      </c>
      <c r="AF1014" s="27">
        <v>3219</v>
      </c>
      <c r="AG1014" s="28"/>
      <c r="AH1014" s="28"/>
      <c r="AI1014" s="17">
        <v>2009</v>
      </c>
      <c r="AJ1014" s="17">
        <v>1</v>
      </c>
      <c r="AK1014" s="17">
        <v>0</v>
      </c>
    </row>
    <row r="1015" spans="1:46" ht="12.75" customHeight="1">
      <c r="A1015" s="31" t="s">
        <v>1174</v>
      </c>
      <c r="B1015" s="19" t="s">
        <v>1165</v>
      </c>
      <c r="C1015" s="17">
        <v>123</v>
      </c>
      <c r="D1015" s="20" t="s">
        <v>196</v>
      </c>
      <c r="E1015" s="19">
        <v>5000</v>
      </c>
      <c r="F1015" s="33" t="s">
        <v>1140</v>
      </c>
      <c r="G1015" s="33" t="s">
        <v>1141</v>
      </c>
      <c r="H1015" s="33" t="s">
        <v>1142</v>
      </c>
      <c r="I1015" s="17" t="b">
        <v>0</v>
      </c>
      <c r="J1015" s="17" t="s">
        <v>43</v>
      </c>
      <c r="K1015" s="21" t="str">
        <f t="shared" si="25"/>
        <v>https://version2.ice-d.org/antarctica/sample/B2016-WIL-18/</v>
      </c>
      <c r="L1015" s="31" t="s">
        <v>154</v>
      </c>
      <c r="M1015" s="155"/>
      <c r="O1015" s="17" t="s">
        <v>1143</v>
      </c>
      <c r="P1015" s="22">
        <v>-83.673100000000005</v>
      </c>
      <c r="Q1015" s="22">
        <v>-58.643470000000001</v>
      </c>
      <c r="R1015" s="22"/>
      <c r="S1015" s="22">
        <v>861</v>
      </c>
      <c r="T1015" s="22">
        <v>575</v>
      </c>
      <c r="U1015" s="23">
        <v>500</v>
      </c>
      <c r="V1015" s="8" t="s">
        <v>1942</v>
      </c>
      <c r="W1015" s="148" t="s">
        <v>2439</v>
      </c>
      <c r="X1015" s="22">
        <f t="shared" si="26"/>
        <v>286</v>
      </c>
      <c r="Y1015" s="22">
        <v>4</v>
      </c>
      <c r="Z1015" s="22">
        <v>2.7</v>
      </c>
      <c r="AA1015" s="17" t="s">
        <v>73</v>
      </c>
      <c r="AB1015" s="26">
        <v>9885</v>
      </c>
      <c r="AC1015" s="26">
        <v>357</v>
      </c>
      <c r="AD1015" s="26">
        <v>685</v>
      </c>
      <c r="AE1015" s="27">
        <v>121400</v>
      </c>
      <c r="AF1015" s="27">
        <v>4375</v>
      </c>
      <c r="AG1015" s="28"/>
      <c r="AH1015" s="28"/>
      <c r="AI1015" s="17">
        <v>2009</v>
      </c>
      <c r="AJ1015" s="17">
        <v>1</v>
      </c>
      <c r="AK1015" s="17">
        <v>0</v>
      </c>
    </row>
    <row r="1016" spans="1:46" ht="12.75" customHeight="1">
      <c r="A1016" s="31" t="s">
        <v>1175</v>
      </c>
      <c r="B1016" s="19" t="s">
        <v>1165</v>
      </c>
      <c r="C1016" s="17">
        <v>123</v>
      </c>
      <c r="D1016" s="20" t="s">
        <v>196</v>
      </c>
      <c r="E1016" s="19">
        <v>5000</v>
      </c>
      <c r="F1016" s="33" t="s">
        <v>1140</v>
      </c>
      <c r="G1016" s="33" t="s">
        <v>1141</v>
      </c>
      <c r="H1016" s="33" t="s">
        <v>1142</v>
      </c>
      <c r="I1016" s="17" t="b">
        <v>0</v>
      </c>
      <c r="J1016" s="17" t="s">
        <v>43</v>
      </c>
      <c r="K1016" s="21" t="str">
        <f t="shared" si="25"/>
        <v>https://version2.ice-d.org/antarctica/sample/B2016-WIL-19/</v>
      </c>
      <c r="L1016" s="31" t="s">
        <v>154</v>
      </c>
      <c r="M1016" s="155"/>
      <c r="O1016" s="17" t="s">
        <v>1143</v>
      </c>
      <c r="P1016" s="22">
        <v>-83.672430000000006</v>
      </c>
      <c r="Q1016" s="22">
        <v>-58.66825</v>
      </c>
      <c r="R1016" s="22"/>
      <c r="S1016" s="22">
        <v>841</v>
      </c>
      <c r="T1016" s="22">
        <v>575</v>
      </c>
      <c r="U1016" s="23">
        <v>500</v>
      </c>
      <c r="V1016" s="8" t="s">
        <v>1942</v>
      </c>
      <c r="W1016" s="148" t="s">
        <v>2439</v>
      </c>
      <c r="X1016" s="22">
        <f t="shared" si="26"/>
        <v>266</v>
      </c>
      <c r="Y1016" s="22">
        <v>6</v>
      </c>
      <c r="Z1016" s="22">
        <v>2.7</v>
      </c>
      <c r="AA1016" s="17" t="s">
        <v>73</v>
      </c>
      <c r="AB1016" s="26">
        <v>6048</v>
      </c>
      <c r="AC1016" s="26">
        <v>355</v>
      </c>
      <c r="AD1016" s="26">
        <v>504</v>
      </c>
      <c r="AE1016" s="27">
        <v>71370</v>
      </c>
      <c r="AF1016" s="27">
        <v>4185</v>
      </c>
      <c r="AG1016" s="28"/>
      <c r="AH1016" s="28"/>
      <c r="AI1016" s="17">
        <v>2009</v>
      </c>
      <c r="AJ1016" s="17">
        <v>1</v>
      </c>
      <c r="AK1016" s="17">
        <v>0</v>
      </c>
    </row>
    <row r="1017" spans="1:46" ht="12.75" customHeight="1">
      <c r="A1017" s="31" t="s">
        <v>1176</v>
      </c>
      <c r="B1017" s="19" t="s">
        <v>1165</v>
      </c>
      <c r="C1017" s="17">
        <v>123</v>
      </c>
      <c r="D1017" s="20" t="s">
        <v>196</v>
      </c>
      <c r="E1017" s="19">
        <v>5000</v>
      </c>
      <c r="F1017" s="33" t="s">
        <v>1140</v>
      </c>
      <c r="G1017" s="33" t="s">
        <v>1141</v>
      </c>
      <c r="H1017" s="33" t="s">
        <v>1142</v>
      </c>
      <c r="I1017" s="17" t="b">
        <v>0</v>
      </c>
      <c r="J1017" s="17" t="s">
        <v>43</v>
      </c>
      <c r="K1017" s="21" t="str">
        <f t="shared" si="25"/>
        <v>https://version2.ice-d.org/antarctica/sample/B2016-WIL-20/</v>
      </c>
      <c r="L1017" s="31" t="s">
        <v>154</v>
      </c>
      <c r="M1017" s="155"/>
      <c r="O1017" s="17" t="s">
        <v>1143</v>
      </c>
      <c r="P1017" s="22">
        <v>-83.672330000000002</v>
      </c>
      <c r="Q1017" s="22">
        <v>-58.670650000000002</v>
      </c>
      <c r="R1017" s="22"/>
      <c r="S1017" s="22">
        <v>838</v>
      </c>
      <c r="T1017" s="22">
        <v>575</v>
      </c>
      <c r="U1017" s="23">
        <v>500</v>
      </c>
      <c r="V1017" s="8" t="s">
        <v>1942</v>
      </c>
      <c r="W1017" s="148" t="s">
        <v>2439</v>
      </c>
      <c r="X1017" s="22">
        <f t="shared" si="26"/>
        <v>263</v>
      </c>
      <c r="Y1017" s="22">
        <v>5</v>
      </c>
      <c r="Z1017" s="22">
        <v>2.7</v>
      </c>
      <c r="AA1017" s="17" t="s">
        <v>73</v>
      </c>
      <c r="AB1017" s="26">
        <v>7648</v>
      </c>
      <c r="AC1017" s="26">
        <v>317</v>
      </c>
      <c r="AD1017" s="26">
        <v>552</v>
      </c>
      <c r="AE1017" s="27">
        <v>91420</v>
      </c>
      <c r="AF1017" s="27">
        <v>3785</v>
      </c>
      <c r="AG1017" s="28"/>
      <c r="AH1017" s="28"/>
      <c r="AI1017" s="17">
        <v>2009</v>
      </c>
      <c r="AJ1017" s="17">
        <v>1</v>
      </c>
      <c r="AK1017" s="17">
        <v>0</v>
      </c>
    </row>
    <row r="1018" spans="1:46" ht="12.75" customHeight="1">
      <c r="A1018" s="31" t="s">
        <v>1177</v>
      </c>
      <c r="B1018" s="19" t="s">
        <v>1165</v>
      </c>
      <c r="C1018" s="17">
        <v>123</v>
      </c>
      <c r="D1018" s="20" t="s">
        <v>196</v>
      </c>
      <c r="E1018" s="19">
        <v>5000</v>
      </c>
      <c r="F1018" s="33" t="s">
        <v>1140</v>
      </c>
      <c r="G1018" s="33" t="s">
        <v>1141</v>
      </c>
      <c r="H1018" s="33" t="s">
        <v>1142</v>
      </c>
      <c r="I1018" s="17" t="b">
        <v>0</v>
      </c>
      <c r="J1018" s="17" t="s">
        <v>43</v>
      </c>
      <c r="K1018" s="21" t="str">
        <f t="shared" si="25"/>
        <v>https://version2.ice-d.org/antarctica/sample/B2016-WIL-21/</v>
      </c>
      <c r="L1018" s="31" t="s">
        <v>154</v>
      </c>
      <c r="M1018" s="155"/>
      <c r="O1018" s="17" t="s">
        <v>1143</v>
      </c>
      <c r="P1018" s="22">
        <v>-83.672229999999999</v>
      </c>
      <c r="Q1018" s="22">
        <v>-58.671869999999998</v>
      </c>
      <c r="R1018" s="22"/>
      <c r="S1018" s="22">
        <v>831</v>
      </c>
      <c r="T1018" s="22">
        <v>575</v>
      </c>
      <c r="U1018" s="23">
        <v>500</v>
      </c>
      <c r="V1018" s="8" t="s">
        <v>1942</v>
      </c>
      <c r="W1018" s="148" t="s">
        <v>2439</v>
      </c>
      <c r="X1018" s="22">
        <f t="shared" si="26"/>
        <v>256</v>
      </c>
      <c r="Y1018" s="22">
        <v>8</v>
      </c>
      <c r="Z1018" s="22">
        <v>2.7</v>
      </c>
      <c r="AA1018" s="17" t="s">
        <v>73</v>
      </c>
      <c r="AB1018" s="26">
        <v>9153</v>
      </c>
      <c r="AC1018" s="26">
        <v>431</v>
      </c>
      <c r="AD1018" s="26">
        <v>692</v>
      </c>
      <c r="AE1018" s="27">
        <v>105900</v>
      </c>
      <c r="AF1018" s="27">
        <v>4977</v>
      </c>
      <c r="AG1018" s="28"/>
      <c r="AH1018" s="28"/>
      <c r="AI1018" s="17">
        <v>2009</v>
      </c>
      <c r="AJ1018" s="17">
        <v>1</v>
      </c>
      <c r="AK1018" s="17">
        <v>0</v>
      </c>
    </row>
    <row r="1019" spans="1:46" ht="12.75" customHeight="1">
      <c r="A1019" s="31" t="s">
        <v>1178</v>
      </c>
      <c r="B1019" s="19" t="s">
        <v>1165</v>
      </c>
      <c r="C1019" s="17">
        <v>123</v>
      </c>
      <c r="D1019" s="20" t="s">
        <v>196</v>
      </c>
      <c r="E1019" s="19">
        <v>5000</v>
      </c>
      <c r="F1019" s="33" t="s">
        <v>1140</v>
      </c>
      <c r="G1019" s="33" t="s">
        <v>1141</v>
      </c>
      <c r="H1019" s="33" t="s">
        <v>1142</v>
      </c>
      <c r="I1019" s="17" t="b">
        <v>0</v>
      </c>
      <c r="J1019" s="17" t="s">
        <v>43</v>
      </c>
      <c r="K1019" s="21" t="str">
        <f t="shared" si="25"/>
        <v>https://version2.ice-d.org/antarctica/sample/B2016-WIL-3/</v>
      </c>
      <c r="L1019" s="31" t="s">
        <v>154</v>
      </c>
      <c r="M1019" s="155"/>
      <c r="O1019" s="17" t="s">
        <v>1143</v>
      </c>
      <c r="P1019" s="22">
        <v>-83.6524</v>
      </c>
      <c r="Q1019" s="22">
        <v>-58.631799999999998</v>
      </c>
      <c r="R1019" s="22"/>
      <c r="S1019" s="22">
        <v>722</v>
      </c>
      <c r="T1019" s="22">
        <v>550</v>
      </c>
      <c r="U1019" s="23">
        <v>500</v>
      </c>
      <c r="V1019" s="8" t="s">
        <v>1942</v>
      </c>
      <c r="W1019" s="148" t="s">
        <v>2439</v>
      </c>
      <c r="X1019" s="22">
        <f t="shared" si="26"/>
        <v>172</v>
      </c>
      <c r="Y1019" s="22">
        <v>3.5</v>
      </c>
      <c r="Z1019" s="22">
        <v>2.7</v>
      </c>
      <c r="AA1019" s="17" t="s">
        <v>73</v>
      </c>
      <c r="AB1019" s="26">
        <v>5582</v>
      </c>
      <c r="AC1019" s="26">
        <v>249</v>
      </c>
      <c r="AD1019" s="26">
        <v>413</v>
      </c>
      <c r="AE1019" s="27">
        <v>60070</v>
      </c>
      <c r="AF1019" s="27">
        <v>2679</v>
      </c>
      <c r="AG1019" s="28"/>
      <c r="AH1019" s="28"/>
      <c r="AI1019" s="17">
        <v>2009</v>
      </c>
      <c r="AJ1019" s="17">
        <v>1</v>
      </c>
      <c r="AK1019" s="17">
        <v>0</v>
      </c>
    </row>
    <row r="1020" spans="1:46" ht="12.75" customHeight="1">
      <c r="A1020" s="31" t="s">
        <v>1179</v>
      </c>
      <c r="B1020" s="19" t="s">
        <v>1165</v>
      </c>
      <c r="C1020" s="17">
        <v>123</v>
      </c>
      <c r="D1020" s="20" t="s">
        <v>196</v>
      </c>
      <c r="E1020" s="19">
        <v>5000</v>
      </c>
      <c r="F1020" s="33" t="s">
        <v>1140</v>
      </c>
      <c r="G1020" s="33" t="s">
        <v>1141</v>
      </c>
      <c r="H1020" s="33" t="s">
        <v>1142</v>
      </c>
      <c r="I1020" s="17" t="b">
        <v>0</v>
      </c>
      <c r="J1020" s="17" t="s">
        <v>43</v>
      </c>
      <c r="K1020" s="21" t="str">
        <f t="shared" si="25"/>
        <v>https://version2.ice-d.org/antarctica/sample/B2016-WIL-4/</v>
      </c>
      <c r="L1020" s="31" t="s">
        <v>154</v>
      </c>
      <c r="M1020" s="155"/>
      <c r="O1020" s="17" t="s">
        <v>1143</v>
      </c>
      <c r="P1020" s="22">
        <v>-83.651849999999996</v>
      </c>
      <c r="Q1020" s="22">
        <v>-58.633029999999998</v>
      </c>
      <c r="R1020" s="22"/>
      <c r="S1020" s="22">
        <v>743</v>
      </c>
      <c r="T1020" s="22">
        <v>550</v>
      </c>
      <c r="U1020" s="23">
        <v>500</v>
      </c>
      <c r="V1020" s="8" t="s">
        <v>1942</v>
      </c>
      <c r="W1020" s="148" t="s">
        <v>2439</v>
      </c>
      <c r="X1020" s="22">
        <f t="shared" si="26"/>
        <v>193</v>
      </c>
      <c r="Y1020" s="22">
        <v>4</v>
      </c>
      <c r="Z1020" s="22">
        <v>2.7</v>
      </c>
      <c r="AA1020" s="17" t="s">
        <v>73</v>
      </c>
      <c r="AB1020" s="26">
        <v>4737</v>
      </c>
      <c r="AC1020" s="26">
        <v>382</v>
      </c>
      <c r="AD1020" s="26">
        <v>474</v>
      </c>
      <c r="AE1020" s="27">
        <v>51800</v>
      </c>
      <c r="AF1020" s="27">
        <v>4176</v>
      </c>
      <c r="AG1020" s="28"/>
      <c r="AH1020" s="28"/>
      <c r="AI1020" s="17">
        <v>2009</v>
      </c>
      <c r="AJ1020" s="17">
        <v>1</v>
      </c>
      <c r="AK1020" s="17">
        <v>0</v>
      </c>
    </row>
    <row r="1021" spans="1:46" ht="12.75" customHeight="1">
      <c r="A1021" s="31" t="s">
        <v>1180</v>
      </c>
      <c r="B1021" s="19" t="s">
        <v>1165</v>
      </c>
      <c r="C1021" s="17">
        <v>123</v>
      </c>
      <c r="D1021" s="20" t="s">
        <v>196</v>
      </c>
      <c r="E1021" s="19">
        <v>5000</v>
      </c>
      <c r="F1021" s="33" t="s">
        <v>1140</v>
      </c>
      <c r="G1021" s="33" t="s">
        <v>1141</v>
      </c>
      <c r="H1021" s="33" t="s">
        <v>1142</v>
      </c>
      <c r="I1021" s="17" t="b">
        <v>0</v>
      </c>
      <c r="J1021" s="17" t="s">
        <v>64</v>
      </c>
      <c r="K1021" s="21" t="str">
        <f t="shared" si="25"/>
        <v>https://version2.ice-d.org/antarctica/sample/B2016-WIL-5/</v>
      </c>
      <c r="L1021" s="31" t="s">
        <v>154</v>
      </c>
      <c r="M1021" s="155"/>
      <c r="O1021" s="17" t="s">
        <v>1143</v>
      </c>
      <c r="P1021" s="22">
        <v>-83.651820000000001</v>
      </c>
      <c r="Q1021" s="22">
        <v>-58.631970000000003</v>
      </c>
      <c r="R1021" s="22"/>
      <c r="S1021" s="22">
        <v>746</v>
      </c>
      <c r="T1021" s="22">
        <v>550</v>
      </c>
      <c r="U1021" s="23">
        <v>500</v>
      </c>
      <c r="V1021" s="8" t="s">
        <v>1942</v>
      </c>
      <c r="W1021" s="148" t="s">
        <v>2439</v>
      </c>
      <c r="X1021" s="22">
        <f t="shared" si="26"/>
        <v>196</v>
      </c>
      <c r="Y1021" s="22">
        <v>4</v>
      </c>
      <c r="Z1021" s="22">
        <v>2.7</v>
      </c>
      <c r="AA1021" s="17" t="s">
        <v>73</v>
      </c>
      <c r="AB1021" s="26">
        <v>6730</v>
      </c>
      <c r="AC1021" s="26">
        <v>468</v>
      </c>
      <c r="AD1021" s="26">
        <v>746</v>
      </c>
      <c r="AE1021" s="27">
        <v>82260</v>
      </c>
      <c r="AF1021" s="27">
        <v>2785</v>
      </c>
      <c r="AG1021" s="27">
        <v>522800</v>
      </c>
      <c r="AH1021" s="27">
        <v>36200</v>
      </c>
      <c r="AI1021" s="17">
        <v>2009</v>
      </c>
      <c r="AJ1021" s="17">
        <v>1</v>
      </c>
      <c r="AK1021" s="17">
        <v>0</v>
      </c>
    </row>
    <row r="1022" spans="1:46" ht="15.75" customHeight="1">
      <c r="A1022" s="31" t="s">
        <v>1180</v>
      </c>
      <c r="B1022" s="19" t="s">
        <v>1165</v>
      </c>
      <c r="C1022" s="17">
        <v>123</v>
      </c>
      <c r="D1022" s="20" t="s">
        <v>196</v>
      </c>
      <c r="E1022" s="19">
        <v>5000</v>
      </c>
      <c r="F1022" s="33" t="s">
        <v>1140</v>
      </c>
      <c r="G1022" s="33" t="s">
        <v>1141</v>
      </c>
      <c r="H1022" s="33" t="s">
        <v>1142</v>
      </c>
      <c r="I1022" s="17" t="b">
        <v>0</v>
      </c>
      <c r="J1022" s="17" t="s">
        <v>43</v>
      </c>
      <c r="K1022" s="21" t="str">
        <f t="shared" si="25"/>
        <v>https://version2.ice-d.org/antarctica/sample/B2016-WIL-5/</v>
      </c>
      <c r="L1022" s="31" t="s">
        <v>154</v>
      </c>
      <c r="M1022" s="155"/>
      <c r="O1022" s="17" t="s">
        <v>1143</v>
      </c>
      <c r="P1022" s="22">
        <v>-83.651820000000001</v>
      </c>
      <c r="Q1022" s="22">
        <v>-58.631970000000003</v>
      </c>
      <c r="R1022" s="22"/>
      <c r="S1022" s="22">
        <v>746</v>
      </c>
      <c r="T1022" s="22">
        <v>550</v>
      </c>
      <c r="U1022" s="23">
        <v>500</v>
      </c>
      <c r="V1022" s="8" t="s">
        <v>1942</v>
      </c>
      <c r="W1022" s="148" t="s">
        <v>2439</v>
      </c>
      <c r="X1022" s="22">
        <f t="shared" si="26"/>
        <v>196</v>
      </c>
      <c r="Y1022" s="22">
        <v>4</v>
      </c>
      <c r="Z1022" s="22">
        <v>2.7</v>
      </c>
      <c r="AA1022" s="17" t="s">
        <v>73</v>
      </c>
      <c r="AB1022" s="26">
        <v>7454</v>
      </c>
      <c r="AC1022" s="26">
        <v>253</v>
      </c>
      <c r="AD1022" s="26">
        <v>508</v>
      </c>
      <c r="AE1022" s="27">
        <v>82260</v>
      </c>
      <c r="AF1022" s="27">
        <v>2785</v>
      </c>
      <c r="AG1022" s="27">
        <v>522800</v>
      </c>
      <c r="AH1022" s="27">
        <v>36200</v>
      </c>
      <c r="AI1022" s="17">
        <v>2009</v>
      </c>
      <c r="AJ1022" s="17">
        <v>1</v>
      </c>
      <c r="AK1022" s="17">
        <v>0</v>
      </c>
    </row>
    <row r="1023" spans="1:46" ht="15.75" customHeight="1">
      <c r="A1023" s="31" t="s">
        <v>1181</v>
      </c>
      <c r="B1023" s="19" t="s">
        <v>1165</v>
      </c>
      <c r="C1023" s="17">
        <v>123</v>
      </c>
      <c r="D1023" s="20" t="s">
        <v>196</v>
      </c>
      <c r="E1023" s="19">
        <v>5000</v>
      </c>
      <c r="F1023" s="33" t="s">
        <v>1140</v>
      </c>
      <c r="G1023" s="33" t="s">
        <v>1141</v>
      </c>
      <c r="H1023" s="33" t="s">
        <v>1142</v>
      </c>
      <c r="I1023" s="17" t="b">
        <v>0</v>
      </c>
      <c r="J1023" s="17" t="s">
        <v>43</v>
      </c>
      <c r="K1023" s="21" t="str">
        <f t="shared" si="25"/>
        <v>https://version2.ice-d.org/antarctica/sample/B2016-WIL-6/</v>
      </c>
      <c r="L1023" s="31" t="s">
        <v>154</v>
      </c>
      <c r="M1023" s="155"/>
      <c r="O1023" s="17" t="s">
        <v>1143</v>
      </c>
      <c r="P1023" s="22">
        <v>-83.650670000000005</v>
      </c>
      <c r="Q1023" s="22">
        <v>-58.625279999999997</v>
      </c>
      <c r="R1023" s="22"/>
      <c r="S1023" s="22">
        <v>780</v>
      </c>
      <c r="T1023" s="22">
        <v>550</v>
      </c>
      <c r="U1023" s="23">
        <v>500</v>
      </c>
      <c r="V1023" s="8" t="s">
        <v>1942</v>
      </c>
      <c r="W1023" s="148" t="s">
        <v>2439</v>
      </c>
      <c r="X1023" s="22">
        <f t="shared" si="26"/>
        <v>230</v>
      </c>
      <c r="Y1023" s="22">
        <v>4</v>
      </c>
      <c r="Z1023" s="22">
        <v>2.7</v>
      </c>
      <c r="AA1023" s="17" t="s">
        <v>73</v>
      </c>
      <c r="AB1023" s="26">
        <v>6618</v>
      </c>
      <c r="AC1023" s="26">
        <v>472</v>
      </c>
      <c r="AD1023" s="26">
        <v>613</v>
      </c>
      <c r="AE1023" s="27">
        <v>75120</v>
      </c>
      <c r="AF1023" s="27">
        <v>5347</v>
      </c>
      <c r="AG1023" s="28"/>
      <c r="AH1023" s="28"/>
      <c r="AI1023" s="17">
        <v>2009</v>
      </c>
      <c r="AJ1023" s="17">
        <v>1</v>
      </c>
      <c r="AK1023" s="17">
        <v>0</v>
      </c>
    </row>
    <row r="1024" spans="1:46" ht="12.75" customHeight="1">
      <c r="A1024" s="54" t="s">
        <v>1182</v>
      </c>
      <c r="B1024" s="33" t="s">
        <v>1183</v>
      </c>
      <c r="C1024" s="27">
        <v>124</v>
      </c>
      <c r="D1024" s="33" t="s">
        <v>196</v>
      </c>
      <c r="E1024" s="33">
        <v>0</v>
      </c>
      <c r="F1024" s="33" t="s">
        <v>1184</v>
      </c>
      <c r="G1024" s="33" t="s">
        <v>1185</v>
      </c>
      <c r="H1024" s="33" t="s">
        <v>1142</v>
      </c>
      <c r="I1024" s="28" t="b">
        <v>0</v>
      </c>
      <c r="J1024" s="17" t="s">
        <v>247</v>
      </c>
      <c r="K1024" s="21" t="str">
        <f t="shared" si="25"/>
        <v>https://version2.ice-d.org/antarctica/sample/JJ2011-P11-11-4/</v>
      </c>
      <c r="L1024" s="136" t="s">
        <v>39</v>
      </c>
      <c r="M1024" s="171" t="s">
        <v>44</v>
      </c>
      <c r="O1024" s="137" t="s">
        <v>1186</v>
      </c>
      <c r="P1024" s="22">
        <v>-74.573520000000002</v>
      </c>
      <c r="Q1024" s="22">
        <v>-62.48075</v>
      </c>
      <c r="R1024" s="22"/>
      <c r="S1024" s="22">
        <v>628</v>
      </c>
      <c r="T1024" s="17">
        <v>490</v>
      </c>
      <c r="U1024" s="67">
        <v>419</v>
      </c>
      <c r="V1024" s="67"/>
      <c r="W1024" s="69"/>
      <c r="X1024" s="22">
        <f t="shared" si="26"/>
        <v>138</v>
      </c>
      <c r="Y1024" s="22">
        <v>2.0299999999999998</v>
      </c>
      <c r="Z1024" s="22">
        <v>2.7</v>
      </c>
      <c r="AA1024" s="17" t="s">
        <v>58</v>
      </c>
      <c r="AB1024" s="26">
        <v>7376</v>
      </c>
      <c r="AC1024" s="26">
        <v>195</v>
      </c>
      <c r="AD1024" s="26">
        <v>626</v>
      </c>
      <c r="AE1024" s="27">
        <v>3701561</v>
      </c>
      <c r="AF1024" s="27">
        <v>111047</v>
      </c>
      <c r="AG1024" s="28"/>
      <c r="AH1024" s="28"/>
      <c r="AI1024" s="17">
        <v>2017</v>
      </c>
      <c r="AJ1024" s="17">
        <v>0</v>
      </c>
      <c r="AK1024" s="17">
        <v>0</v>
      </c>
      <c r="AL1024" s="17" t="s">
        <v>1187</v>
      </c>
    </row>
    <row r="1025" spans="1:38" ht="12.75" customHeight="1">
      <c r="A1025" s="54" t="s">
        <v>1188</v>
      </c>
      <c r="B1025" s="33" t="s">
        <v>1183</v>
      </c>
      <c r="C1025" s="27">
        <v>124</v>
      </c>
      <c r="D1025" s="33" t="s">
        <v>196</v>
      </c>
      <c r="E1025" s="33">
        <v>0</v>
      </c>
      <c r="F1025" s="33" t="s">
        <v>1184</v>
      </c>
      <c r="G1025" s="33" t="s">
        <v>1185</v>
      </c>
      <c r="H1025" s="33" t="s">
        <v>1142</v>
      </c>
      <c r="I1025" s="28" t="b">
        <v>0</v>
      </c>
      <c r="J1025" s="17" t="s">
        <v>247</v>
      </c>
      <c r="K1025" s="21" t="str">
        <f t="shared" si="25"/>
        <v>https://version2.ice-d.org/antarctica/sample/JJ2011-P11-12-1/</v>
      </c>
      <c r="L1025" s="136" t="s">
        <v>39</v>
      </c>
      <c r="M1025" s="172"/>
      <c r="O1025" s="137" t="s">
        <v>1189</v>
      </c>
      <c r="P1025" s="17">
        <v>-74.557000000000002</v>
      </c>
      <c r="Q1025" s="17">
        <v>-62.467599999999997</v>
      </c>
      <c r="S1025" s="17">
        <v>800</v>
      </c>
      <c r="T1025" s="17">
        <v>470</v>
      </c>
      <c r="U1025" s="67">
        <v>419</v>
      </c>
      <c r="V1025" s="67"/>
      <c r="W1025" s="69"/>
      <c r="X1025" s="22">
        <f t="shared" si="26"/>
        <v>330</v>
      </c>
      <c r="Y1025" s="22"/>
      <c r="Z1025" s="22"/>
      <c r="AB1025" s="36">
        <v>5993</v>
      </c>
      <c r="AC1025" s="36">
        <v>144</v>
      </c>
      <c r="AD1025" s="60">
        <v>463</v>
      </c>
      <c r="AE1025" s="27"/>
      <c r="AF1025" s="27"/>
      <c r="AG1025" s="28"/>
      <c r="AH1025" s="28"/>
      <c r="AK1025" s="17">
        <v>0</v>
      </c>
    </row>
    <row r="1026" spans="1:38" ht="12.75" customHeight="1">
      <c r="A1026" s="138" t="s">
        <v>1190</v>
      </c>
      <c r="B1026" s="33" t="s">
        <v>1183</v>
      </c>
      <c r="C1026" s="27">
        <v>124</v>
      </c>
      <c r="D1026" s="33" t="s">
        <v>196</v>
      </c>
      <c r="E1026" s="33">
        <v>0</v>
      </c>
      <c r="F1026" s="33" t="s">
        <v>1184</v>
      </c>
      <c r="G1026" s="33" t="s">
        <v>1185</v>
      </c>
      <c r="H1026" s="33" t="s">
        <v>1142</v>
      </c>
      <c r="I1026" s="28" t="b">
        <v>0</v>
      </c>
      <c r="J1026" s="17" t="s">
        <v>247</v>
      </c>
      <c r="K1026" s="21" t="str">
        <f t="shared" si="25"/>
        <v>https://version2.ice-d.org/antarctica/sample/JJ2011-P11-12-2/</v>
      </c>
      <c r="L1026" s="136" t="s">
        <v>39</v>
      </c>
      <c r="M1026" s="172"/>
      <c r="O1026" s="137" t="s">
        <v>1186</v>
      </c>
      <c r="P1026" s="17">
        <v>-74.555099999999996</v>
      </c>
      <c r="Q1026" s="17">
        <v>-62.469200000000001</v>
      </c>
      <c r="S1026" s="17">
        <v>830</v>
      </c>
      <c r="T1026" s="17">
        <v>470</v>
      </c>
      <c r="U1026" s="67">
        <v>419</v>
      </c>
      <c r="V1026" s="67"/>
      <c r="W1026" s="69"/>
      <c r="X1026" s="22">
        <f t="shared" si="26"/>
        <v>360</v>
      </c>
      <c r="Y1026" s="22"/>
      <c r="Z1026" s="22"/>
      <c r="AB1026" s="36">
        <v>7178</v>
      </c>
      <c r="AC1026" s="36">
        <v>180</v>
      </c>
      <c r="AD1026" s="60">
        <v>599</v>
      </c>
      <c r="AE1026" s="27"/>
      <c r="AF1026" s="27"/>
      <c r="AG1026" s="28"/>
      <c r="AH1026" s="28"/>
      <c r="AK1026" s="17">
        <v>0</v>
      </c>
    </row>
    <row r="1027" spans="1:38" ht="12.75" customHeight="1">
      <c r="A1027" s="54" t="s">
        <v>1191</v>
      </c>
      <c r="B1027" s="33" t="s">
        <v>1183</v>
      </c>
      <c r="C1027" s="27">
        <v>124</v>
      </c>
      <c r="D1027" s="33" t="s">
        <v>196</v>
      </c>
      <c r="E1027" s="33">
        <v>0</v>
      </c>
      <c r="F1027" s="33" t="s">
        <v>1184</v>
      </c>
      <c r="G1027" s="33" t="s">
        <v>1185</v>
      </c>
      <c r="H1027" s="33" t="s">
        <v>1142</v>
      </c>
      <c r="I1027" s="28" t="b">
        <v>0</v>
      </c>
      <c r="J1027" s="17" t="s">
        <v>247</v>
      </c>
      <c r="K1027" s="21" t="str">
        <f t="shared" si="25"/>
        <v>https://version2.ice-d.org/antarctica/sample/JJ2011-P11-12-6/</v>
      </c>
      <c r="L1027" s="136" t="s">
        <v>39</v>
      </c>
      <c r="M1027" s="172"/>
      <c r="O1027" s="137" t="s">
        <v>1186</v>
      </c>
      <c r="P1027" s="22">
        <v>-74.553217000000004</v>
      </c>
      <c r="Q1027" s="22">
        <v>-62.472000000000001</v>
      </c>
      <c r="R1027" s="22"/>
      <c r="S1027" s="22">
        <v>875</v>
      </c>
      <c r="T1027" s="17">
        <v>490</v>
      </c>
      <c r="U1027" s="67">
        <v>419</v>
      </c>
      <c r="V1027" s="67"/>
      <c r="W1027" s="69"/>
      <c r="X1027" s="22">
        <f t="shared" si="26"/>
        <v>385</v>
      </c>
      <c r="Y1027" s="22">
        <v>3.05</v>
      </c>
      <c r="Z1027" s="22">
        <v>2.7</v>
      </c>
      <c r="AA1027" s="17" t="s">
        <v>58</v>
      </c>
      <c r="AB1027" s="26">
        <v>6629</v>
      </c>
      <c r="AC1027" s="26">
        <v>195</v>
      </c>
      <c r="AD1027" s="26">
        <v>544</v>
      </c>
      <c r="AE1027" s="27">
        <v>5399077</v>
      </c>
      <c r="AF1027" s="27">
        <v>51310</v>
      </c>
      <c r="AG1027" s="28"/>
      <c r="AH1027" s="28"/>
      <c r="AI1027" s="17">
        <v>2017</v>
      </c>
      <c r="AJ1027" s="17">
        <v>0</v>
      </c>
      <c r="AK1027" s="17">
        <v>0</v>
      </c>
    </row>
    <row r="1028" spans="1:38" ht="12.75" customHeight="1">
      <c r="A1028" s="138" t="s">
        <v>1192</v>
      </c>
      <c r="B1028" s="33" t="s">
        <v>1193</v>
      </c>
      <c r="C1028" s="27">
        <v>124</v>
      </c>
      <c r="D1028" s="33" t="s">
        <v>196</v>
      </c>
      <c r="E1028" s="33">
        <v>0</v>
      </c>
      <c r="F1028" s="33" t="s">
        <v>1184</v>
      </c>
      <c r="G1028" s="33" t="s">
        <v>1185</v>
      </c>
      <c r="H1028" s="33" t="s">
        <v>1142</v>
      </c>
      <c r="I1028" s="28" t="b">
        <v>0</v>
      </c>
      <c r="J1028" s="17" t="s">
        <v>247</v>
      </c>
      <c r="K1028" s="21" t="str">
        <f t="shared" si="25"/>
        <v>https://version2.ice-d.org/antarctica/sample/JJ2011-P11-13-3/</v>
      </c>
      <c r="L1028" s="136" t="s">
        <v>39</v>
      </c>
      <c r="M1028" s="172"/>
      <c r="O1028" s="137" t="s">
        <v>1186</v>
      </c>
      <c r="P1028" s="17">
        <v>-74.548900000000003</v>
      </c>
      <c r="Q1028" s="17">
        <v>-62.589700000000001</v>
      </c>
      <c r="S1028" s="17">
        <v>710</v>
      </c>
      <c r="T1028" s="17">
        <v>647</v>
      </c>
      <c r="U1028" s="67">
        <v>419</v>
      </c>
      <c r="V1028" s="67"/>
      <c r="W1028" s="69"/>
      <c r="X1028" s="22">
        <f t="shared" si="26"/>
        <v>63</v>
      </c>
      <c r="Y1028" s="22"/>
      <c r="Z1028" s="22"/>
      <c r="AB1028" s="36">
        <v>6714</v>
      </c>
      <c r="AC1028" s="36">
        <v>171</v>
      </c>
      <c r="AD1028" s="60">
        <v>545</v>
      </c>
      <c r="AE1028" s="27"/>
      <c r="AF1028" s="27"/>
      <c r="AG1028" s="28"/>
      <c r="AH1028" s="28"/>
      <c r="AK1028" s="17">
        <v>0</v>
      </c>
    </row>
    <row r="1029" spans="1:38" ht="12.75" customHeight="1">
      <c r="A1029" s="54" t="s">
        <v>1194</v>
      </c>
      <c r="B1029" s="33" t="s">
        <v>1193</v>
      </c>
      <c r="C1029" s="27">
        <v>124</v>
      </c>
      <c r="D1029" s="33" t="s">
        <v>196</v>
      </c>
      <c r="E1029" s="33">
        <v>0</v>
      </c>
      <c r="F1029" s="33" t="s">
        <v>1184</v>
      </c>
      <c r="G1029" s="33" t="s">
        <v>1185</v>
      </c>
      <c r="H1029" s="33" t="s">
        <v>1142</v>
      </c>
      <c r="I1029" s="28" t="b">
        <v>0</v>
      </c>
      <c r="J1029" s="17" t="s">
        <v>247</v>
      </c>
      <c r="K1029" s="21" t="str">
        <f t="shared" si="25"/>
        <v>https://version2.ice-d.org/antarctica/sample/JJ2011-P11-13-5/</v>
      </c>
      <c r="L1029" s="136" t="s">
        <v>39</v>
      </c>
      <c r="M1029" s="172"/>
      <c r="O1029" s="137" t="s">
        <v>1186</v>
      </c>
      <c r="P1029" s="22">
        <v>-74.546516999999994</v>
      </c>
      <c r="Q1029" s="22">
        <v>-62.591900000000003</v>
      </c>
      <c r="R1029" s="22"/>
      <c r="S1029" s="22">
        <v>768</v>
      </c>
      <c r="T1029" s="17">
        <v>490</v>
      </c>
      <c r="U1029" s="67">
        <v>419</v>
      </c>
      <c r="V1029" s="67"/>
      <c r="W1029" s="69"/>
      <c r="X1029" s="22">
        <f t="shared" si="26"/>
        <v>278</v>
      </c>
      <c r="Y1029" s="22">
        <v>2.95</v>
      </c>
      <c r="Z1029" s="22">
        <v>2.7</v>
      </c>
      <c r="AA1029" s="17" t="s">
        <v>58</v>
      </c>
      <c r="AB1029" s="26">
        <v>7349</v>
      </c>
      <c r="AC1029" s="26">
        <v>210</v>
      </c>
      <c r="AD1029" s="26">
        <v>628</v>
      </c>
      <c r="AE1029" s="27">
        <v>2860826</v>
      </c>
      <c r="AF1029" s="27">
        <v>25850</v>
      </c>
      <c r="AG1029" s="28"/>
      <c r="AH1029" s="28"/>
      <c r="AI1029" s="17">
        <v>2017</v>
      </c>
      <c r="AJ1029" s="17">
        <v>0</v>
      </c>
      <c r="AK1029" s="17">
        <v>0</v>
      </c>
    </row>
    <row r="1030" spans="1:38" ht="12.75" customHeight="1">
      <c r="A1030" s="138" t="s">
        <v>1195</v>
      </c>
      <c r="B1030" s="33" t="s">
        <v>1193</v>
      </c>
      <c r="C1030" s="27">
        <v>124</v>
      </c>
      <c r="D1030" s="33" t="s">
        <v>196</v>
      </c>
      <c r="E1030" s="33">
        <v>0</v>
      </c>
      <c r="F1030" s="33" t="s">
        <v>1184</v>
      </c>
      <c r="G1030" s="33" t="s">
        <v>1185</v>
      </c>
      <c r="H1030" s="33" t="s">
        <v>1142</v>
      </c>
      <c r="I1030" s="28" t="b">
        <v>0</v>
      </c>
      <c r="J1030" s="17" t="s">
        <v>247</v>
      </c>
      <c r="K1030" s="21" t="str">
        <f t="shared" si="25"/>
        <v>https://version2.ice-d.org/antarctica/sample/JJ2011-P11-13-6/</v>
      </c>
      <c r="L1030" s="136" t="s">
        <v>39</v>
      </c>
      <c r="M1030" s="172"/>
      <c r="O1030" s="137" t="s">
        <v>1186</v>
      </c>
      <c r="P1030" s="17">
        <v>-74.545699999999997</v>
      </c>
      <c r="Q1030" s="17">
        <v>-62.593400000000003</v>
      </c>
      <c r="S1030" s="17">
        <v>795</v>
      </c>
      <c r="T1030" s="17">
        <v>647</v>
      </c>
      <c r="U1030" s="67">
        <v>419</v>
      </c>
      <c r="V1030" s="67"/>
      <c r="W1030" s="69"/>
      <c r="X1030" s="22">
        <f t="shared" si="26"/>
        <v>148</v>
      </c>
      <c r="Y1030" s="22"/>
      <c r="Z1030" s="22"/>
      <c r="AB1030" s="36">
        <v>6712</v>
      </c>
      <c r="AC1030" s="36">
        <v>166</v>
      </c>
      <c r="AD1030" s="60">
        <v>544</v>
      </c>
      <c r="AE1030" s="27"/>
      <c r="AF1030" s="27"/>
      <c r="AG1030" s="28"/>
      <c r="AH1030" s="28"/>
      <c r="AK1030" s="17">
        <v>0</v>
      </c>
    </row>
    <row r="1031" spans="1:38" ht="12.75" customHeight="1">
      <c r="A1031" s="54" t="s">
        <v>1196</v>
      </c>
      <c r="B1031" s="33" t="s">
        <v>1183</v>
      </c>
      <c r="C1031" s="27">
        <v>124</v>
      </c>
      <c r="D1031" s="33" t="s">
        <v>196</v>
      </c>
      <c r="E1031" s="33">
        <v>0</v>
      </c>
      <c r="F1031" s="33" t="s">
        <v>1184</v>
      </c>
      <c r="G1031" s="33" t="s">
        <v>1185</v>
      </c>
      <c r="H1031" s="33" t="s">
        <v>1142</v>
      </c>
      <c r="I1031" s="28" t="b">
        <v>0</v>
      </c>
      <c r="J1031" s="17" t="s">
        <v>247</v>
      </c>
      <c r="K1031" s="21" t="str">
        <f t="shared" si="25"/>
        <v>https://version2.ice-d.org/antarctica/sample/JJ2011-P11-14-1/</v>
      </c>
      <c r="L1031" s="136" t="s">
        <v>39</v>
      </c>
      <c r="M1031" s="172"/>
      <c r="O1031" s="137" t="s">
        <v>1186</v>
      </c>
      <c r="P1031" s="22">
        <v>-74.574516669999994</v>
      </c>
      <c r="Q1031" s="22">
        <v>-62.488116669999997</v>
      </c>
      <c r="R1031" s="22"/>
      <c r="S1031" s="22">
        <v>510</v>
      </c>
      <c r="T1031" s="17">
        <v>490</v>
      </c>
      <c r="U1031" s="67">
        <v>419</v>
      </c>
      <c r="V1031" s="67"/>
      <c r="W1031" s="69"/>
      <c r="X1031" s="22">
        <f t="shared" si="26"/>
        <v>20</v>
      </c>
      <c r="Y1031" s="22">
        <v>3.6</v>
      </c>
      <c r="Z1031" s="22">
        <v>2.7</v>
      </c>
      <c r="AA1031" s="17" t="s">
        <v>58</v>
      </c>
      <c r="AB1031" s="26">
        <v>2891</v>
      </c>
      <c r="AC1031" s="26">
        <v>69</v>
      </c>
      <c r="AD1031" s="26">
        <v>186</v>
      </c>
      <c r="AE1031" s="27">
        <v>757007</v>
      </c>
      <c r="AF1031" s="27">
        <v>15140</v>
      </c>
      <c r="AG1031" s="28"/>
      <c r="AH1031" s="28"/>
      <c r="AI1031" s="17">
        <v>2017</v>
      </c>
      <c r="AJ1031" s="17">
        <v>0</v>
      </c>
      <c r="AK1031" s="17">
        <v>0</v>
      </c>
    </row>
    <row r="1032" spans="1:38" ht="13.5" customHeight="1">
      <c r="A1032" s="54" t="s">
        <v>1197</v>
      </c>
      <c r="B1032" s="33" t="s">
        <v>1198</v>
      </c>
      <c r="C1032" s="27">
        <v>124</v>
      </c>
      <c r="D1032" s="33" t="s">
        <v>196</v>
      </c>
      <c r="E1032" s="33">
        <v>0</v>
      </c>
      <c r="F1032" s="33" t="s">
        <v>1184</v>
      </c>
      <c r="G1032" s="33" t="s">
        <v>1185</v>
      </c>
      <c r="H1032" s="33" t="s">
        <v>1142</v>
      </c>
      <c r="I1032" s="17" t="b">
        <v>0</v>
      </c>
      <c r="J1032" s="17" t="s">
        <v>43</v>
      </c>
      <c r="K1032" s="21" t="str">
        <f t="shared" si="25"/>
        <v>https://version2.ice-d.org/antarctica/sample/JJ2011-P11-17-4/</v>
      </c>
      <c r="L1032" s="54" t="s">
        <v>39</v>
      </c>
      <c r="M1032" s="172"/>
      <c r="O1032" s="17" t="s">
        <v>1199</v>
      </c>
      <c r="P1032" s="22">
        <v>-74.264616669999995</v>
      </c>
      <c r="Q1032" s="22">
        <v>-62.039566669999999</v>
      </c>
      <c r="R1032" s="22"/>
      <c r="S1032" s="22">
        <v>909</v>
      </c>
      <c r="T1032" s="22">
        <v>490</v>
      </c>
      <c r="U1032" s="67">
        <v>419</v>
      </c>
      <c r="V1032" s="67"/>
      <c r="W1032" s="69"/>
      <c r="X1032" s="22">
        <f t="shared" si="26"/>
        <v>419</v>
      </c>
      <c r="Y1032" s="22">
        <v>2.88</v>
      </c>
      <c r="Z1032" s="22">
        <v>2.7</v>
      </c>
      <c r="AA1032" s="17" t="s">
        <v>84</v>
      </c>
      <c r="AB1032" s="26">
        <v>18612</v>
      </c>
      <c r="AC1032" s="26">
        <v>322</v>
      </c>
      <c r="AD1032" s="26">
        <v>1149</v>
      </c>
      <c r="AE1032" s="27">
        <v>239229</v>
      </c>
      <c r="AF1032" s="27">
        <v>4123</v>
      </c>
      <c r="AG1032" s="28"/>
      <c r="AH1032" s="28"/>
      <c r="AI1032" s="17">
        <v>2017</v>
      </c>
      <c r="AJ1032" s="17">
        <v>0</v>
      </c>
      <c r="AK1032" s="17">
        <v>1</v>
      </c>
      <c r="AL1032" s="17" t="s">
        <v>1200</v>
      </c>
    </row>
    <row r="1033" spans="1:38" ht="12.75" customHeight="1">
      <c r="A1033" s="76" t="s">
        <v>1201</v>
      </c>
      <c r="B1033" s="19" t="s">
        <v>1202</v>
      </c>
      <c r="C1033" s="17">
        <v>125</v>
      </c>
      <c r="D1033" s="20" t="s">
        <v>196</v>
      </c>
      <c r="E1033" s="19">
        <v>0</v>
      </c>
      <c r="F1033" s="19" t="s">
        <v>1203</v>
      </c>
      <c r="G1033" s="19" t="s">
        <v>1204</v>
      </c>
      <c r="H1033" s="33" t="s">
        <v>1142</v>
      </c>
      <c r="I1033" s="17" t="b">
        <v>0</v>
      </c>
      <c r="J1033" s="17" t="s">
        <v>43</v>
      </c>
      <c r="K1033" s="21" t="str">
        <f t="shared" si="25"/>
        <v>https://version2.ice-d.org/antarctica/sample/FLO-01/</v>
      </c>
      <c r="L1033" s="76" t="s">
        <v>39</v>
      </c>
      <c r="M1033" s="173" t="s">
        <v>44</v>
      </c>
      <c r="O1033" s="17" t="s">
        <v>1205</v>
      </c>
      <c r="P1033" s="22">
        <v>-78.542969999999997</v>
      </c>
      <c r="Q1033" s="22">
        <v>-83.762799999999999</v>
      </c>
      <c r="R1033" s="22"/>
      <c r="S1033" s="22">
        <v>521</v>
      </c>
      <c r="T1033" s="22">
        <v>350</v>
      </c>
      <c r="U1033" s="23">
        <v>1140</v>
      </c>
      <c r="V1033" s="8" t="s">
        <v>1942</v>
      </c>
      <c r="W1033" s="44" t="s">
        <v>2446</v>
      </c>
      <c r="X1033" s="22">
        <f t="shared" si="26"/>
        <v>171</v>
      </c>
      <c r="Y1033" s="22">
        <v>8</v>
      </c>
      <c r="Z1033" s="22">
        <v>2.7</v>
      </c>
      <c r="AA1033" s="17" t="s">
        <v>73</v>
      </c>
      <c r="AB1033" s="26">
        <v>5586</v>
      </c>
      <c r="AC1033" s="26">
        <v>233</v>
      </c>
      <c r="AD1033" s="26">
        <v>404</v>
      </c>
      <c r="AE1033" s="27">
        <v>47902.198709999997</v>
      </c>
      <c r="AF1033" s="27">
        <v>1992.0843990000001</v>
      </c>
      <c r="AG1033" s="28"/>
      <c r="AH1033" s="28"/>
      <c r="AI1033" s="17">
        <v>2012</v>
      </c>
      <c r="AJ1033" s="17">
        <v>0</v>
      </c>
      <c r="AK1033" s="17">
        <v>0</v>
      </c>
      <c r="AL1033" s="17" t="s">
        <v>1206</v>
      </c>
    </row>
    <row r="1034" spans="1:38" ht="12.75" customHeight="1">
      <c r="A1034" s="76" t="s">
        <v>1207</v>
      </c>
      <c r="B1034" s="19" t="s">
        <v>1202</v>
      </c>
      <c r="C1034" s="17">
        <v>125</v>
      </c>
      <c r="D1034" s="20" t="s">
        <v>196</v>
      </c>
      <c r="E1034" s="19">
        <v>0</v>
      </c>
      <c r="F1034" s="19" t="s">
        <v>1203</v>
      </c>
      <c r="G1034" s="19" t="s">
        <v>1204</v>
      </c>
      <c r="H1034" s="33" t="s">
        <v>1142</v>
      </c>
      <c r="I1034" s="17" t="b">
        <v>0</v>
      </c>
      <c r="J1034" s="17" t="s">
        <v>43</v>
      </c>
      <c r="K1034" s="21" t="str">
        <f t="shared" si="25"/>
        <v>https://version2.ice-d.org/antarctica/sample/FLO-02/</v>
      </c>
      <c r="L1034" s="76" t="s">
        <v>39</v>
      </c>
      <c r="M1034" s="155"/>
      <c r="O1034" s="17" t="s">
        <v>1205</v>
      </c>
      <c r="P1034" s="22">
        <v>-78.542969999999997</v>
      </c>
      <c r="Q1034" s="22">
        <v>-83.762799999999999</v>
      </c>
      <c r="R1034" s="22"/>
      <c r="S1034" s="22">
        <v>521</v>
      </c>
      <c r="T1034" s="22">
        <v>350</v>
      </c>
      <c r="U1034" s="23">
        <v>1140</v>
      </c>
      <c r="V1034" s="24" t="s">
        <v>1943</v>
      </c>
      <c r="W1034" s="44" t="s">
        <v>2446</v>
      </c>
      <c r="X1034" s="22">
        <f t="shared" si="26"/>
        <v>171</v>
      </c>
      <c r="Y1034" s="22">
        <v>5.5</v>
      </c>
      <c r="Z1034" s="22">
        <v>2.7</v>
      </c>
      <c r="AA1034" s="17" t="s">
        <v>73</v>
      </c>
      <c r="AB1034" s="26">
        <v>5699</v>
      </c>
      <c r="AC1034" s="26">
        <v>170</v>
      </c>
      <c r="AD1034" s="26">
        <v>377</v>
      </c>
      <c r="AE1034" s="27">
        <v>49871.23962</v>
      </c>
      <c r="AF1034" s="27">
        <v>1484.7607620000001</v>
      </c>
      <c r="AG1034" s="28"/>
      <c r="AH1034" s="28"/>
      <c r="AI1034" s="17">
        <v>2012</v>
      </c>
      <c r="AJ1034" s="17">
        <v>0</v>
      </c>
      <c r="AK1034" s="17">
        <v>0</v>
      </c>
      <c r="AL1034" s="17" t="s">
        <v>1206</v>
      </c>
    </row>
    <row r="1035" spans="1:38" ht="12.75" customHeight="1">
      <c r="A1035" s="76" t="s">
        <v>1208</v>
      </c>
      <c r="B1035" s="19" t="s">
        <v>1202</v>
      </c>
      <c r="C1035" s="17">
        <v>125</v>
      </c>
      <c r="D1035" s="20" t="s">
        <v>196</v>
      </c>
      <c r="E1035" s="19">
        <v>0</v>
      </c>
      <c r="F1035" s="19" t="s">
        <v>1203</v>
      </c>
      <c r="G1035" s="19" t="s">
        <v>1204</v>
      </c>
      <c r="H1035" s="33" t="s">
        <v>1142</v>
      </c>
      <c r="I1035" s="17" t="b">
        <v>0</v>
      </c>
      <c r="J1035" s="17" t="s">
        <v>43</v>
      </c>
      <c r="K1035" s="21" t="str">
        <f t="shared" si="25"/>
        <v>https://version2.ice-d.org/antarctica/sample/FLO-03/</v>
      </c>
      <c r="L1035" s="76" t="s">
        <v>39</v>
      </c>
      <c r="M1035" s="155"/>
      <c r="O1035" s="17" t="s">
        <v>1205</v>
      </c>
      <c r="P1035" s="22">
        <v>-78.542969999999997</v>
      </c>
      <c r="Q1035" s="22">
        <v>-83.762799999999999</v>
      </c>
      <c r="R1035" s="22"/>
      <c r="S1035" s="22">
        <v>521</v>
      </c>
      <c r="T1035" s="22">
        <v>350</v>
      </c>
      <c r="U1035" s="23">
        <v>1140</v>
      </c>
      <c r="V1035" s="24" t="s">
        <v>1944</v>
      </c>
      <c r="W1035" s="44" t="s">
        <v>2446</v>
      </c>
      <c r="X1035" s="22">
        <f t="shared" si="26"/>
        <v>171</v>
      </c>
      <c r="Y1035" s="22">
        <v>4.5</v>
      </c>
      <c r="Z1035" s="22">
        <v>2.7</v>
      </c>
      <c r="AA1035" s="17" t="s">
        <v>73</v>
      </c>
      <c r="AB1035" s="26">
        <v>5719</v>
      </c>
      <c r="AC1035" s="26">
        <v>127</v>
      </c>
      <c r="AD1035" s="26">
        <v>361</v>
      </c>
      <c r="AE1035" s="27">
        <v>50459.64978</v>
      </c>
      <c r="AF1035" s="27">
        <v>1118.2172310000001</v>
      </c>
      <c r="AG1035" s="28"/>
      <c r="AH1035" s="28"/>
      <c r="AI1035" s="17">
        <v>2012</v>
      </c>
      <c r="AJ1035" s="17">
        <v>0</v>
      </c>
      <c r="AK1035" s="17">
        <v>0</v>
      </c>
      <c r="AL1035" s="17" t="s">
        <v>1206</v>
      </c>
    </row>
    <row r="1036" spans="1:38" ht="12.75" customHeight="1">
      <c r="A1036" s="76" t="s">
        <v>1209</v>
      </c>
      <c r="B1036" s="19" t="s">
        <v>1202</v>
      </c>
      <c r="C1036" s="17">
        <v>125</v>
      </c>
      <c r="D1036" s="20" t="s">
        <v>196</v>
      </c>
      <c r="E1036" s="19">
        <v>0</v>
      </c>
      <c r="F1036" s="19" t="s">
        <v>1203</v>
      </c>
      <c r="G1036" s="19" t="s">
        <v>1204</v>
      </c>
      <c r="H1036" s="33" t="s">
        <v>1142</v>
      </c>
      <c r="I1036" s="17" t="b">
        <v>0</v>
      </c>
      <c r="J1036" s="17" t="s">
        <v>43</v>
      </c>
      <c r="K1036" s="21" t="str">
        <f t="shared" si="25"/>
        <v>https://version2.ice-d.org/antarctica/sample/FLO-05/</v>
      </c>
      <c r="L1036" s="76" t="s">
        <v>39</v>
      </c>
      <c r="M1036" s="155"/>
      <c r="O1036" s="17" t="s">
        <v>1205</v>
      </c>
      <c r="P1036" s="22">
        <v>-78.542900000000003</v>
      </c>
      <c r="Q1036" s="22">
        <v>-83.762829999999994</v>
      </c>
      <c r="R1036" s="22"/>
      <c r="S1036" s="22">
        <v>521</v>
      </c>
      <c r="T1036" s="22">
        <v>350</v>
      </c>
      <c r="U1036" s="23">
        <v>1140</v>
      </c>
      <c r="V1036" s="24" t="s">
        <v>1945</v>
      </c>
      <c r="W1036" s="44" t="s">
        <v>2446</v>
      </c>
      <c r="X1036" s="22">
        <f t="shared" si="26"/>
        <v>171</v>
      </c>
      <c r="Y1036" s="22">
        <v>6.5</v>
      </c>
      <c r="Z1036" s="22">
        <v>2.7</v>
      </c>
      <c r="AA1036" s="17" t="s">
        <v>73</v>
      </c>
      <c r="AB1036" s="26">
        <v>5756</v>
      </c>
      <c r="AC1036" s="26">
        <v>152</v>
      </c>
      <c r="AD1036" s="26">
        <v>373</v>
      </c>
      <c r="AE1036" s="27">
        <v>49951.309050000003</v>
      </c>
      <c r="AF1036" s="27">
        <v>1318.6897859999999</v>
      </c>
      <c r="AG1036" s="28"/>
      <c r="AH1036" s="28"/>
      <c r="AI1036" s="17">
        <v>2012</v>
      </c>
      <c r="AJ1036" s="17">
        <v>0</v>
      </c>
      <c r="AK1036" s="17">
        <v>0</v>
      </c>
      <c r="AL1036" s="17" t="s">
        <v>1206</v>
      </c>
    </row>
    <row r="1037" spans="1:38" ht="12.75" customHeight="1">
      <c r="A1037" s="76" t="s">
        <v>1210</v>
      </c>
      <c r="B1037" s="19" t="s">
        <v>1202</v>
      </c>
      <c r="C1037" s="17">
        <v>125</v>
      </c>
      <c r="D1037" s="20" t="s">
        <v>196</v>
      </c>
      <c r="E1037" s="19">
        <v>0</v>
      </c>
      <c r="F1037" s="19" t="s">
        <v>1203</v>
      </c>
      <c r="G1037" s="19" t="s">
        <v>1204</v>
      </c>
      <c r="H1037" s="33" t="s">
        <v>1142</v>
      </c>
      <c r="I1037" s="17" t="b">
        <v>0</v>
      </c>
      <c r="J1037" s="17" t="s">
        <v>43</v>
      </c>
      <c r="K1037" s="21" t="str">
        <f t="shared" si="25"/>
        <v>https://version2.ice-d.org/antarctica/sample/FLO-06/</v>
      </c>
      <c r="L1037" s="76" t="s">
        <v>39</v>
      </c>
      <c r="M1037" s="155"/>
      <c r="O1037" s="17" t="s">
        <v>1205</v>
      </c>
      <c r="P1037" s="22">
        <v>-78.542749999999998</v>
      </c>
      <c r="Q1037" s="22">
        <v>-83.763300000000001</v>
      </c>
      <c r="R1037" s="22"/>
      <c r="S1037" s="22">
        <v>515</v>
      </c>
      <c r="T1037" s="22">
        <v>350</v>
      </c>
      <c r="U1037" s="23">
        <v>1140</v>
      </c>
      <c r="V1037" s="24" t="s">
        <v>1946</v>
      </c>
      <c r="W1037" s="44" t="s">
        <v>2446</v>
      </c>
      <c r="X1037" s="22">
        <f t="shared" si="26"/>
        <v>165</v>
      </c>
      <c r="Y1037" s="22">
        <v>3</v>
      </c>
      <c r="Z1037" s="22">
        <v>2.7</v>
      </c>
      <c r="AA1037" s="17" t="s">
        <v>73</v>
      </c>
      <c r="AB1037" s="26">
        <v>5354</v>
      </c>
      <c r="AC1037" s="26">
        <v>149</v>
      </c>
      <c r="AD1037" s="26">
        <v>350</v>
      </c>
      <c r="AE1037" s="27">
        <v>47485.776389999999</v>
      </c>
      <c r="AF1037" s="27">
        <v>1320.7565099999999</v>
      </c>
      <c r="AG1037" s="28"/>
      <c r="AH1037" s="28"/>
      <c r="AI1037" s="17">
        <v>2012</v>
      </c>
      <c r="AJ1037" s="17">
        <v>0</v>
      </c>
      <c r="AK1037" s="17">
        <v>0</v>
      </c>
      <c r="AL1037" s="17" t="s">
        <v>1206</v>
      </c>
    </row>
    <row r="1038" spans="1:38" ht="12.75" customHeight="1">
      <c r="A1038" s="76" t="s">
        <v>1211</v>
      </c>
      <c r="B1038" s="19" t="s">
        <v>1202</v>
      </c>
      <c r="C1038" s="17">
        <v>125</v>
      </c>
      <c r="D1038" s="20" t="s">
        <v>196</v>
      </c>
      <c r="E1038" s="19">
        <v>0</v>
      </c>
      <c r="F1038" s="19" t="s">
        <v>1203</v>
      </c>
      <c r="G1038" s="19" t="s">
        <v>1204</v>
      </c>
      <c r="H1038" s="33" t="s">
        <v>1142</v>
      </c>
      <c r="I1038" s="17" t="b">
        <v>0</v>
      </c>
      <c r="J1038" s="17" t="s">
        <v>43</v>
      </c>
      <c r="K1038" s="21" t="str">
        <f t="shared" si="25"/>
        <v>https://version2.ice-d.org/antarctica/sample/FLO-09/</v>
      </c>
      <c r="L1038" s="76" t="s">
        <v>39</v>
      </c>
      <c r="M1038" s="155"/>
      <c r="O1038" s="17" t="s">
        <v>1205</v>
      </c>
      <c r="P1038" s="22">
        <v>-78.541730000000001</v>
      </c>
      <c r="Q1038" s="22">
        <v>-83.765079999999998</v>
      </c>
      <c r="R1038" s="22"/>
      <c r="S1038" s="22">
        <v>490</v>
      </c>
      <c r="T1038" s="22">
        <v>350</v>
      </c>
      <c r="U1038" s="23">
        <v>1140</v>
      </c>
      <c r="V1038" s="24" t="s">
        <v>1947</v>
      </c>
      <c r="W1038" s="44" t="s">
        <v>2446</v>
      </c>
      <c r="X1038" s="22">
        <f t="shared" si="26"/>
        <v>140</v>
      </c>
      <c r="Y1038" s="22">
        <v>3</v>
      </c>
      <c r="Z1038" s="22">
        <v>2.7</v>
      </c>
      <c r="AA1038" s="17" t="s">
        <v>73</v>
      </c>
      <c r="AB1038" s="26">
        <v>6766</v>
      </c>
      <c r="AC1038" s="26">
        <v>205</v>
      </c>
      <c r="AD1038" s="26">
        <v>449</v>
      </c>
      <c r="AE1038" s="27">
        <v>58766.191630000001</v>
      </c>
      <c r="AF1038" s="27">
        <v>1775.1797690000001</v>
      </c>
      <c r="AG1038" s="28"/>
      <c r="AH1038" s="28"/>
      <c r="AI1038" s="17">
        <v>2012</v>
      </c>
      <c r="AJ1038" s="17">
        <v>0</v>
      </c>
      <c r="AK1038" s="17">
        <v>0</v>
      </c>
      <c r="AL1038" s="17" t="s">
        <v>1206</v>
      </c>
    </row>
    <row r="1039" spans="1:38" ht="12.75" customHeight="1">
      <c r="A1039" s="76" t="s">
        <v>1212</v>
      </c>
      <c r="B1039" s="19" t="s">
        <v>1202</v>
      </c>
      <c r="C1039" s="17">
        <v>125</v>
      </c>
      <c r="D1039" s="20" t="s">
        <v>196</v>
      </c>
      <c r="E1039" s="19">
        <v>0</v>
      </c>
      <c r="F1039" s="19" t="s">
        <v>1203</v>
      </c>
      <c r="G1039" s="19" t="s">
        <v>1204</v>
      </c>
      <c r="H1039" s="33" t="s">
        <v>1142</v>
      </c>
      <c r="I1039" s="17" t="b">
        <v>0</v>
      </c>
      <c r="J1039" s="17" t="s">
        <v>43</v>
      </c>
      <c r="K1039" s="21" t="str">
        <f t="shared" si="25"/>
        <v>https://version2.ice-d.org/antarctica/sample/FLO-10/</v>
      </c>
      <c r="L1039" s="76" t="s">
        <v>39</v>
      </c>
      <c r="M1039" s="155"/>
      <c r="O1039" s="17" t="s">
        <v>1205</v>
      </c>
      <c r="P1039" s="22">
        <v>-78.541730000000001</v>
      </c>
      <c r="Q1039" s="22">
        <v>-83.765079999999998</v>
      </c>
      <c r="R1039" s="22"/>
      <c r="S1039" s="22">
        <v>490</v>
      </c>
      <c r="T1039" s="22">
        <v>350</v>
      </c>
      <c r="U1039" s="23">
        <v>1140</v>
      </c>
      <c r="V1039" s="24" t="s">
        <v>1948</v>
      </c>
      <c r="W1039" s="44" t="s">
        <v>2446</v>
      </c>
      <c r="X1039" s="22">
        <f t="shared" si="26"/>
        <v>140</v>
      </c>
      <c r="Y1039" s="22">
        <v>8</v>
      </c>
      <c r="Z1039" s="22">
        <v>2.7</v>
      </c>
      <c r="AA1039" s="17" t="s">
        <v>73</v>
      </c>
      <c r="AB1039" s="26">
        <v>6005</v>
      </c>
      <c r="AC1039" s="26">
        <v>202</v>
      </c>
      <c r="AD1039" s="26">
        <v>408</v>
      </c>
      <c r="AE1039" s="27">
        <v>50017.0435</v>
      </c>
      <c r="AF1039" s="27">
        <v>1680.9291900000001</v>
      </c>
      <c r="AG1039" s="28"/>
      <c r="AH1039" s="28"/>
      <c r="AI1039" s="17">
        <v>2012</v>
      </c>
      <c r="AJ1039" s="17">
        <v>0</v>
      </c>
      <c r="AK1039" s="17">
        <v>0</v>
      </c>
      <c r="AL1039" s="17" t="s">
        <v>1206</v>
      </c>
    </row>
    <row r="1040" spans="1:38" ht="12.75" customHeight="1">
      <c r="A1040" s="49" t="s">
        <v>1213</v>
      </c>
      <c r="B1040" s="19" t="s">
        <v>1202</v>
      </c>
      <c r="C1040" s="17">
        <v>125</v>
      </c>
      <c r="D1040" s="20" t="s">
        <v>196</v>
      </c>
      <c r="E1040" s="19">
        <v>0</v>
      </c>
      <c r="F1040" s="19" t="s">
        <v>1203</v>
      </c>
      <c r="G1040" s="19" t="s">
        <v>1204</v>
      </c>
      <c r="H1040" s="33" t="s">
        <v>1142</v>
      </c>
      <c r="I1040" s="17" t="b">
        <v>0</v>
      </c>
      <c r="J1040" s="17" t="s">
        <v>43</v>
      </c>
      <c r="K1040" s="21" t="str">
        <f t="shared" si="25"/>
        <v>https://version2.ice-d.org/antarctica/sample/FLO-17-CJF/</v>
      </c>
      <c r="L1040" s="139" t="s">
        <v>39</v>
      </c>
      <c r="M1040" s="174" t="s">
        <v>44</v>
      </c>
      <c r="O1040" s="17" t="s">
        <v>1205</v>
      </c>
      <c r="P1040" s="22">
        <v>-78.398200000000003</v>
      </c>
      <c r="Q1040" s="22">
        <v>-84.352029999999999</v>
      </c>
      <c r="R1040" s="22"/>
      <c r="S1040" s="22">
        <v>1335</v>
      </c>
      <c r="T1040" s="22">
        <v>350</v>
      </c>
      <c r="U1040" s="23">
        <v>1140</v>
      </c>
      <c r="V1040" s="24" t="s">
        <v>1949</v>
      </c>
      <c r="W1040" s="44" t="s">
        <v>2446</v>
      </c>
      <c r="X1040" s="22">
        <f t="shared" si="26"/>
        <v>985</v>
      </c>
      <c r="Y1040" s="22">
        <v>5</v>
      </c>
      <c r="Z1040" s="22">
        <v>2.65</v>
      </c>
      <c r="AA1040" s="17" t="s">
        <v>73</v>
      </c>
      <c r="AB1040" s="26">
        <v>13945</v>
      </c>
      <c r="AC1040" s="26">
        <v>234</v>
      </c>
      <c r="AD1040" s="26">
        <v>858</v>
      </c>
      <c r="AE1040" s="27">
        <v>253000</v>
      </c>
      <c r="AF1040" s="27">
        <v>4230</v>
      </c>
      <c r="AG1040" s="28"/>
      <c r="AH1040" s="28"/>
      <c r="AI1040" s="17">
        <v>2012</v>
      </c>
      <c r="AJ1040" s="17">
        <v>0</v>
      </c>
      <c r="AK1040" s="17">
        <v>0</v>
      </c>
      <c r="AL1040" s="17" t="s">
        <v>1206</v>
      </c>
    </row>
    <row r="1041" spans="1:38" ht="12.75" customHeight="1">
      <c r="A1041" s="49" t="s">
        <v>1214</v>
      </c>
      <c r="B1041" s="19" t="s">
        <v>1202</v>
      </c>
      <c r="C1041" s="17">
        <v>125</v>
      </c>
      <c r="D1041" s="20" t="s">
        <v>196</v>
      </c>
      <c r="E1041" s="19">
        <v>0</v>
      </c>
      <c r="F1041" s="19" t="s">
        <v>1203</v>
      </c>
      <c r="G1041" s="19" t="s">
        <v>1204</v>
      </c>
      <c r="H1041" s="33" t="s">
        <v>1142</v>
      </c>
      <c r="I1041" s="17" t="b">
        <v>0</v>
      </c>
      <c r="J1041" s="17" t="s">
        <v>43</v>
      </c>
      <c r="K1041" s="21" t="str">
        <f t="shared" si="25"/>
        <v>https://version2.ice-d.org/antarctica/sample/FLO-18-CJF/</v>
      </c>
      <c r="L1041" s="139" t="s">
        <v>39</v>
      </c>
      <c r="M1041" s="155"/>
      <c r="O1041" s="17" t="s">
        <v>1205</v>
      </c>
      <c r="P1041" s="22">
        <v>-78.400149999999996</v>
      </c>
      <c r="Q1041" s="22">
        <v>-84.517979999999994</v>
      </c>
      <c r="R1041" s="22"/>
      <c r="S1041" s="22">
        <v>1327</v>
      </c>
      <c r="T1041" s="22">
        <v>350</v>
      </c>
      <c r="U1041" s="23">
        <v>1140</v>
      </c>
      <c r="V1041" s="24" t="s">
        <v>1950</v>
      </c>
      <c r="W1041" s="44" t="s">
        <v>2446</v>
      </c>
      <c r="X1041" s="22">
        <f t="shared" si="26"/>
        <v>977</v>
      </c>
      <c r="Y1041" s="22">
        <v>5</v>
      </c>
      <c r="Z1041" s="22">
        <v>2.65</v>
      </c>
      <c r="AA1041" s="17" t="s">
        <v>73</v>
      </c>
      <c r="AB1041" s="26">
        <v>13636</v>
      </c>
      <c r="AC1041" s="26">
        <v>372</v>
      </c>
      <c r="AD1041" s="26">
        <v>1777</v>
      </c>
      <c r="AE1041" s="27">
        <v>373000</v>
      </c>
      <c r="AF1041" s="27">
        <v>6780</v>
      </c>
      <c r="AG1041" s="28"/>
      <c r="AH1041" s="28"/>
      <c r="AI1041" s="17">
        <v>2012</v>
      </c>
      <c r="AJ1041" s="17">
        <v>0</v>
      </c>
      <c r="AK1041" s="17">
        <v>0</v>
      </c>
      <c r="AL1041" s="17" t="s">
        <v>1206</v>
      </c>
    </row>
    <row r="1042" spans="1:38" ht="12.75" customHeight="1">
      <c r="A1042" s="49" t="s">
        <v>1215</v>
      </c>
      <c r="B1042" s="19" t="s">
        <v>1202</v>
      </c>
      <c r="C1042" s="17">
        <v>125</v>
      </c>
      <c r="D1042" s="20" t="s">
        <v>196</v>
      </c>
      <c r="E1042" s="19">
        <v>0</v>
      </c>
      <c r="F1042" s="19" t="s">
        <v>1203</v>
      </c>
      <c r="G1042" s="19" t="s">
        <v>1204</v>
      </c>
      <c r="H1042" s="33" t="s">
        <v>1142</v>
      </c>
      <c r="I1042" s="17" t="b">
        <v>0</v>
      </c>
      <c r="J1042" s="17" t="s">
        <v>247</v>
      </c>
      <c r="K1042" s="21" t="str">
        <f t="shared" si="25"/>
        <v>https://version2.ice-d.org/antarctica/sample/FLO-19-CJF/</v>
      </c>
      <c r="L1042" s="139" t="s">
        <v>39</v>
      </c>
      <c r="M1042" s="155"/>
      <c r="O1042" s="17" t="s">
        <v>1205</v>
      </c>
      <c r="P1042" s="22">
        <v>-78.398499999999999</v>
      </c>
      <c r="Q1042" s="22">
        <v>-84.352050000000006</v>
      </c>
      <c r="R1042" s="22"/>
      <c r="S1042" s="22">
        <v>1336</v>
      </c>
      <c r="T1042" s="22">
        <v>350</v>
      </c>
      <c r="U1042" s="23">
        <v>1140</v>
      </c>
      <c r="V1042" s="24" t="s">
        <v>1951</v>
      </c>
      <c r="W1042" s="44" t="s">
        <v>2446</v>
      </c>
      <c r="X1042" s="22">
        <f t="shared" si="26"/>
        <v>986</v>
      </c>
      <c r="Y1042" s="22">
        <v>5</v>
      </c>
      <c r="Z1042" s="22">
        <v>2.65</v>
      </c>
      <c r="AA1042" s="17" t="s">
        <v>73</v>
      </c>
      <c r="AB1042" s="26">
        <v>17332</v>
      </c>
      <c r="AC1042" s="26">
        <v>640</v>
      </c>
      <c r="AD1042" s="26">
        <v>3019</v>
      </c>
      <c r="AE1042" s="27">
        <v>762000</v>
      </c>
      <c r="AF1042" s="27">
        <v>14900</v>
      </c>
      <c r="AG1042" s="28"/>
      <c r="AH1042" s="28"/>
      <c r="AI1042" s="17">
        <v>2012</v>
      </c>
      <c r="AJ1042" s="17">
        <v>0</v>
      </c>
      <c r="AK1042" s="17">
        <v>0</v>
      </c>
      <c r="AL1042" s="17" t="s">
        <v>1206</v>
      </c>
    </row>
    <row r="1043" spans="1:38" ht="12.75" customHeight="1">
      <c r="A1043" s="74" t="s">
        <v>1216</v>
      </c>
      <c r="B1043" s="19" t="s">
        <v>1217</v>
      </c>
      <c r="C1043" s="17">
        <v>126</v>
      </c>
      <c r="D1043" s="20" t="s">
        <v>196</v>
      </c>
      <c r="E1043" s="19">
        <v>0</v>
      </c>
      <c r="F1043" s="19" t="s">
        <v>1203</v>
      </c>
      <c r="G1043" s="19" t="s">
        <v>1218</v>
      </c>
      <c r="H1043" s="33" t="s">
        <v>1142</v>
      </c>
      <c r="I1043" s="17" t="b">
        <v>0</v>
      </c>
      <c r="J1043" s="17" t="s">
        <v>247</v>
      </c>
      <c r="K1043" s="21" t="str">
        <f t="shared" si="25"/>
        <v>https://version2.ice-d.org/antarctica/sample/F2014-UG-16/</v>
      </c>
      <c r="L1043" s="74" t="s">
        <v>39</v>
      </c>
      <c r="M1043" s="175" t="s">
        <v>44</v>
      </c>
      <c r="O1043" s="17" t="s">
        <v>1205</v>
      </c>
      <c r="P1043" s="22">
        <v>-79.790480000000002</v>
      </c>
      <c r="Q1043" s="22">
        <v>-81.104979999999998</v>
      </c>
      <c r="R1043" s="22"/>
      <c r="S1043" s="22">
        <v>938</v>
      </c>
      <c r="T1043" s="22">
        <v>350</v>
      </c>
      <c r="U1043" s="23">
        <v>1140</v>
      </c>
      <c r="V1043" s="24" t="s">
        <v>1952</v>
      </c>
      <c r="W1043" s="44" t="s">
        <v>2446</v>
      </c>
      <c r="X1043" s="22">
        <f t="shared" si="26"/>
        <v>588</v>
      </c>
      <c r="Y1043" s="22">
        <v>5</v>
      </c>
      <c r="Z1043" s="22">
        <v>2.7</v>
      </c>
      <c r="AA1043" s="17" t="s">
        <v>73</v>
      </c>
      <c r="AB1043" s="26">
        <v>14562</v>
      </c>
      <c r="AC1043" s="26">
        <v>2036</v>
      </c>
      <c r="AD1043" s="26">
        <v>2849</v>
      </c>
      <c r="AE1043" s="27">
        <v>531173.05680000002</v>
      </c>
      <c r="AF1043" s="27">
        <v>10003.39165</v>
      </c>
      <c r="AG1043" s="28"/>
      <c r="AH1043" s="28"/>
      <c r="AI1043" s="27">
        <v>2006</v>
      </c>
      <c r="AJ1043" s="17">
        <v>0</v>
      </c>
      <c r="AK1043" s="17">
        <v>1</v>
      </c>
      <c r="AL1043" s="17" t="s">
        <v>1219</v>
      </c>
    </row>
    <row r="1044" spans="1:38" ht="12.75" customHeight="1">
      <c r="A1044" s="74" t="s">
        <v>1220</v>
      </c>
      <c r="B1044" s="19" t="s">
        <v>1217</v>
      </c>
      <c r="C1044" s="17">
        <v>126</v>
      </c>
      <c r="D1044" s="20" t="s">
        <v>196</v>
      </c>
      <c r="E1044" s="19">
        <v>0</v>
      </c>
      <c r="F1044" s="19" t="s">
        <v>1203</v>
      </c>
      <c r="G1044" s="19" t="s">
        <v>1218</v>
      </c>
      <c r="H1044" s="33" t="s">
        <v>1142</v>
      </c>
      <c r="I1044" s="17" t="b">
        <v>0</v>
      </c>
      <c r="J1044" s="17" t="s">
        <v>247</v>
      </c>
      <c r="K1044" s="21" t="str">
        <f t="shared" si="25"/>
        <v>https://version2.ice-d.org/antarctica/sample/F2014-UG-27/</v>
      </c>
      <c r="L1044" s="74" t="s">
        <v>39</v>
      </c>
      <c r="M1044" s="155"/>
      <c r="O1044" s="17" t="s">
        <v>1205</v>
      </c>
      <c r="P1044" s="22">
        <v>-79.790400000000005</v>
      </c>
      <c r="Q1044" s="22">
        <v>-81.121809999999996</v>
      </c>
      <c r="R1044" s="22"/>
      <c r="S1044" s="22">
        <v>839</v>
      </c>
      <c r="T1044" s="22">
        <v>350</v>
      </c>
      <c r="U1044" s="23">
        <v>1140</v>
      </c>
      <c r="V1044" s="24" t="s">
        <v>1953</v>
      </c>
      <c r="W1044" s="44" t="s">
        <v>2446</v>
      </c>
      <c r="X1044" s="22">
        <f t="shared" si="26"/>
        <v>489</v>
      </c>
      <c r="Y1044" s="22">
        <v>5</v>
      </c>
      <c r="Z1044" s="22">
        <v>2.7</v>
      </c>
      <c r="AA1044" s="17" t="s">
        <v>73</v>
      </c>
      <c r="AB1044" s="26">
        <v>7938</v>
      </c>
      <c r="AC1044" s="26">
        <v>229</v>
      </c>
      <c r="AD1044" s="26">
        <v>705</v>
      </c>
      <c r="AE1044" s="27">
        <v>415788.10879999999</v>
      </c>
      <c r="AF1044" s="27">
        <v>7808.6735140000001</v>
      </c>
      <c r="AG1044" s="28"/>
      <c r="AH1044" s="28"/>
      <c r="AI1044" s="27">
        <v>2006</v>
      </c>
      <c r="AJ1044" s="17">
        <v>0</v>
      </c>
      <c r="AK1044" s="17">
        <v>0</v>
      </c>
      <c r="AL1044" s="17" t="s">
        <v>1206</v>
      </c>
    </row>
    <row r="1045" spans="1:38" ht="12.75" customHeight="1">
      <c r="A1045" s="74" t="s">
        <v>1221</v>
      </c>
      <c r="B1045" s="19" t="s">
        <v>1217</v>
      </c>
      <c r="C1045" s="17">
        <v>126</v>
      </c>
      <c r="D1045" s="20" t="s">
        <v>196</v>
      </c>
      <c r="E1045" s="19">
        <v>0</v>
      </c>
      <c r="F1045" s="19" t="s">
        <v>1203</v>
      </c>
      <c r="G1045" s="19" t="s">
        <v>1218</v>
      </c>
      <c r="H1045" s="33" t="s">
        <v>1142</v>
      </c>
      <c r="I1045" s="17" t="b">
        <v>0</v>
      </c>
      <c r="J1045" s="17" t="s">
        <v>43</v>
      </c>
      <c r="K1045" s="21" t="str">
        <f t="shared" si="25"/>
        <v>https://version2.ice-d.org/antarctica/sample/F2014-UG-30/</v>
      </c>
      <c r="L1045" s="74" t="s">
        <v>39</v>
      </c>
      <c r="M1045" s="155"/>
      <c r="O1045" s="17" t="s">
        <v>1205</v>
      </c>
      <c r="P1045" s="22">
        <v>-79.790220000000005</v>
      </c>
      <c r="Q1045" s="22">
        <v>-81.127629999999996</v>
      </c>
      <c r="R1045" s="22"/>
      <c r="S1045" s="22">
        <v>800</v>
      </c>
      <c r="T1045" s="22">
        <v>350</v>
      </c>
      <c r="U1045" s="23">
        <v>1140</v>
      </c>
      <c r="V1045" s="24" t="s">
        <v>1954</v>
      </c>
      <c r="W1045" s="44" t="s">
        <v>2446</v>
      </c>
      <c r="X1045" s="22">
        <f t="shared" si="26"/>
        <v>450</v>
      </c>
      <c r="Y1045" s="22">
        <v>5</v>
      </c>
      <c r="Z1045" s="22">
        <v>2.7</v>
      </c>
      <c r="AA1045" s="17" t="s">
        <v>73</v>
      </c>
      <c r="AB1045" s="26">
        <v>17326</v>
      </c>
      <c r="AC1045" s="26">
        <v>549</v>
      </c>
      <c r="AD1045" s="26">
        <v>1164</v>
      </c>
      <c r="AE1045" s="27">
        <v>197442.47320000001</v>
      </c>
      <c r="AF1045" s="27">
        <v>6232.2656219999999</v>
      </c>
      <c r="AG1045" s="28"/>
      <c r="AH1045" s="28"/>
      <c r="AI1045" s="27">
        <v>2006</v>
      </c>
      <c r="AJ1045" s="17">
        <v>0</v>
      </c>
      <c r="AK1045" s="17">
        <v>0</v>
      </c>
      <c r="AL1045" s="17" t="s">
        <v>1206</v>
      </c>
    </row>
    <row r="1046" spans="1:38" ht="12.75" customHeight="1">
      <c r="A1046" s="37" t="s">
        <v>1222</v>
      </c>
      <c r="B1046" s="19" t="s">
        <v>1223</v>
      </c>
      <c r="C1046" s="17">
        <v>127</v>
      </c>
      <c r="D1046" s="19" t="s">
        <v>196</v>
      </c>
      <c r="E1046" s="19">
        <v>0</v>
      </c>
      <c r="F1046" s="19" t="s">
        <v>1203</v>
      </c>
      <c r="G1046" s="19" t="s">
        <v>1224</v>
      </c>
      <c r="H1046" s="19" t="s">
        <v>1142</v>
      </c>
      <c r="I1046" s="17" t="b">
        <v>0</v>
      </c>
      <c r="J1046" s="17" t="s">
        <v>43</v>
      </c>
      <c r="K1046" s="21" t="str">
        <f t="shared" si="25"/>
        <v>https://version2.ice-d.org/antarctica/sample/IH12-06/</v>
      </c>
      <c r="L1046" s="37" t="s">
        <v>148</v>
      </c>
      <c r="M1046" s="158" t="s">
        <v>1225</v>
      </c>
      <c r="N1046" s="17" t="s">
        <v>39</v>
      </c>
      <c r="O1046" s="28" t="s">
        <v>1226</v>
      </c>
      <c r="P1046" s="22">
        <v>-80.349106190000001</v>
      </c>
      <c r="Q1046" s="22">
        <v>-81.733517140000004</v>
      </c>
      <c r="R1046" s="22"/>
      <c r="S1046" s="22">
        <v>1213</v>
      </c>
      <c r="T1046" s="17">
        <v>840</v>
      </c>
      <c r="U1046" s="23">
        <v>400</v>
      </c>
      <c r="V1046" s="24" t="s">
        <v>1955</v>
      </c>
      <c r="W1046" s="44" t="s">
        <v>2446</v>
      </c>
      <c r="X1046" s="22">
        <f t="shared" si="26"/>
        <v>373</v>
      </c>
      <c r="Y1046" s="22">
        <v>4</v>
      </c>
      <c r="Z1046" s="22">
        <v>2.4</v>
      </c>
      <c r="AA1046" s="17" t="s">
        <v>73</v>
      </c>
      <c r="AB1046" s="26">
        <v>9534</v>
      </c>
      <c r="AC1046" s="26">
        <v>352</v>
      </c>
      <c r="AD1046" s="26">
        <v>665</v>
      </c>
      <c r="AE1046" s="27">
        <v>160100</v>
      </c>
      <c r="AF1046" s="27">
        <v>5900</v>
      </c>
      <c r="AG1046" s="28"/>
      <c r="AH1046" s="28"/>
      <c r="AI1046" s="17">
        <v>2012</v>
      </c>
      <c r="AJ1046" s="17">
        <v>1</v>
      </c>
      <c r="AK1046" s="17">
        <v>0</v>
      </c>
    </row>
    <row r="1047" spans="1:38" ht="11" customHeight="1">
      <c r="A1047" s="37" t="s">
        <v>1227</v>
      </c>
      <c r="B1047" s="19" t="s">
        <v>1223</v>
      </c>
      <c r="C1047" s="17">
        <v>127</v>
      </c>
      <c r="D1047" s="19" t="s">
        <v>196</v>
      </c>
      <c r="E1047" s="19">
        <v>0</v>
      </c>
      <c r="F1047" s="19" t="s">
        <v>1203</v>
      </c>
      <c r="G1047" s="19" t="s">
        <v>1224</v>
      </c>
      <c r="H1047" s="19" t="s">
        <v>1142</v>
      </c>
      <c r="I1047" s="17" t="b">
        <v>0</v>
      </c>
      <c r="J1047" s="17" t="s">
        <v>43</v>
      </c>
      <c r="K1047" s="21" t="str">
        <f t="shared" si="25"/>
        <v>https://version2.ice-d.org/antarctica/sample/IH12-33/</v>
      </c>
      <c r="L1047" s="37" t="s">
        <v>148</v>
      </c>
      <c r="M1047" s="155"/>
      <c r="N1047" s="17" t="s">
        <v>39</v>
      </c>
      <c r="O1047" s="28" t="s">
        <v>1226</v>
      </c>
      <c r="P1047" s="22">
        <v>-80.347607839999995</v>
      </c>
      <c r="Q1047" s="22">
        <v>-81.716062750000006</v>
      </c>
      <c r="R1047" s="22"/>
      <c r="S1047" s="22">
        <v>947</v>
      </c>
      <c r="T1047" s="17">
        <v>840</v>
      </c>
      <c r="U1047" s="23">
        <v>400</v>
      </c>
      <c r="V1047" s="24" t="s">
        <v>1956</v>
      </c>
      <c r="W1047" s="44" t="s">
        <v>2446</v>
      </c>
      <c r="X1047" s="22">
        <f t="shared" si="26"/>
        <v>107</v>
      </c>
      <c r="Y1047" s="22">
        <v>5.5</v>
      </c>
      <c r="Z1047" s="22">
        <v>2.4</v>
      </c>
      <c r="AA1047" s="17" t="s">
        <v>73</v>
      </c>
      <c r="AB1047" s="26">
        <v>4931</v>
      </c>
      <c r="AC1047" s="26">
        <v>266</v>
      </c>
      <c r="AD1047" s="26">
        <v>394</v>
      </c>
      <c r="AE1047" s="27">
        <v>63100</v>
      </c>
      <c r="AF1047" s="27">
        <v>3400</v>
      </c>
      <c r="AG1047" s="28"/>
      <c r="AH1047" s="28"/>
      <c r="AI1047" s="17">
        <v>2012</v>
      </c>
      <c r="AJ1047" s="17">
        <v>1</v>
      </c>
      <c r="AK1047" s="17">
        <v>0</v>
      </c>
    </row>
    <row r="1048" spans="1:38" ht="13" customHeight="1">
      <c r="A1048" s="37" t="s">
        <v>1228</v>
      </c>
      <c r="B1048" s="19" t="s">
        <v>1223</v>
      </c>
      <c r="C1048" s="17">
        <v>127</v>
      </c>
      <c r="D1048" s="19" t="s">
        <v>196</v>
      </c>
      <c r="E1048" s="19">
        <v>0</v>
      </c>
      <c r="F1048" s="19" t="s">
        <v>1203</v>
      </c>
      <c r="G1048" s="19" t="s">
        <v>1224</v>
      </c>
      <c r="H1048" s="19" t="s">
        <v>1142</v>
      </c>
      <c r="I1048" s="17" t="b">
        <v>0</v>
      </c>
      <c r="J1048" s="17" t="s">
        <v>43</v>
      </c>
      <c r="K1048" s="21" t="str">
        <f t="shared" si="25"/>
        <v>https://version2.ice-d.org/antarctica/sample/IH12-36/</v>
      </c>
      <c r="L1048" s="37" t="s">
        <v>148</v>
      </c>
      <c r="M1048" s="155"/>
      <c r="N1048" s="17" t="s">
        <v>39</v>
      </c>
      <c r="O1048" s="28" t="s">
        <v>1226</v>
      </c>
      <c r="P1048" s="22">
        <v>-80.347497790000006</v>
      </c>
      <c r="Q1048" s="22">
        <v>-81.707784110000006</v>
      </c>
      <c r="R1048" s="22"/>
      <c r="S1048" s="22">
        <v>880</v>
      </c>
      <c r="T1048" s="17">
        <v>840</v>
      </c>
      <c r="U1048" s="23">
        <v>400</v>
      </c>
      <c r="V1048" s="24" t="s">
        <v>1957</v>
      </c>
      <c r="W1048" s="44" t="s">
        <v>2446</v>
      </c>
      <c r="X1048" s="22">
        <f t="shared" si="26"/>
        <v>40</v>
      </c>
      <c r="Y1048" s="22">
        <v>6</v>
      </c>
      <c r="Z1048" s="22">
        <v>2.4</v>
      </c>
      <c r="AA1048" s="17" t="s">
        <v>73</v>
      </c>
      <c r="AB1048" s="26">
        <v>9580</v>
      </c>
      <c r="AC1048" s="26">
        <v>2163</v>
      </c>
      <c r="AD1048" s="26">
        <v>2236</v>
      </c>
      <c r="AE1048" s="27">
        <v>117200</v>
      </c>
      <c r="AF1048" s="27">
        <v>26400</v>
      </c>
      <c r="AG1048" s="28"/>
      <c r="AH1048" s="28"/>
      <c r="AI1048" s="17">
        <v>2012</v>
      </c>
      <c r="AJ1048" s="17">
        <v>1</v>
      </c>
      <c r="AK1048" s="17">
        <v>1</v>
      </c>
      <c r="AL1048" s="17" t="s">
        <v>1229</v>
      </c>
    </row>
    <row r="1049" spans="1:38" ht="12.75" customHeight="1">
      <c r="A1049" s="38" t="s">
        <v>1230</v>
      </c>
      <c r="B1049" s="19" t="s">
        <v>1231</v>
      </c>
      <c r="C1049" s="17">
        <v>128</v>
      </c>
      <c r="D1049" s="19" t="s">
        <v>196</v>
      </c>
      <c r="E1049" s="19">
        <v>0</v>
      </c>
      <c r="F1049" s="19" t="s">
        <v>1203</v>
      </c>
      <c r="G1049" s="19" t="s">
        <v>1224</v>
      </c>
      <c r="H1049" s="19" t="s">
        <v>1142</v>
      </c>
      <c r="I1049" s="17" t="b">
        <v>0</v>
      </c>
      <c r="J1049" s="17" t="s">
        <v>43</v>
      </c>
      <c r="K1049" s="21" t="str">
        <f t="shared" si="25"/>
        <v>https://version2.ice-d.org/antarctica/sample/MH12-06/</v>
      </c>
      <c r="L1049" s="38" t="s">
        <v>148</v>
      </c>
      <c r="M1049" s="159" t="s">
        <v>1232</v>
      </c>
      <c r="O1049" s="28" t="s">
        <v>1226</v>
      </c>
      <c r="P1049" s="22">
        <v>-80.262795980000007</v>
      </c>
      <c r="Q1049" s="22">
        <v>-82.156591109999994</v>
      </c>
      <c r="R1049" s="22"/>
      <c r="S1049" s="22">
        <v>1303</v>
      </c>
      <c r="T1049" s="22">
        <v>845</v>
      </c>
      <c r="U1049" s="23">
        <v>480</v>
      </c>
      <c r="V1049" s="24" t="s">
        <v>1958</v>
      </c>
      <c r="W1049" s="44" t="s">
        <v>2446</v>
      </c>
      <c r="X1049" s="22">
        <f t="shared" si="26"/>
        <v>458</v>
      </c>
      <c r="Y1049" s="22">
        <v>6</v>
      </c>
      <c r="Z1049" s="22">
        <v>2.4</v>
      </c>
      <c r="AA1049" s="17" t="s">
        <v>73</v>
      </c>
      <c r="AB1049" s="26">
        <v>10469</v>
      </c>
      <c r="AC1049" s="26">
        <v>386</v>
      </c>
      <c r="AD1049" s="26">
        <v>730</v>
      </c>
      <c r="AE1049" s="27">
        <v>187400</v>
      </c>
      <c r="AF1049" s="27">
        <v>6900</v>
      </c>
      <c r="AG1049" s="28"/>
      <c r="AH1049" s="28"/>
      <c r="AI1049" s="17">
        <v>2012</v>
      </c>
      <c r="AJ1049" s="17">
        <v>1</v>
      </c>
      <c r="AK1049" s="17">
        <v>0</v>
      </c>
    </row>
    <row r="1050" spans="1:38" ht="15.75" customHeight="1">
      <c r="A1050" s="38" t="s">
        <v>1233</v>
      </c>
      <c r="B1050" s="19" t="s">
        <v>1231</v>
      </c>
      <c r="C1050" s="17">
        <v>128</v>
      </c>
      <c r="D1050" s="19" t="s">
        <v>196</v>
      </c>
      <c r="E1050" s="19">
        <v>0</v>
      </c>
      <c r="F1050" s="19" t="s">
        <v>1203</v>
      </c>
      <c r="G1050" s="19" t="s">
        <v>1224</v>
      </c>
      <c r="H1050" s="19" t="s">
        <v>1142</v>
      </c>
      <c r="I1050" s="17" t="b">
        <v>0</v>
      </c>
      <c r="J1050" s="17" t="s">
        <v>43</v>
      </c>
      <c r="K1050" s="21" t="str">
        <f t="shared" si="25"/>
        <v>https://version2.ice-d.org/antarctica/sample/MH12-07/</v>
      </c>
      <c r="L1050" s="38" t="s">
        <v>148</v>
      </c>
      <c r="M1050" s="155"/>
      <c r="O1050" s="28" t="s">
        <v>1226</v>
      </c>
      <c r="P1050" s="22">
        <v>-80.262825980000002</v>
      </c>
      <c r="Q1050" s="22">
        <v>-82.155609499999997</v>
      </c>
      <c r="R1050" s="22"/>
      <c r="S1050" s="22">
        <v>1299</v>
      </c>
      <c r="T1050" s="22">
        <v>845</v>
      </c>
      <c r="U1050" s="23">
        <v>480</v>
      </c>
      <c r="V1050" s="24" t="s">
        <v>1959</v>
      </c>
      <c r="W1050" s="44" t="s">
        <v>2446</v>
      </c>
      <c r="X1050" s="22">
        <f t="shared" si="26"/>
        <v>454</v>
      </c>
      <c r="Y1050" s="22">
        <v>5</v>
      </c>
      <c r="Z1050" s="22">
        <v>2.4</v>
      </c>
      <c r="AA1050" s="17" t="s">
        <v>73</v>
      </c>
      <c r="AB1050" s="26">
        <v>9554</v>
      </c>
      <c r="AC1050" s="26">
        <v>367</v>
      </c>
      <c r="AD1050" s="26">
        <v>674</v>
      </c>
      <c r="AE1050" s="27">
        <v>172100</v>
      </c>
      <c r="AF1050" s="27">
        <v>6600</v>
      </c>
      <c r="AG1050" s="27">
        <v>1289300</v>
      </c>
      <c r="AH1050" s="27">
        <v>55000</v>
      </c>
      <c r="AI1050" s="17">
        <v>2012</v>
      </c>
      <c r="AJ1050" s="17">
        <v>1</v>
      </c>
      <c r="AK1050" s="17">
        <v>0</v>
      </c>
    </row>
    <row r="1051" spans="1:38" ht="15.75" customHeight="1">
      <c r="A1051" s="38" t="s">
        <v>1233</v>
      </c>
      <c r="B1051" s="19" t="s">
        <v>1231</v>
      </c>
      <c r="C1051" s="17">
        <v>128</v>
      </c>
      <c r="D1051" s="19" t="s">
        <v>196</v>
      </c>
      <c r="E1051" s="19">
        <v>0</v>
      </c>
      <c r="F1051" s="19" t="s">
        <v>1203</v>
      </c>
      <c r="G1051" s="19" t="s">
        <v>1224</v>
      </c>
      <c r="H1051" s="19" t="s">
        <v>1142</v>
      </c>
      <c r="I1051" s="17" t="b">
        <v>0</v>
      </c>
      <c r="J1051" s="17" t="s">
        <v>64</v>
      </c>
      <c r="K1051" s="21" t="str">
        <f t="shared" si="25"/>
        <v>https://version2.ice-d.org/antarctica/sample/MH12-07/</v>
      </c>
      <c r="L1051" s="38" t="s">
        <v>148</v>
      </c>
      <c r="M1051" s="155"/>
      <c r="O1051" s="28" t="s">
        <v>1226</v>
      </c>
      <c r="P1051" s="22">
        <v>-80.262825980000002</v>
      </c>
      <c r="Q1051" s="22">
        <v>-82.155609499999997</v>
      </c>
      <c r="R1051" s="22"/>
      <c r="S1051" s="22">
        <v>1299</v>
      </c>
      <c r="T1051" s="22">
        <v>845</v>
      </c>
      <c r="U1051" s="23">
        <v>480</v>
      </c>
      <c r="V1051" s="24" t="s">
        <v>1960</v>
      </c>
      <c r="W1051" s="44" t="s">
        <v>2446</v>
      </c>
      <c r="X1051" s="22">
        <f t="shared" si="26"/>
        <v>454</v>
      </c>
      <c r="Y1051" s="22">
        <v>5</v>
      </c>
      <c r="Z1051" s="22">
        <v>2.4</v>
      </c>
      <c r="AA1051" s="17" t="s">
        <v>73</v>
      </c>
      <c r="AB1051" s="26">
        <v>10203</v>
      </c>
      <c r="AC1051" s="26">
        <v>437</v>
      </c>
      <c r="AD1051" s="26">
        <v>984</v>
      </c>
      <c r="AE1051" s="27">
        <v>172100</v>
      </c>
      <c r="AF1051" s="27">
        <v>6600</v>
      </c>
      <c r="AG1051" s="27">
        <v>1289300</v>
      </c>
      <c r="AH1051" s="27">
        <v>55000</v>
      </c>
      <c r="AI1051" s="17">
        <v>2012</v>
      </c>
      <c r="AJ1051" s="17">
        <v>1</v>
      </c>
      <c r="AK1051" s="17">
        <v>0</v>
      </c>
    </row>
    <row r="1052" spans="1:38" ht="15.75" customHeight="1">
      <c r="A1052" s="38" t="s">
        <v>1234</v>
      </c>
      <c r="B1052" s="19" t="s">
        <v>1231</v>
      </c>
      <c r="C1052" s="17">
        <v>128</v>
      </c>
      <c r="D1052" s="19" t="s">
        <v>196</v>
      </c>
      <c r="E1052" s="19">
        <v>0</v>
      </c>
      <c r="F1052" s="19" t="s">
        <v>1203</v>
      </c>
      <c r="G1052" s="19" t="s">
        <v>1224</v>
      </c>
      <c r="H1052" s="19" t="s">
        <v>1142</v>
      </c>
      <c r="I1052" s="17" t="b">
        <v>0</v>
      </c>
      <c r="J1052" s="17" t="s">
        <v>43</v>
      </c>
      <c r="K1052" s="21" t="str">
        <f t="shared" si="25"/>
        <v>https://version2.ice-d.org/antarctica/sample/MH12-13/</v>
      </c>
      <c r="L1052" s="38" t="s">
        <v>148</v>
      </c>
      <c r="M1052" s="155"/>
      <c r="O1052" s="28" t="s">
        <v>1226</v>
      </c>
      <c r="P1052" s="22">
        <v>-80.262536969999999</v>
      </c>
      <c r="Q1052" s="22">
        <v>-82.145427589999997</v>
      </c>
      <c r="R1052" s="22"/>
      <c r="S1052" s="22">
        <v>1276</v>
      </c>
      <c r="T1052" s="22">
        <v>845</v>
      </c>
      <c r="U1052" s="23">
        <v>480</v>
      </c>
      <c r="V1052" s="24" t="s">
        <v>1961</v>
      </c>
      <c r="W1052" s="44" t="s">
        <v>2446</v>
      </c>
      <c r="X1052" s="22">
        <f t="shared" si="26"/>
        <v>431</v>
      </c>
      <c r="Y1052" s="22">
        <v>5</v>
      </c>
      <c r="Z1052" s="22">
        <v>2.4</v>
      </c>
      <c r="AA1052" s="17" t="s">
        <v>73</v>
      </c>
      <c r="AB1052" s="26">
        <v>13520</v>
      </c>
      <c r="AC1052" s="26">
        <v>519</v>
      </c>
      <c r="AD1052" s="26">
        <v>954</v>
      </c>
      <c r="AE1052" s="27">
        <v>237700</v>
      </c>
      <c r="AF1052" s="27">
        <v>9100</v>
      </c>
      <c r="AG1052" s="27">
        <v>1768200</v>
      </c>
      <c r="AH1052" s="27">
        <v>73800</v>
      </c>
      <c r="AI1052" s="17">
        <v>2012</v>
      </c>
      <c r="AJ1052" s="17">
        <v>1</v>
      </c>
      <c r="AK1052" s="17">
        <v>0</v>
      </c>
    </row>
    <row r="1053" spans="1:38" ht="15.75" customHeight="1">
      <c r="A1053" s="38" t="s">
        <v>1234</v>
      </c>
      <c r="B1053" s="19" t="s">
        <v>1231</v>
      </c>
      <c r="C1053" s="17">
        <v>128</v>
      </c>
      <c r="D1053" s="19" t="s">
        <v>196</v>
      </c>
      <c r="E1053" s="19">
        <v>0</v>
      </c>
      <c r="F1053" s="19" t="s">
        <v>1203</v>
      </c>
      <c r="G1053" s="19" t="s">
        <v>1224</v>
      </c>
      <c r="H1053" s="19" t="s">
        <v>1142</v>
      </c>
      <c r="I1053" s="17" t="b">
        <v>0</v>
      </c>
      <c r="J1053" s="17" t="s">
        <v>64</v>
      </c>
      <c r="K1053" s="21" t="str">
        <f t="shared" si="25"/>
        <v>https://version2.ice-d.org/antarctica/sample/MH12-13/</v>
      </c>
      <c r="L1053" s="38" t="s">
        <v>148</v>
      </c>
      <c r="M1053" s="155"/>
      <c r="O1053" s="28" t="s">
        <v>1226</v>
      </c>
      <c r="P1053" s="22">
        <v>-80.262536969999999</v>
      </c>
      <c r="Q1053" s="22">
        <v>-82.145427589999997</v>
      </c>
      <c r="R1053" s="22"/>
      <c r="S1053" s="22">
        <v>1276</v>
      </c>
      <c r="T1053" s="22">
        <v>845</v>
      </c>
      <c r="U1053" s="23">
        <v>480</v>
      </c>
      <c r="V1053" s="24" t="s">
        <v>1962</v>
      </c>
      <c r="W1053" s="44" t="s">
        <v>2446</v>
      </c>
      <c r="X1053" s="22">
        <f t="shared" si="26"/>
        <v>431</v>
      </c>
      <c r="Y1053" s="22">
        <v>5</v>
      </c>
      <c r="Z1053" s="22">
        <v>2.4</v>
      </c>
      <c r="AA1053" s="17" t="s">
        <v>73</v>
      </c>
      <c r="AB1053" s="26">
        <v>14330</v>
      </c>
      <c r="AC1053" s="26">
        <v>602</v>
      </c>
      <c r="AD1053" s="26">
        <v>1380</v>
      </c>
      <c r="AE1053" s="27">
        <v>237700</v>
      </c>
      <c r="AF1053" s="27">
        <v>9100</v>
      </c>
      <c r="AG1053" s="27">
        <v>1768200</v>
      </c>
      <c r="AH1053" s="27">
        <v>73800</v>
      </c>
      <c r="AI1053" s="17">
        <v>2012</v>
      </c>
      <c r="AJ1053" s="17">
        <v>1</v>
      </c>
      <c r="AK1053" s="17">
        <v>0</v>
      </c>
    </row>
    <row r="1054" spans="1:38" ht="15.75" customHeight="1">
      <c r="A1054" s="38" t="s">
        <v>1235</v>
      </c>
      <c r="B1054" s="19" t="s">
        <v>1231</v>
      </c>
      <c r="C1054" s="17">
        <v>128</v>
      </c>
      <c r="D1054" s="19" t="s">
        <v>196</v>
      </c>
      <c r="E1054" s="19">
        <v>0</v>
      </c>
      <c r="F1054" s="19" t="s">
        <v>1203</v>
      </c>
      <c r="G1054" s="19" t="s">
        <v>1224</v>
      </c>
      <c r="H1054" s="19" t="s">
        <v>1142</v>
      </c>
      <c r="I1054" s="17" t="b">
        <v>0</v>
      </c>
      <c r="J1054" s="17" t="s">
        <v>43</v>
      </c>
      <c r="K1054" s="21" t="str">
        <f t="shared" si="25"/>
        <v>https://version2.ice-d.org/antarctica/sample/MH12-16/</v>
      </c>
      <c r="L1054" s="38" t="s">
        <v>148</v>
      </c>
      <c r="M1054" s="155"/>
      <c r="O1054" s="28" t="s">
        <v>1226</v>
      </c>
      <c r="P1054" s="22">
        <v>-80.262859090000006</v>
      </c>
      <c r="Q1054" s="22">
        <v>-82.136919030000001</v>
      </c>
      <c r="R1054" s="22"/>
      <c r="S1054" s="22">
        <v>1254</v>
      </c>
      <c r="T1054" s="22">
        <v>845</v>
      </c>
      <c r="U1054" s="23">
        <v>480</v>
      </c>
      <c r="V1054" s="24" t="s">
        <v>1963</v>
      </c>
      <c r="W1054" s="44" t="s">
        <v>2446</v>
      </c>
      <c r="X1054" s="22">
        <f t="shared" si="26"/>
        <v>409</v>
      </c>
      <c r="Y1054" s="22">
        <v>5</v>
      </c>
      <c r="Z1054" s="22">
        <v>2.4</v>
      </c>
      <c r="AA1054" s="17" t="s">
        <v>73</v>
      </c>
      <c r="AB1054" s="26">
        <v>6032</v>
      </c>
      <c r="AC1054" s="26">
        <v>256</v>
      </c>
      <c r="AD1054" s="26">
        <v>439</v>
      </c>
      <c r="AE1054" s="27">
        <v>104000</v>
      </c>
      <c r="AF1054" s="27">
        <v>4400</v>
      </c>
      <c r="AG1054" s="27">
        <v>749100</v>
      </c>
      <c r="AH1054" s="27">
        <v>33800</v>
      </c>
      <c r="AI1054" s="17">
        <v>2012</v>
      </c>
      <c r="AJ1054" s="17">
        <v>1</v>
      </c>
      <c r="AK1054" s="17">
        <v>0</v>
      </c>
    </row>
    <row r="1055" spans="1:38" ht="15.75" customHeight="1">
      <c r="A1055" s="38" t="s">
        <v>1235</v>
      </c>
      <c r="B1055" s="19" t="s">
        <v>1231</v>
      </c>
      <c r="C1055" s="17">
        <v>128</v>
      </c>
      <c r="D1055" s="19" t="s">
        <v>196</v>
      </c>
      <c r="E1055" s="19">
        <v>0</v>
      </c>
      <c r="F1055" s="19" t="s">
        <v>1203</v>
      </c>
      <c r="G1055" s="19" t="s">
        <v>1224</v>
      </c>
      <c r="H1055" s="19" t="s">
        <v>1142</v>
      </c>
      <c r="I1055" s="17" t="b">
        <v>0</v>
      </c>
      <c r="J1055" s="17" t="s">
        <v>64</v>
      </c>
      <c r="K1055" s="21" t="str">
        <f t="shared" si="25"/>
        <v>https://version2.ice-d.org/antarctica/sample/MH12-16/</v>
      </c>
      <c r="L1055" s="38" t="s">
        <v>148</v>
      </c>
      <c r="M1055" s="155"/>
      <c r="O1055" s="28" t="s">
        <v>1226</v>
      </c>
      <c r="P1055" s="22">
        <v>-80.262859090000006</v>
      </c>
      <c r="Q1055" s="22">
        <v>-82.136919030000001</v>
      </c>
      <c r="R1055" s="22"/>
      <c r="S1055" s="22">
        <v>1254</v>
      </c>
      <c r="T1055" s="22">
        <v>845</v>
      </c>
      <c r="U1055" s="23">
        <v>480</v>
      </c>
      <c r="V1055" s="24" t="s">
        <v>1964</v>
      </c>
      <c r="W1055" s="44" t="s">
        <v>2446</v>
      </c>
      <c r="X1055" s="22">
        <f t="shared" si="26"/>
        <v>409</v>
      </c>
      <c r="Y1055" s="22">
        <v>5</v>
      </c>
      <c r="Z1055" s="22">
        <v>2.4</v>
      </c>
      <c r="AA1055" s="17" t="s">
        <v>73</v>
      </c>
      <c r="AB1055" s="26">
        <v>6174</v>
      </c>
      <c r="AC1055" s="26">
        <v>279</v>
      </c>
      <c r="AD1055" s="26">
        <v>601</v>
      </c>
      <c r="AE1055" s="27">
        <v>104000</v>
      </c>
      <c r="AF1055" s="27">
        <v>4400</v>
      </c>
      <c r="AG1055" s="27">
        <v>749100</v>
      </c>
      <c r="AH1055" s="27">
        <v>33800</v>
      </c>
      <c r="AI1055" s="17">
        <v>2012</v>
      </c>
      <c r="AJ1055" s="17">
        <v>1</v>
      </c>
      <c r="AK1055" s="17">
        <v>0</v>
      </c>
    </row>
    <row r="1056" spans="1:38" ht="15.75" customHeight="1">
      <c r="A1056" s="38" t="s">
        <v>1236</v>
      </c>
      <c r="B1056" s="19" t="s">
        <v>1231</v>
      </c>
      <c r="C1056" s="17">
        <v>128</v>
      </c>
      <c r="D1056" s="19" t="s">
        <v>196</v>
      </c>
      <c r="E1056" s="19">
        <v>0</v>
      </c>
      <c r="F1056" s="19" t="s">
        <v>1203</v>
      </c>
      <c r="G1056" s="19" t="s">
        <v>1224</v>
      </c>
      <c r="H1056" s="19" t="s">
        <v>1142</v>
      </c>
      <c r="I1056" s="17" t="b">
        <v>0</v>
      </c>
      <c r="J1056" s="17" t="s">
        <v>43</v>
      </c>
      <c r="K1056" s="21" t="str">
        <f t="shared" si="25"/>
        <v>https://version2.ice-d.org/antarctica/sample/MH12-20/</v>
      </c>
      <c r="L1056" s="38" t="s">
        <v>148</v>
      </c>
      <c r="M1056" s="155"/>
      <c r="O1056" s="28" t="s">
        <v>1226</v>
      </c>
      <c r="P1056" s="22">
        <v>-80.262827580000007</v>
      </c>
      <c r="Q1056" s="22">
        <v>-82.1194524</v>
      </c>
      <c r="R1056" s="22"/>
      <c r="S1056" s="22">
        <v>1175</v>
      </c>
      <c r="T1056" s="22">
        <v>845</v>
      </c>
      <c r="U1056" s="23">
        <v>480</v>
      </c>
      <c r="V1056" s="24" t="s">
        <v>1965</v>
      </c>
      <c r="W1056" s="44" t="s">
        <v>2446</v>
      </c>
      <c r="X1056" s="22">
        <f t="shared" si="26"/>
        <v>330</v>
      </c>
      <c r="Y1056" s="22">
        <v>4</v>
      </c>
      <c r="Z1056" s="22">
        <v>2.4</v>
      </c>
      <c r="AA1056" s="17" t="s">
        <v>73</v>
      </c>
      <c r="AB1056" s="26">
        <v>6982</v>
      </c>
      <c r="AC1056" s="26">
        <v>297</v>
      </c>
      <c r="AD1056" s="26">
        <v>508</v>
      </c>
      <c r="AE1056" s="27">
        <v>113200</v>
      </c>
      <c r="AF1056" s="27">
        <v>4800</v>
      </c>
      <c r="AG1056" s="28"/>
      <c r="AH1056" s="28"/>
      <c r="AI1056" s="17">
        <v>2012</v>
      </c>
      <c r="AJ1056" s="17">
        <v>1</v>
      </c>
      <c r="AK1056" s="17">
        <v>0</v>
      </c>
    </row>
    <row r="1057" spans="1:38" ht="15.75" customHeight="1">
      <c r="A1057" s="38" t="s">
        <v>1237</v>
      </c>
      <c r="B1057" s="19" t="s">
        <v>1231</v>
      </c>
      <c r="C1057" s="17">
        <v>128</v>
      </c>
      <c r="D1057" s="19" t="s">
        <v>196</v>
      </c>
      <c r="E1057" s="19">
        <v>0</v>
      </c>
      <c r="F1057" s="19" t="s">
        <v>1203</v>
      </c>
      <c r="G1057" s="19" t="s">
        <v>1224</v>
      </c>
      <c r="H1057" s="19" t="s">
        <v>1142</v>
      </c>
      <c r="I1057" s="17" t="b">
        <v>0</v>
      </c>
      <c r="J1057" s="17" t="s">
        <v>43</v>
      </c>
      <c r="K1057" s="21" t="str">
        <f t="shared" si="25"/>
        <v>https://version2.ice-d.org/antarctica/sample/MH12-24/</v>
      </c>
      <c r="L1057" s="38" t="s">
        <v>148</v>
      </c>
      <c r="M1057" s="155"/>
      <c r="O1057" s="28" t="s">
        <v>1226</v>
      </c>
      <c r="P1057" s="22">
        <v>-80.261310030000004</v>
      </c>
      <c r="Q1057" s="22">
        <v>-82.113797300000002</v>
      </c>
      <c r="R1057" s="22"/>
      <c r="S1057" s="22">
        <v>1134</v>
      </c>
      <c r="T1057" s="22">
        <v>845</v>
      </c>
      <c r="U1057" s="23">
        <v>480</v>
      </c>
      <c r="V1057" s="24" t="s">
        <v>1966</v>
      </c>
      <c r="W1057" s="44" t="s">
        <v>2446</v>
      </c>
      <c r="X1057" s="22">
        <f t="shared" si="26"/>
        <v>289</v>
      </c>
      <c r="Y1057" s="22">
        <v>3.5</v>
      </c>
      <c r="Z1057" s="22">
        <v>2.4</v>
      </c>
      <c r="AA1057" s="17" t="s">
        <v>73</v>
      </c>
      <c r="AB1057" s="26">
        <v>8000</v>
      </c>
      <c r="AC1057" s="26">
        <v>310</v>
      </c>
      <c r="AD1057" s="26">
        <v>566</v>
      </c>
      <c r="AE1057" s="27">
        <v>126700</v>
      </c>
      <c r="AF1057" s="27">
        <v>4900</v>
      </c>
      <c r="AG1057" s="28"/>
      <c r="AH1057" s="28"/>
      <c r="AI1057" s="17">
        <v>2012</v>
      </c>
      <c r="AJ1057" s="17">
        <v>1</v>
      </c>
      <c r="AK1057" s="17">
        <v>0</v>
      </c>
    </row>
    <row r="1058" spans="1:38" ht="15.75" customHeight="1">
      <c r="A1058" s="38" t="s">
        <v>1238</v>
      </c>
      <c r="B1058" s="19" t="s">
        <v>1231</v>
      </c>
      <c r="C1058" s="17">
        <v>128</v>
      </c>
      <c r="D1058" s="19" t="s">
        <v>196</v>
      </c>
      <c r="E1058" s="19">
        <v>0</v>
      </c>
      <c r="F1058" s="19" t="s">
        <v>1203</v>
      </c>
      <c r="G1058" s="19" t="s">
        <v>1224</v>
      </c>
      <c r="H1058" s="19" t="s">
        <v>1142</v>
      </c>
      <c r="I1058" s="17" t="b">
        <v>0</v>
      </c>
      <c r="J1058" s="17" t="s">
        <v>43</v>
      </c>
      <c r="K1058" s="21" t="str">
        <f t="shared" si="25"/>
        <v>https://version2.ice-d.org/antarctica/sample/MH12-56/</v>
      </c>
      <c r="L1058" s="38" t="s">
        <v>148</v>
      </c>
      <c r="M1058" s="155"/>
      <c r="O1058" s="28" t="s">
        <v>1226</v>
      </c>
      <c r="P1058" s="22">
        <v>-80.264040190000003</v>
      </c>
      <c r="Q1058" s="22">
        <v>-82.080082099999998</v>
      </c>
      <c r="R1058" s="22"/>
      <c r="S1058" s="22">
        <v>1042</v>
      </c>
      <c r="T1058" s="17">
        <v>805</v>
      </c>
      <c r="U1058" s="23">
        <v>480</v>
      </c>
      <c r="V1058" s="24" t="s">
        <v>1967</v>
      </c>
      <c r="W1058" s="44" t="s">
        <v>2446</v>
      </c>
      <c r="X1058" s="22">
        <f t="shared" si="26"/>
        <v>237</v>
      </c>
      <c r="Y1058" s="22">
        <v>3.5</v>
      </c>
      <c r="Z1058" s="22">
        <v>2.4</v>
      </c>
      <c r="AA1058" s="17" t="s">
        <v>73</v>
      </c>
      <c r="AB1058" s="26">
        <v>6603</v>
      </c>
      <c r="AC1058" s="26">
        <v>340</v>
      </c>
      <c r="AD1058" s="26">
        <v>518</v>
      </c>
      <c r="AE1058" s="27">
        <v>95200</v>
      </c>
      <c r="AF1058" s="27">
        <v>4900</v>
      </c>
      <c r="AG1058" s="28"/>
      <c r="AH1058" s="28"/>
      <c r="AI1058" s="17">
        <v>2012</v>
      </c>
      <c r="AJ1058" s="17">
        <v>1</v>
      </c>
      <c r="AK1058" s="17">
        <v>0</v>
      </c>
    </row>
    <row r="1059" spans="1:38" ht="15.75" customHeight="1">
      <c r="A1059" s="38" t="s">
        <v>1239</v>
      </c>
      <c r="B1059" s="19" t="s">
        <v>1231</v>
      </c>
      <c r="C1059" s="17">
        <v>128</v>
      </c>
      <c r="D1059" s="19" t="s">
        <v>196</v>
      </c>
      <c r="E1059" s="19">
        <v>0</v>
      </c>
      <c r="F1059" s="19" t="s">
        <v>1203</v>
      </c>
      <c r="G1059" s="19" t="s">
        <v>1224</v>
      </c>
      <c r="H1059" s="19" t="s">
        <v>1142</v>
      </c>
      <c r="I1059" s="17" t="b">
        <v>0</v>
      </c>
      <c r="J1059" s="17" t="s">
        <v>43</v>
      </c>
      <c r="K1059" s="21" t="str">
        <f t="shared" si="25"/>
        <v>https://version2.ice-d.org/antarctica/sample/MH12-59/</v>
      </c>
      <c r="L1059" s="38" t="s">
        <v>148</v>
      </c>
      <c r="M1059" s="155"/>
      <c r="O1059" s="28" t="s">
        <v>1226</v>
      </c>
      <c r="P1059" s="22">
        <v>-80.264212520000001</v>
      </c>
      <c r="Q1059" s="22">
        <v>-82.079169899999997</v>
      </c>
      <c r="R1059" s="22"/>
      <c r="S1059" s="22">
        <v>1039</v>
      </c>
      <c r="T1059" s="17">
        <v>805</v>
      </c>
      <c r="U1059" s="23">
        <v>480</v>
      </c>
      <c r="V1059" s="24" t="s">
        <v>1968</v>
      </c>
      <c r="W1059" s="44" t="s">
        <v>2446</v>
      </c>
      <c r="X1059" s="22">
        <f t="shared" si="26"/>
        <v>234</v>
      </c>
      <c r="Y1059" s="22">
        <v>3.5</v>
      </c>
      <c r="Z1059" s="22">
        <v>2.4</v>
      </c>
      <c r="AA1059" s="17" t="s">
        <v>73</v>
      </c>
      <c r="AB1059" s="26">
        <v>6000</v>
      </c>
      <c r="AC1059" s="26">
        <v>341</v>
      </c>
      <c r="AD1059" s="26">
        <v>492</v>
      </c>
      <c r="AE1059" s="27">
        <v>86400</v>
      </c>
      <c r="AF1059" s="27">
        <v>4900</v>
      </c>
      <c r="AG1059" s="28"/>
      <c r="AH1059" s="28"/>
      <c r="AI1059" s="17">
        <v>2012</v>
      </c>
      <c r="AJ1059" s="17">
        <v>1</v>
      </c>
      <c r="AK1059" s="17">
        <v>0</v>
      </c>
    </row>
    <row r="1060" spans="1:38" ht="15.75" customHeight="1">
      <c r="A1060" s="38" t="s">
        <v>1240</v>
      </c>
      <c r="B1060" s="19" t="s">
        <v>1231</v>
      </c>
      <c r="C1060" s="17">
        <v>128</v>
      </c>
      <c r="D1060" s="19" t="s">
        <v>196</v>
      </c>
      <c r="E1060" s="19">
        <v>0</v>
      </c>
      <c r="F1060" s="19" t="s">
        <v>1203</v>
      </c>
      <c r="G1060" s="19" t="s">
        <v>1224</v>
      </c>
      <c r="H1060" s="19" t="s">
        <v>1142</v>
      </c>
      <c r="I1060" s="17" t="b">
        <v>0</v>
      </c>
      <c r="J1060" s="17" t="s">
        <v>43</v>
      </c>
      <c r="K1060" s="21" t="str">
        <f t="shared" si="25"/>
        <v>https://version2.ice-d.org/antarctica/sample/MH12-62/</v>
      </c>
      <c r="L1060" s="38" t="s">
        <v>148</v>
      </c>
      <c r="M1060" s="155"/>
      <c r="O1060" s="28" t="s">
        <v>1226</v>
      </c>
      <c r="P1060" s="22">
        <v>-80.265129329999994</v>
      </c>
      <c r="Q1060" s="22">
        <v>-82.074880210000003</v>
      </c>
      <c r="R1060" s="22"/>
      <c r="S1060" s="22">
        <v>1010</v>
      </c>
      <c r="T1060" s="22">
        <v>805</v>
      </c>
      <c r="U1060" s="23">
        <v>480</v>
      </c>
      <c r="V1060" s="24" t="s">
        <v>1969</v>
      </c>
      <c r="W1060" s="44" t="s">
        <v>2446</v>
      </c>
      <c r="X1060" s="22">
        <f t="shared" si="26"/>
        <v>205</v>
      </c>
      <c r="Y1060" s="22">
        <v>4.5</v>
      </c>
      <c r="Z1060" s="22">
        <v>2.4</v>
      </c>
      <c r="AA1060" s="17" t="s">
        <v>73</v>
      </c>
      <c r="AB1060" s="26">
        <v>14639</v>
      </c>
      <c r="AC1060" s="26">
        <v>504</v>
      </c>
      <c r="AD1060" s="26">
        <v>1003</v>
      </c>
      <c r="AE1060" s="27">
        <v>204000</v>
      </c>
      <c r="AF1060" s="27">
        <v>7000</v>
      </c>
      <c r="AG1060" s="27">
        <v>1515700</v>
      </c>
      <c r="AH1060" s="27">
        <v>63300</v>
      </c>
      <c r="AI1060" s="17">
        <v>2012</v>
      </c>
      <c r="AJ1060" s="17">
        <v>1</v>
      </c>
      <c r="AK1060" s="17">
        <v>0</v>
      </c>
    </row>
    <row r="1061" spans="1:38" ht="15.75" customHeight="1">
      <c r="A1061" s="38" t="s">
        <v>1240</v>
      </c>
      <c r="B1061" s="19" t="s">
        <v>1231</v>
      </c>
      <c r="C1061" s="17">
        <v>128</v>
      </c>
      <c r="D1061" s="19" t="s">
        <v>196</v>
      </c>
      <c r="E1061" s="19">
        <v>0</v>
      </c>
      <c r="F1061" s="19" t="s">
        <v>1203</v>
      </c>
      <c r="G1061" s="19" t="s">
        <v>1224</v>
      </c>
      <c r="H1061" s="19" t="s">
        <v>1142</v>
      </c>
      <c r="I1061" s="17" t="b">
        <v>0</v>
      </c>
      <c r="J1061" s="17" t="s">
        <v>64</v>
      </c>
      <c r="K1061" s="21" t="str">
        <f t="shared" si="25"/>
        <v>https://version2.ice-d.org/antarctica/sample/MH12-62/</v>
      </c>
      <c r="L1061" s="38" t="s">
        <v>148</v>
      </c>
      <c r="M1061" s="155"/>
      <c r="O1061" s="28" t="s">
        <v>1226</v>
      </c>
      <c r="P1061" s="22">
        <v>-80.265129329999994</v>
      </c>
      <c r="Q1061" s="22">
        <v>-82.074880210000003</v>
      </c>
      <c r="R1061" s="22"/>
      <c r="S1061" s="22">
        <v>1010</v>
      </c>
      <c r="T1061" s="22">
        <v>805</v>
      </c>
      <c r="U1061" s="23">
        <v>480</v>
      </c>
      <c r="V1061" s="24" t="s">
        <v>1970</v>
      </c>
      <c r="W1061" s="44" t="s">
        <v>2446</v>
      </c>
      <c r="X1061" s="22">
        <f t="shared" si="26"/>
        <v>205</v>
      </c>
      <c r="Y1061" s="22">
        <v>4.5</v>
      </c>
      <c r="Z1061" s="22">
        <v>2.4</v>
      </c>
      <c r="AA1061" s="17" t="s">
        <v>73</v>
      </c>
      <c r="AB1061" s="26">
        <v>15459</v>
      </c>
      <c r="AC1061" s="26">
        <v>651</v>
      </c>
      <c r="AD1061" s="26">
        <v>1489</v>
      </c>
      <c r="AE1061" s="27">
        <v>204000</v>
      </c>
      <c r="AF1061" s="27">
        <v>7000</v>
      </c>
      <c r="AG1061" s="27">
        <v>1515700</v>
      </c>
      <c r="AH1061" s="27">
        <v>63300</v>
      </c>
      <c r="AI1061" s="17">
        <v>2012</v>
      </c>
      <c r="AJ1061" s="17">
        <v>1</v>
      </c>
      <c r="AK1061" s="17">
        <v>0</v>
      </c>
    </row>
    <row r="1062" spans="1:38" ht="15.75" customHeight="1">
      <c r="A1062" s="38" t="s">
        <v>1241</v>
      </c>
      <c r="B1062" s="19" t="s">
        <v>1231</v>
      </c>
      <c r="C1062" s="17">
        <v>128</v>
      </c>
      <c r="D1062" s="19" t="s">
        <v>196</v>
      </c>
      <c r="E1062" s="19">
        <v>0</v>
      </c>
      <c r="F1062" s="19" t="s">
        <v>1203</v>
      </c>
      <c r="G1062" s="19" t="s">
        <v>1224</v>
      </c>
      <c r="H1062" s="19" t="s">
        <v>1142</v>
      </c>
      <c r="I1062" s="17" t="b">
        <v>0</v>
      </c>
      <c r="J1062" s="17" t="s">
        <v>43</v>
      </c>
      <c r="K1062" s="21" t="str">
        <f t="shared" si="25"/>
        <v>https://version2.ice-d.org/antarctica/sample/MH12-63/</v>
      </c>
      <c r="L1062" s="38" t="s">
        <v>148</v>
      </c>
      <c r="M1062" s="155"/>
      <c r="O1062" s="28" t="s">
        <v>1226</v>
      </c>
      <c r="P1062" s="22">
        <v>-80.265427470000006</v>
      </c>
      <c r="Q1062" s="22">
        <v>-82.0756899</v>
      </c>
      <c r="R1062" s="22"/>
      <c r="S1062" s="22">
        <v>987</v>
      </c>
      <c r="T1062" s="22">
        <v>805</v>
      </c>
      <c r="U1062" s="23">
        <v>480</v>
      </c>
      <c r="V1062" s="24" t="s">
        <v>1971</v>
      </c>
      <c r="W1062" s="44" t="s">
        <v>2446</v>
      </c>
      <c r="X1062" s="22">
        <f t="shared" si="26"/>
        <v>182</v>
      </c>
      <c r="Y1062" s="22">
        <v>2.5</v>
      </c>
      <c r="Z1062" s="22">
        <v>2.4</v>
      </c>
      <c r="AA1062" s="17" t="s">
        <v>73</v>
      </c>
      <c r="AB1062" s="26">
        <v>5283</v>
      </c>
      <c r="AC1062" s="26">
        <v>315</v>
      </c>
      <c r="AD1062" s="26">
        <v>444</v>
      </c>
      <c r="AE1062" s="27">
        <v>72100</v>
      </c>
      <c r="AF1062" s="27">
        <v>4300</v>
      </c>
      <c r="AG1062" s="28"/>
      <c r="AH1062" s="28"/>
      <c r="AI1062" s="17">
        <v>2012</v>
      </c>
      <c r="AJ1062" s="17">
        <v>1</v>
      </c>
      <c r="AK1062" s="17">
        <v>0</v>
      </c>
    </row>
    <row r="1063" spans="1:38" ht="12.75" customHeight="1">
      <c r="A1063" s="130" t="s">
        <v>1242</v>
      </c>
      <c r="B1063" s="19" t="s">
        <v>1231</v>
      </c>
      <c r="C1063" s="17">
        <v>129</v>
      </c>
      <c r="D1063" s="19" t="s">
        <v>196</v>
      </c>
      <c r="E1063" s="19">
        <v>0</v>
      </c>
      <c r="F1063" s="19" t="s">
        <v>1203</v>
      </c>
      <c r="G1063" s="19" t="s">
        <v>1243</v>
      </c>
      <c r="H1063" s="33" t="s">
        <v>1142</v>
      </c>
      <c r="I1063" s="28" t="b">
        <v>0</v>
      </c>
      <c r="J1063" s="17" t="s">
        <v>43</v>
      </c>
      <c r="K1063" s="21" t="str">
        <f t="shared" si="25"/>
        <v>https://version2.ice-d.org/antarctica/sample/MAR-05-MJB/</v>
      </c>
      <c r="L1063" s="130" t="s">
        <v>39</v>
      </c>
      <c r="M1063" s="164" t="s">
        <v>44</v>
      </c>
      <c r="O1063" s="28" t="s">
        <v>1244</v>
      </c>
      <c r="P1063" s="22">
        <v>-80.262929999999997</v>
      </c>
      <c r="Q1063" s="22">
        <v>-82.123580000000004</v>
      </c>
      <c r="R1063" s="22"/>
      <c r="S1063" s="22">
        <v>1192</v>
      </c>
      <c r="T1063" s="22">
        <v>820</v>
      </c>
      <c r="U1063" s="23">
        <v>535</v>
      </c>
      <c r="V1063" s="24" t="s">
        <v>1972</v>
      </c>
      <c r="W1063" s="44" t="s">
        <v>2446</v>
      </c>
      <c r="X1063" s="22">
        <f t="shared" si="26"/>
        <v>372</v>
      </c>
      <c r="Y1063" s="22">
        <v>5</v>
      </c>
      <c r="Z1063" s="22">
        <v>2.7</v>
      </c>
      <c r="AA1063" s="17" t="s">
        <v>84</v>
      </c>
      <c r="AB1063" s="26">
        <v>7044</v>
      </c>
      <c r="AC1063" s="26">
        <v>179</v>
      </c>
      <c r="AD1063" s="26">
        <v>453</v>
      </c>
      <c r="AE1063" s="27">
        <v>122000</v>
      </c>
      <c r="AF1063" s="27">
        <v>3090</v>
      </c>
      <c r="AG1063" s="28"/>
      <c r="AH1063" s="28"/>
      <c r="AI1063" s="17">
        <v>2008</v>
      </c>
      <c r="AJ1063" s="17">
        <v>0</v>
      </c>
      <c r="AK1063" s="17">
        <v>0</v>
      </c>
      <c r="AL1063" s="17" t="s">
        <v>1245</v>
      </c>
    </row>
    <row r="1064" spans="1:38" ht="12.75" customHeight="1">
      <c r="A1064" s="130" t="s">
        <v>1246</v>
      </c>
      <c r="B1064" s="19" t="s">
        <v>1231</v>
      </c>
      <c r="C1064" s="17">
        <v>129</v>
      </c>
      <c r="D1064" s="19" t="s">
        <v>196</v>
      </c>
      <c r="E1064" s="19">
        <v>0</v>
      </c>
      <c r="F1064" s="19" t="s">
        <v>1203</v>
      </c>
      <c r="G1064" s="19" t="s">
        <v>1243</v>
      </c>
      <c r="H1064" s="33" t="s">
        <v>1142</v>
      </c>
      <c r="I1064" s="28" t="b">
        <v>0</v>
      </c>
      <c r="J1064" s="17" t="s">
        <v>43</v>
      </c>
      <c r="K1064" s="21" t="str">
        <f t="shared" si="25"/>
        <v>https://version2.ice-d.org/antarctica/sample/MAR-06-MJB/</v>
      </c>
      <c r="L1064" s="130" t="s">
        <v>39</v>
      </c>
      <c r="M1064" s="155"/>
      <c r="O1064" s="28" t="s">
        <v>1244</v>
      </c>
      <c r="P1064" s="22">
        <v>-80.263769999999994</v>
      </c>
      <c r="Q1064" s="22">
        <v>-82.117720000000006</v>
      </c>
      <c r="R1064" s="22"/>
      <c r="S1064" s="22">
        <v>1166</v>
      </c>
      <c r="T1064" s="22">
        <v>820</v>
      </c>
      <c r="U1064" s="23">
        <v>535</v>
      </c>
      <c r="V1064" s="24" t="s">
        <v>1973</v>
      </c>
      <c r="W1064" s="44" t="s">
        <v>2446</v>
      </c>
      <c r="X1064" s="22">
        <f t="shared" si="26"/>
        <v>346</v>
      </c>
      <c r="Y1064" s="22">
        <v>5</v>
      </c>
      <c r="Z1064" s="22">
        <v>2.7</v>
      </c>
      <c r="AA1064" s="17" t="s">
        <v>84</v>
      </c>
      <c r="AB1064" s="26">
        <v>7691</v>
      </c>
      <c r="AC1064" s="26">
        <v>348</v>
      </c>
      <c r="AD1064" s="26">
        <v>572</v>
      </c>
      <c r="AE1064" s="27">
        <v>131000</v>
      </c>
      <c r="AF1064" s="27">
        <v>5910</v>
      </c>
      <c r="AG1064" s="27">
        <v>5980000</v>
      </c>
      <c r="AH1064" s="27">
        <v>136000</v>
      </c>
      <c r="AI1064" s="17">
        <v>2008</v>
      </c>
      <c r="AJ1064" s="17">
        <v>0</v>
      </c>
      <c r="AK1064" s="17">
        <v>0</v>
      </c>
      <c r="AL1064" s="17" t="s">
        <v>1245</v>
      </c>
    </row>
    <row r="1065" spans="1:38" ht="12.75" customHeight="1">
      <c r="A1065" s="130" t="s">
        <v>1247</v>
      </c>
      <c r="B1065" s="19" t="s">
        <v>1231</v>
      </c>
      <c r="C1065" s="17">
        <v>129</v>
      </c>
      <c r="D1065" s="19" t="s">
        <v>196</v>
      </c>
      <c r="E1065" s="19">
        <v>0</v>
      </c>
      <c r="F1065" s="19" t="s">
        <v>1203</v>
      </c>
      <c r="G1065" s="19" t="s">
        <v>1243</v>
      </c>
      <c r="H1065" s="33" t="s">
        <v>1142</v>
      </c>
      <c r="I1065" s="28" t="b">
        <v>0</v>
      </c>
      <c r="J1065" s="17" t="s">
        <v>43</v>
      </c>
      <c r="K1065" s="21" t="str">
        <f t="shared" si="25"/>
        <v>https://version2.ice-d.org/antarctica/sample/MAR-08-MJB/</v>
      </c>
      <c r="L1065" s="130" t="s">
        <v>39</v>
      </c>
      <c r="M1065" s="155"/>
      <c r="O1065" s="28" t="s">
        <v>1244</v>
      </c>
      <c r="P1065" s="22">
        <v>-80.264330000000001</v>
      </c>
      <c r="Q1065" s="22">
        <v>-82.078370000000007</v>
      </c>
      <c r="R1065" s="22"/>
      <c r="S1065" s="22">
        <v>1020</v>
      </c>
      <c r="T1065" s="22">
        <v>820</v>
      </c>
      <c r="U1065" s="23">
        <v>535</v>
      </c>
      <c r="V1065" s="24" t="s">
        <v>1974</v>
      </c>
      <c r="W1065" s="44" t="s">
        <v>2446</v>
      </c>
      <c r="X1065" s="22">
        <f t="shared" si="26"/>
        <v>200</v>
      </c>
      <c r="Y1065" s="22">
        <v>5</v>
      </c>
      <c r="Z1065" s="22">
        <v>2.7</v>
      </c>
      <c r="AA1065" s="17" t="s">
        <v>84</v>
      </c>
      <c r="AB1065" s="26">
        <v>6458</v>
      </c>
      <c r="AC1065" s="26">
        <v>64</v>
      </c>
      <c r="AD1065" s="26">
        <v>387</v>
      </c>
      <c r="AE1065" s="27">
        <v>96000</v>
      </c>
      <c r="AF1065" s="27">
        <v>947</v>
      </c>
      <c r="AG1065" s="28"/>
      <c r="AH1065" s="28"/>
      <c r="AI1065" s="17">
        <v>2008</v>
      </c>
      <c r="AJ1065" s="17">
        <v>0</v>
      </c>
      <c r="AK1065" s="17">
        <v>0</v>
      </c>
      <c r="AL1065" s="17" t="s">
        <v>1245</v>
      </c>
    </row>
    <row r="1066" spans="1:38" ht="12.75" customHeight="1">
      <c r="A1066" s="130" t="s">
        <v>1248</v>
      </c>
      <c r="B1066" s="19" t="s">
        <v>1231</v>
      </c>
      <c r="C1066" s="17">
        <v>129</v>
      </c>
      <c r="D1066" s="19" t="s">
        <v>196</v>
      </c>
      <c r="E1066" s="19">
        <v>0</v>
      </c>
      <c r="F1066" s="19" t="s">
        <v>1203</v>
      </c>
      <c r="G1066" s="19" t="s">
        <v>1243</v>
      </c>
      <c r="H1066" s="33" t="s">
        <v>1142</v>
      </c>
      <c r="I1066" s="28" t="b">
        <v>0</v>
      </c>
      <c r="J1066" s="17" t="s">
        <v>43</v>
      </c>
      <c r="K1066" s="21" t="str">
        <f t="shared" si="25"/>
        <v>https://version2.ice-d.org/antarctica/sample/MAR-09-CJF/</v>
      </c>
      <c r="L1066" s="130" t="s">
        <v>39</v>
      </c>
      <c r="M1066" s="155"/>
      <c r="O1066" s="28" t="s">
        <v>1249</v>
      </c>
      <c r="P1066" s="22">
        <v>-80.261520000000004</v>
      </c>
      <c r="Q1066" s="22">
        <v>-82.169569999999993</v>
      </c>
      <c r="R1066" s="22"/>
      <c r="S1066" s="22">
        <v>1305</v>
      </c>
      <c r="T1066" s="22">
        <v>820</v>
      </c>
      <c r="U1066" s="23">
        <v>535</v>
      </c>
      <c r="V1066" s="24" t="s">
        <v>1975</v>
      </c>
      <c r="W1066" s="44" t="s">
        <v>2446</v>
      </c>
      <c r="X1066" s="22">
        <f t="shared" si="26"/>
        <v>485</v>
      </c>
      <c r="Y1066" s="22">
        <v>5</v>
      </c>
      <c r="Z1066" s="22">
        <v>2.7</v>
      </c>
      <c r="AA1066" s="17" t="s">
        <v>84</v>
      </c>
      <c r="AB1066" s="26">
        <v>15696</v>
      </c>
      <c r="AC1066" s="26">
        <v>117</v>
      </c>
      <c r="AD1066" s="26">
        <v>937</v>
      </c>
      <c r="AE1066" s="27">
        <v>305000</v>
      </c>
      <c r="AF1066" s="27">
        <v>2270</v>
      </c>
      <c r="AG1066" s="28"/>
      <c r="AH1066" s="28"/>
      <c r="AI1066" s="17">
        <v>2008</v>
      </c>
      <c r="AJ1066" s="17">
        <v>0</v>
      </c>
      <c r="AK1066" s="17">
        <v>0</v>
      </c>
      <c r="AL1066" s="17" t="s">
        <v>1245</v>
      </c>
    </row>
    <row r="1067" spans="1:38" ht="12.75" customHeight="1">
      <c r="A1067" s="130" t="s">
        <v>1250</v>
      </c>
      <c r="B1067" s="19" t="s">
        <v>1231</v>
      </c>
      <c r="C1067" s="17">
        <v>129</v>
      </c>
      <c r="D1067" s="19" t="s">
        <v>196</v>
      </c>
      <c r="E1067" s="19">
        <v>0</v>
      </c>
      <c r="F1067" s="19" t="s">
        <v>1203</v>
      </c>
      <c r="G1067" s="19" t="s">
        <v>1243</v>
      </c>
      <c r="H1067" s="33" t="s">
        <v>1142</v>
      </c>
      <c r="I1067" s="28" t="b">
        <v>0</v>
      </c>
      <c r="J1067" s="17" t="s">
        <v>43</v>
      </c>
      <c r="K1067" s="21" t="str">
        <f t="shared" si="25"/>
        <v>https://version2.ice-d.org/antarctica/sample/MAR-10-MJB/</v>
      </c>
      <c r="L1067" s="130" t="s">
        <v>39</v>
      </c>
      <c r="M1067" s="155"/>
      <c r="O1067" s="28" t="s">
        <v>1251</v>
      </c>
      <c r="P1067" s="22">
        <v>-80.265619999999998</v>
      </c>
      <c r="Q1067" s="22">
        <v>-82.07602</v>
      </c>
      <c r="R1067" s="22"/>
      <c r="S1067" s="22">
        <v>974</v>
      </c>
      <c r="T1067" s="22">
        <v>820</v>
      </c>
      <c r="U1067" s="23">
        <v>535</v>
      </c>
      <c r="V1067" s="24" t="s">
        <v>1976</v>
      </c>
      <c r="W1067" s="44" t="s">
        <v>2446</v>
      </c>
      <c r="X1067" s="22">
        <f t="shared" si="26"/>
        <v>154</v>
      </c>
      <c r="Y1067" s="22">
        <v>5</v>
      </c>
      <c r="Z1067" s="22">
        <v>2.7</v>
      </c>
      <c r="AA1067" s="17" t="s">
        <v>84</v>
      </c>
      <c r="AB1067" s="26">
        <v>12008</v>
      </c>
      <c r="AC1067" s="26">
        <v>226</v>
      </c>
      <c r="AD1067" s="26">
        <v>746</v>
      </c>
      <c r="AE1067" s="27">
        <v>175000</v>
      </c>
      <c r="AF1067" s="27">
        <v>3280</v>
      </c>
      <c r="AG1067" s="28"/>
      <c r="AH1067" s="28"/>
      <c r="AI1067" s="17">
        <v>2008</v>
      </c>
      <c r="AJ1067" s="17">
        <v>0</v>
      </c>
      <c r="AK1067" s="17">
        <v>0</v>
      </c>
      <c r="AL1067" s="17" t="s">
        <v>1245</v>
      </c>
    </row>
    <row r="1068" spans="1:38" ht="12.75" customHeight="1">
      <c r="A1068" s="130" t="s">
        <v>1252</v>
      </c>
      <c r="B1068" s="19" t="s">
        <v>1231</v>
      </c>
      <c r="C1068" s="17">
        <v>129</v>
      </c>
      <c r="D1068" s="19" t="s">
        <v>196</v>
      </c>
      <c r="E1068" s="19">
        <v>0</v>
      </c>
      <c r="F1068" s="19" t="s">
        <v>1203</v>
      </c>
      <c r="G1068" s="19" t="s">
        <v>1243</v>
      </c>
      <c r="H1068" s="33" t="s">
        <v>1142</v>
      </c>
      <c r="I1068" s="28" t="b">
        <v>0</v>
      </c>
      <c r="J1068" s="17" t="s">
        <v>43</v>
      </c>
      <c r="K1068" s="21" t="str">
        <f t="shared" si="25"/>
        <v>https://version2.ice-d.org/antarctica/sample/MAR-11-CJF/</v>
      </c>
      <c r="L1068" s="130" t="s">
        <v>39</v>
      </c>
      <c r="M1068" s="155"/>
      <c r="O1068" s="28" t="s">
        <v>1249</v>
      </c>
      <c r="P1068" s="22">
        <v>-80.261979999999994</v>
      </c>
      <c r="Q1068" s="22">
        <v>-82.161119999999997</v>
      </c>
      <c r="R1068" s="22"/>
      <c r="S1068" s="22">
        <v>1280</v>
      </c>
      <c r="T1068" s="22">
        <v>820</v>
      </c>
      <c r="U1068" s="23">
        <v>535</v>
      </c>
      <c r="V1068" s="24" t="s">
        <v>1977</v>
      </c>
      <c r="W1068" s="44" t="s">
        <v>2446</v>
      </c>
      <c r="X1068" s="22">
        <f t="shared" si="26"/>
        <v>460</v>
      </c>
      <c r="Y1068" s="22">
        <v>5</v>
      </c>
      <c r="Z1068" s="22">
        <v>2.7</v>
      </c>
      <c r="AA1068" s="17" t="s">
        <v>84</v>
      </c>
      <c r="AB1068" s="26">
        <v>16039</v>
      </c>
      <c r="AC1068" s="26">
        <v>526</v>
      </c>
      <c r="AD1068" s="26">
        <v>1086</v>
      </c>
      <c r="AE1068" s="27">
        <v>305000</v>
      </c>
      <c r="AF1068" s="27">
        <v>9960</v>
      </c>
      <c r="AG1068" s="28"/>
      <c r="AH1068" s="28"/>
      <c r="AI1068" s="17">
        <v>2008</v>
      </c>
      <c r="AJ1068" s="17">
        <v>0</v>
      </c>
      <c r="AK1068" s="17">
        <v>0</v>
      </c>
      <c r="AL1068" s="17" t="s">
        <v>1245</v>
      </c>
    </row>
    <row r="1069" spans="1:38" ht="12.75" customHeight="1">
      <c r="A1069" s="130" t="s">
        <v>1253</v>
      </c>
      <c r="B1069" s="19" t="s">
        <v>1231</v>
      </c>
      <c r="C1069" s="17">
        <v>129</v>
      </c>
      <c r="D1069" s="19" t="s">
        <v>196</v>
      </c>
      <c r="E1069" s="19">
        <v>0</v>
      </c>
      <c r="F1069" s="19" t="s">
        <v>1203</v>
      </c>
      <c r="G1069" s="19" t="s">
        <v>1243</v>
      </c>
      <c r="H1069" s="33" t="s">
        <v>1142</v>
      </c>
      <c r="I1069" s="28" t="b">
        <v>0</v>
      </c>
      <c r="J1069" s="17" t="s">
        <v>43</v>
      </c>
      <c r="K1069" s="21" t="str">
        <f t="shared" si="25"/>
        <v>https://version2.ice-d.org/antarctica/sample/MAR-26-CJF/</v>
      </c>
      <c r="L1069" s="130" t="s">
        <v>39</v>
      </c>
      <c r="M1069" s="155"/>
      <c r="O1069" s="28" t="s">
        <v>1251</v>
      </c>
      <c r="P1069" s="22">
        <v>-80.237399999999994</v>
      </c>
      <c r="Q1069" s="22">
        <v>-82.170320000000004</v>
      </c>
      <c r="R1069" s="22"/>
      <c r="S1069" s="22">
        <v>879</v>
      </c>
      <c r="T1069" s="22">
        <v>820</v>
      </c>
      <c r="U1069" s="23">
        <v>535</v>
      </c>
      <c r="V1069" s="24" t="s">
        <v>1978</v>
      </c>
      <c r="W1069" s="44" t="s">
        <v>2446</v>
      </c>
      <c r="X1069" s="22">
        <f t="shared" si="26"/>
        <v>59</v>
      </c>
      <c r="Y1069" s="22">
        <v>5</v>
      </c>
      <c r="Z1069" s="22">
        <v>2.7</v>
      </c>
      <c r="AA1069" s="17" t="s">
        <v>84</v>
      </c>
      <c r="AB1069" s="26">
        <v>6324</v>
      </c>
      <c r="AC1069" s="26">
        <v>367</v>
      </c>
      <c r="AD1069" s="26">
        <v>523</v>
      </c>
      <c r="AE1069" s="27">
        <v>84500</v>
      </c>
      <c r="AF1069" s="27">
        <v>4890</v>
      </c>
      <c r="AG1069" s="28"/>
      <c r="AH1069" s="28"/>
      <c r="AI1069" s="17">
        <v>2008</v>
      </c>
      <c r="AJ1069" s="17">
        <v>0</v>
      </c>
      <c r="AK1069" s="17">
        <v>0</v>
      </c>
      <c r="AL1069" s="17" t="s">
        <v>1245</v>
      </c>
    </row>
    <row r="1070" spans="1:38" ht="12.75" customHeight="1">
      <c r="A1070" s="121" t="s">
        <v>1254</v>
      </c>
      <c r="B1070" s="19" t="s">
        <v>1231</v>
      </c>
      <c r="C1070" s="17">
        <v>130</v>
      </c>
      <c r="D1070" s="19" t="s">
        <v>196</v>
      </c>
      <c r="E1070" s="19">
        <v>0</v>
      </c>
      <c r="F1070" s="19" t="s">
        <v>1203</v>
      </c>
      <c r="G1070" s="19" t="s">
        <v>1243</v>
      </c>
      <c r="H1070" s="33" t="s">
        <v>1142</v>
      </c>
      <c r="I1070" s="28" t="b">
        <v>0</v>
      </c>
      <c r="J1070" s="17" t="s">
        <v>43</v>
      </c>
      <c r="K1070" s="21" t="str">
        <f t="shared" si="25"/>
        <v>https://version2.ice-d.org/antarctica/sample/CF-231-08/</v>
      </c>
      <c r="L1070" s="140" t="s">
        <v>154</v>
      </c>
      <c r="M1070" s="121" t="s">
        <v>44</v>
      </c>
      <c r="N1070" s="17" t="s">
        <v>39</v>
      </c>
      <c r="O1070" s="28" t="s">
        <v>1251</v>
      </c>
      <c r="P1070" s="22">
        <v>-80.257400000000004</v>
      </c>
      <c r="Q1070" s="22">
        <v>-82.126099999999994</v>
      </c>
      <c r="R1070" s="22"/>
      <c r="S1070" s="22">
        <v>950</v>
      </c>
      <c r="T1070" s="22">
        <v>820</v>
      </c>
      <c r="U1070" s="23">
        <v>480</v>
      </c>
      <c r="V1070" s="24" t="s">
        <v>1979</v>
      </c>
      <c r="W1070" s="44" t="s">
        <v>2446</v>
      </c>
      <c r="X1070" s="22">
        <f t="shared" si="26"/>
        <v>130</v>
      </c>
      <c r="Y1070" s="22">
        <v>5</v>
      </c>
      <c r="Z1070" s="22">
        <v>2.7</v>
      </c>
      <c r="AA1070" s="17" t="s">
        <v>84</v>
      </c>
      <c r="AB1070" s="26">
        <v>324</v>
      </c>
      <c r="AC1070" s="26">
        <v>21</v>
      </c>
      <c r="AD1070" s="26">
        <v>29</v>
      </c>
      <c r="AE1070" s="27">
        <v>4660</v>
      </c>
      <c r="AF1070" s="27">
        <v>306</v>
      </c>
      <c r="AG1070" s="28"/>
      <c r="AH1070" s="28"/>
      <c r="AI1070" s="27">
        <v>2009</v>
      </c>
      <c r="AJ1070" s="17">
        <v>0</v>
      </c>
      <c r="AK1070" s="17">
        <v>1</v>
      </c>
      <c r="AL1070" s="17" t="s">
        <v>1255</v>
      </c>
    </row>
    <row r="1071" spans="1:38" ht="12.75" customHeight="1">
      <c r="A1071" s="121" t="s">
        <v>1256</v>
      </c>
      <c r="B1071" s="19" t="s">
        <v>1231</v>
      </c>
      <c r="C1071" s="17">
        <v>130</v>
      </c>
      <c r="D1071" s="19" t="s">
        <v>196</v>
      </c>
      <c r="E1071" s="19">
        <v>0</v>
      </c>
      <c r="F1071" s="19" t="s">
        <v>1203</v>
      </c>
      <c r="G1071" s="19" t="s">
        <v>1243</v>
      </c>
      <c r="H1071" s="33" t="s">
        <v>1142</v>
      </c>
      <c r="I1071" s="28" t="b">
        <v>0</v>
      </c>
      <c r="J1071" s="17" t="s">
        <v>43</v>
      </c>
      <c r="K1071" s="21" t="str">
        <f t="shared" si="25"/>
        <v>https://version2.ice-d.org/antarctica/sample/CF-228-08/</v>
      </c>
      <c r="L1071" s="140" t="s">
        <v>154</v>
      </c>
      <c r="M1071" s="121"/>
      <c r="N1071" s="17" t="s">
        <v>39</v>
      </c>
      <c r="O1071" s="28" t="s">
        <v>1251</v>
      </c>
      <c r="P1071" s="22">
        <v>-80.257400000000004</v>
      </c>
      <c r="Q1071" s="22">
        <v>-82.132800000000003</v>
      </c>
      <c r="R1071" s="22"/>
      <c r="S1071" s="22">
        <v>986</v>
      </c>
      <c r="T1071" s="22">
        <v>820</v>
      </c>
      <c r="U1071" s="23">
        <v>480</v>
      </c>
      <c r="V1071" s="24" t="s">
        <v>1980</v>
      </c>
      <c r="W1071" s="44" t="s">
        <v>2446</v>
      </c>
      <c r="X1071" s="22">
        <f t="shared" si="26"/>
        <v>166</v>
      </c>
      <c r="Y1071" s="22">
        <v>5</v>
      </c>
      <c r="Z1071" s="22">
        <v>2.7</v>
      </c>
      <c r="AA1071" s="17" t="s">
        <v>84</v>
      </c>
      <c r="AB1071" s="26">
        <v>5687</v>
      </c>
      <c r="AC1071" s="26">
        <v>123</v>
      </c>
      <c r="AD1071" s="26">
        <v>358</v>
      </c>
      <c r="AE1071" s="27">
        <v>83600</v>
      </c>
      <c r="AF1071" s="27">
        <v>1800</v>
      </c>
      <c r="AG1071" s="28"/>
      <c r="AH1071" s="28"/>
      <c r="AI1071" s="27">
        <v>2009</v>
      </c>
      <c r="AJ1071" s="17">
        <v>0</v>
      </c>
      <c r="AK1071" s="17">
        <v>0</v>
      </c>
      <c r="AL1071" s="17" t="s">
        <v>1245</v>
      </c>
    </row>
    <row r="1072" spans="1:38" ht="12.75" customHeight="1">
      <c r="A1072" s="121" t="s">
        <v>1257</v>
      </c>
      <c r="B1072" s="19" t="s">
        <v>1231</v>
      </c>
      <c r="C1072" s="17">
        <v>130</v>
      </c>
      <c r="D1072" s="19" t="s">
        <v>196</v>
      </c>
      <c r="E1072" s="19">
        <v>0</v>
      </c>
      <c r="F1072" s="19" t="s">
        <v>1203</v>
      </c>
      <c r="G1072" s="19" t="s">
        <v>1243</v>
      </c>
      <c r="H1072" s="33" t="s">
        <v>1142</v>
      </c>
      <c r="I1072" s="28" t="b">
        <v>0</v>
      </c>
      <c r="J1072" s="17" t="s">
        <v>43</v>
      </c>
      <c r="K1072" s="21" t="str">
        <f t="shared" si="25"/>
        <v>https://version2.ice-d.org/antarctica/sample/CF-229-08/</v>
      </c>
      <c r="L1072" s="140" t="s">
        <v>154</v>
      </c>
      <c r="M1072" s="121"/>
      <c r="N1072" s="17" t="s">
        <v>39</v>
      </c>
      <c r="O1072" s="28" t="s">
        <v>1251</v>
      </c>
      <c r="P1072" s="22">
        <v>-80.257400000000004</v>
      </c>
      <c r="Q1072" s="22">
        <v>-82.132800000000003</v>
      </c>
      <c r="R1072" s="22"/>
      <c r="S1072" s="22">
        <v>986</v>
      </c>
      <c r="T1072" s="22">
        <v>820</v>
      </c>
      <c r="U1072" s="23">
        <v>480</v>
      </c>
      <c r="V1072" s="24" t="s">
        <v>1981</v>
      </c>
      <c r="W1072" s="44" t="s">
        <v>2446</v>
      </c>
      <c r="X1072" s="22">
        <f t="shared" si="26"/>
        <v>166</v>
      </c>
      <c r="Y1072" s="22">
        <v>5</v>
      </c>
      <c r="Z1072" s="22">
        <v>2.7</v>
      </c>
      <c r="AA1072" s="17" t="s">
        <v>84</v>
      </c>
      <c r="AB1072" s="26">
        <v>4886</v>
      </c>
      <c r="AC1072" s="26">
        <v>117</v>
      </c>
      <c r="AD1072" s="26">
        <v>311</v>
      </c>
      <c r="AE1072" s="27">
        <v>71800</v>
      </c>
      <c r="AF1072" s="27">
        <v>1720</v>
      </c>
      <c r="AG1072" s="28"/>
      <c r="AH1072" s="28"/>
      <c r="AI1072" s="27">
        <v>2009</v>
      </c>
      <c r="AJ1072" s="17">
        <v>0</v>
      </c>
      <c r="AK1072" s="17">
        <v>0</v>
      </c>
      <c r="AL1072" s="17" t="s">
        <v>1245</v>
      </c>
    </row>
    <row r="1073" spans="1:39" ht="12.75" customHeight="1">
      <c r="A1073" s="121" t="s">
        <v>1258</v>
      </c>
      <c r="B1073" s="19" t="s">
        <v>1231</v>
      </c>
      <c r="C1073" s="17">
        <v>130</v>
      </c>
      <c r="D1073" s="19" t="s">
        <v>196</v>
      </c>
      <c r="E1073" s="19">
        <v>0</v>
      </c>
      <c r="F1073" s="19" t="s">
        <v>1203</v>
      </c>
      <c r="G1073" s="19" t="s">
        <v>1243</v>
      </c>
      <c r="H1073" s="33" t="s">
        <v>1142</v>
      </c>
      <c r="I1073" s="28" t="b">
        <v>0</v>
      </c>
      <c r="J1073" s="17" t="s">
        <v>43</v>
      </c>
      <c r="K1073" s="21" t="str">
        <f t="shared" si="25"/>
        <v>https://version2.ice-d.org/antarctica/sample/CF-230-08/</v>
      </c>
      <c r="L1073" s="140" t="s">
        <v>154</v>
      </c>
      <c r="M1073" s="121"/>
      <c r="N1073" s="17" t="s">
        <v>39</v>
      </c>
      <c r="O1073" s="28" t="s">
        <v>1251</v>
      </c>
      <c r="P1073" s="22">
        <v>-80.257400000000004</v>
      </c>
      <c r="Q1073" s="22">
        <v>-82.126099999999994</v>
      </c>
      <c r="R1073" s="22"/>
      <c r="S1073" s="22">
        <v>950</v>
      </c>
      <c r="T1073" s="22">
        <v>820</v>
      </c>
      <c r="U1073" s="23">
        <v>480</v>
      </c>
      <c r="V1073" s="24" t="s">
        <v>1982</v>
      </c>
      <c r="W1073" s="44" t="s">
        <v>2446</v>
      </c>
      <c r="X1073" s="22">
        <f t="shared" si="26"/>
        <v>130</v>
      </c>
      <c r="Y1073" s="22">
        <v>5</v>
      </c>
      <c r="Z1073" s="22">
        <v>2.7</v>
      </c>
      <c r="AA1073" s="17" t="s">
        <v>84</v>
      </c>
      <c r="AB1073" s="26">
        <v>9214</v>
      </c>
      <c r="AC1073" s="26">
        <v>221</v>
      </c>
      <c r="AD1073" s="26">
        <v>588</v>
      </c>
      <c r="AE1073" s="27">
        <v>132000</v>
      </c>
      <c r="AF1073" s="27">
        <v>3160</v>
      </c>
      <c r="AG1073" s="28"/>
      <c r="AH1073" s="28"/>
      <c r="AI1073" s="27">
        <v>2009</v>
      </c>
      <c r="AJ1073" s="17">
        <v>0</v>
      </c>
      <c r="AK1073" s="17">
        <v>0</v>
      </c>
      <c r="AL1073" s="17" t="s">
        <v>1245</v>
      </c>
    </row>
    <row r="1074" spans="1:39" ht="12.75" customHeight="1">
      <c r="A1074" s="58" t="s">
        <v>1259</v>
      </c>
      <c r="B1074" s="33" t="s">
        <v>1231</v>
      </c>
      <c r="C1074" s="27">
        <v>131</v>
      </c>
      <c r="D1074" s="19" t="s">
        <v>196</v>
      </c>
      <c r="E1074" s="19">
        <v>0</v>
      </c>
      <c r="F1074" s="19" t="s">
        <v>1203</v>
      </c>
      <c r="G1074" s="19" t="s">
        <v>1224</v>
      </c>
      <c r="H1074" s="19" t="s">
        <v>1142</v>
      </c>
      <c r="I1074" s="17" t="b">
        <v>0</v>
      </c>
      <c r="J1074" s="17" t="s">
        <v>64</v>
      </c>
      <c r="K1074" s="21" t="str">
        <f t="shared" si="25"/>
        <v>https://version2.ice-d.org/antarctica/sample/MH14-10/</v>
      </c>
      <c r="L1074" s="58" t="s">
        <v>39</v>
      </c>
      <c r="M1074" s="176" t="s">
        <v>44</v>
      </c>
      <c r="O1074" s="17" t="s">
        <v>1260</v>
      </c>
      <c r="P1074" s="17">
        <v>-80.2654</v>
      </c>
      <c r="Q1074" s="17">
        <v>-82.193316999999993</v>
      </c>
      <c r="S1074" s="17">
        <v>1327</v>
      </c>
      <c r="T1074" s="17">
        <v>830</v>
      </c>
      <c r="U1074" s="23">
        <v>500</v>
      </c>
      <c r="V1074" s="24" t="s">
        <v>1983</v>
      </c>
      <c r="W1074" s="44" t="s">
        <v>2446</v>
      </c>
      <c r="X1074" s="17">
        <f t="shared" si="26"/>
        <v>497</v>
      </c>
      <c r="Y1074" s="17">
        <v>5</v>
      </c>
      <c r="Z1074" s="17">
        <v>2.2999999999999998</v>
      </c>
      <c r="AA1074" s="17" t="s">
        <v>73</v>
      </c>
      <c r="AB1074" s="56">
        <v>12531</v>
      </c>
      <c r="AC1074" s="56">
        <v>554</v>
      </c>
      <c r="AD1074" s="56">
        <v>1217</v>
      </c>
      <c r="AE1074" s="28">
        <v>258000</v>
      </c>
      <c r="AF1074" s="28">
        <v>9000</v>
      </c>
      <c r="AG1074" s="28">
        <v>1617000</v>
      </c>
      <c r="AH1074" s="28">
        <v>71000</v>
      </c>
      <c r="AI1074" s="17">
        <v>2014</v>
      </c>
      <c r="AJ1074" s="17">
        <v>1</v>
      </c>
      <c r="AK1074" s="17">
        <v>0</v>
      </c>
    </row>
    <row r="1075" spans="1:39" ht="12.75" customHeight="1">
      <c r="A1075" s="58" t="s">
        <v>1259</v>
      </c>
      <c r="B1075" s="33" t="s">
        <v>1231</v>
      </c>
      <c r="C1075" s="27">
        <v>131</v>
      </c>
      <c r="D1075" s="19" t="s">
        <v>196</v>
      </c>
      <c r="E1075" s="19">
        <v>0</v>
      </c>
      <c r="F1075" s="19" t="s">
        <v>1203</v>
      </c>
      <c r="G1075" s="19" t="s">
        <v>1224</v>
      </c>
      <c r="H1075" s="19" t="s">
        <v>1142</v>
      </c>
      <c r="I1075" s="17" t="b">
        <v>0</v>
      </c>
      <c r="J1075" s="17" t="s">
        <v>43</v>
      </c>
      <c r="K1075" s="21" t="str">
        <f t="shared" si="25"/>
        <v>https://version2.ice-d.org/antarctica/sample/MH14-10/</v>
      </c>
      <c r="L1075" s="58" t="s">
        <v>39</v>
      </c>
      <c r="M1075" s="155"/>
      <c r="O1075" s="17" t="s">
        <v>1260</v>
      </c>
      <c r="P1075" s="22">
        <v>-80.2654</v>
      </c>
      <c r="Q1075" s="22">
        <v>-82.193316999999993</v>
      </c>
      <c r="R1075" s="22"/>
      <c r="S1075" s="22">
        <v>1327</v>
      </c>
      <c r="T1075" s="17">
        <v>830</v>
      </c>
      <c r="U1075" s="23">
        <v>500</v>
      </c>
      <c r="V1075" s="24" t="s">
        <v>1984</v>
      </c>
      <c r="W1075" s="44" t="s">
        <v>2446</v>
      </c>
      <c r="X1075" s="17">
        <f t="shared" si="26"/>
        <v>497</v>
      </c>
      <c r="Y1075" s="22">
        <v>5</v>
      </c>
      <c r="Z1075" s="22">
        <v>2.2999999999999998</v>
      </c>
      <c r="AA1075" s="17" t="s">
        <v>73</v>
      </c>
      <c r="AB1075" s="26">
        <v>14052</v>
      </c>
      <c r="AC1075" s="26">
        <v>492</v>
      </c>
      <c r="AD1075" s="26">
        <v>967</v>
      </c>
      <c r="AE1075" s="27">
        <v>258000</v>
      </c>
      <c r="AF1075" s="27">
        <v>9000</v>
      </c>
      <c r="AG1075" s="27">
        <v>1617000</v>
      </c>
      <c r="AH1075" s="27">
        <v>71000</v>
      </c>
      <c r="AI1075" s="17">
        <v>2014</v>
      </c>
      <c r="AJ1075" s="17">
        <v>1</v>
      </c>
      <c r="AK1075" s="17">
        <v>0</v>
      </c>
    </row>
    <row r="1076" spans="1:39" ht="12.75" customHeight="1">
      <c r="A1076" s="58" t="s">
        <v>1261</v>
      </c>
      <c r="B1076" s="33" t="s">
        <v>1231</v>
      </c>
      <c r="C1076" s="27">
        <v>131</v>
      </c>
      <c r="D1076" s="19" t="s">
        <v>196</v>
      </c>
      <c r="E1076" s="19">
        <v>0</v>
      </c>
      <c r="F1076" s="19" t="s">
        <v>1203</v>
      </c>
      <c r="G1076" s="19" t="s">
        <v>1224</v>
      </c>
      <c r="H1076" s="19" t="s">
        <v>1142</v>
      </c>
      <c r="I1076" s="17" t="b">
        <v>0</v>
      </c>
      <c r="J1076" s="17" t="s">
        <v>64</v>
      </c>
      <c r="K1076" s="21" t="str">
        <f t="shared" si="25"/>
        <v>https://version2.ice-d.org/antarctica/sample/MH14-11/</v>
      </c>
      <c r="L1076" s="58" t="s">
        <v>39</v>
      </c>
      <c r="M1076" s="155"/>
      <c r="O1076" s="17" t="s">
        <v>1260</v>
      </c>
      <c r="P1076" s="22">
        <v>-80.2654</v>
      </c>
      <c r="Q1076" s="22">
        <v>-82.193316999999993</v>
      </c>
      <c r="R1076" s="22"/>
      <c r="S1076" s="22">
        <v>1327</v>
      </c>
      <c r="T1076" s="17">
        <v>830</v>
      </c>
      <c r="U1076" s="23">
        <v>500</v>
      </c>
      <c r="V1076" s="24" t="s">
        <v>1985</v>
      </c>
      <c r="W1076" s="44" t="s">
        <v>2446</v>
      </c>
      <c r="X1076" s="17">
        <f t="shared" si="26"/>
        <v>497</v>
      </c>
      <c r="Y1076" s="22">
        <v>4</v>
      </c>
      <c r="Z1076" s="22">
        <v>2.65</v>
      </c>
      <c r="AA1076" s="17" t="s">
        <v>73</v>
      </c>
      <c r="AB1076" s="26">
        <v>13038</v>
      </c>
      <c r="AC1076" s="26">
        <v>553</v>
      </c>
      <c r="AD1076" s="26">
        <v>1275</v>
      </c>
      <c r="AE1076" s="27">
        <v>333000</v>
      </c>
      <c r="AF1076" s="27">
        <v>11000</v>
      </c>
      <c r="AG1076" s="27">
        <v>1686000</v>
      </c>
      <c r="AH1076" s="27">
        <v>71000</v>
      </c>
      <c r="AI1076" s="17">
        <v>2014</v>
      </c>
      <c r="AJ1076" s="17">
        <v>1</v>
      </c>
      <c r="AK1076" s="17">
        <v>0</v>
      </c>
    </row>
    <row r="1077" spans="1:39" ht="12.75" customHeight="1">
      <c r="A1077" s="58" t="s">
        <v>1261</v>
      </c>
      <c r="B1077" s="33" t="s">
        <v>1231</v>
      </c>
      <c r="C1077" s="27">
        <v>131</v>
      </c>
      <c r="D1077" s="19" t="s">
        <v>196</v>
      </c>
      <c r="E1077" s="19">
        <v>0</v>
      </c>
      <c r="F1077" s="19" t="s">
        <v>1203</v>
      </c>
      <c r="G1077" s="19" t="s">
        <v>1224</v>
      </c>
      <c r="H1077" s="19" t="s">
        <v>1142</v>
      </c>
      <c r="I1077" s="17" t="b">
        <v>0</v>
      </c>
      <c r="J1077" s="17" t="s">
        <v>43</v>
      </c>
      <c r="K1077" s="21" t="str">
        <f t="shared" si="25"/>
        <v>https://version2.ice-d.org/antarctica/sample/MH14-11/</v>
      </c>
      <c r="L1077" s="58" t="s">
        <v>39</v>
      </c>
      <c r="M1077" s="155"/>
      <c r="O1077" s="17" t="s">
        <v>1260</v>
      </c>
      <c r="P1077" s="22">
        <v>-80.2654</v>
      </c>
      <c r="Q1077" s="22">
        <v>-82.193316999999993</v>
      </c>
      <c r="R1077" s="22"/>
      <c r="S1077" s="22">
        <v>1327</v>
      </c>
      <c r="T1077" s="17">
        <v>830</v>
      </c>
      <c r="U1077" s="23">
        <v>500</v>
      </c>
      <c r="V1077" s="24" t="s">
        <v>1986</v>
      </c>
      <c r="W1077" s="44" t="s">
        <v>2446</v>
      </c>
      <c r="X1077" s="17">
        <f t="shared" si="26"/>
        <v>497</v>
      </c>
      <c r="Y1077" s="22">
        <v>4</v>
      </c>
      <c r="Z1077" s="22">
        <v>2.65</v>
      </c>
      <c r="AA1077" s="17" t="s">
        <v>73</v>
      </c>
      <c r="AB1077" s="26">
        <v>18129</v>
      </c>
      <c r="AC1077" s="26">
        <v>602</v>
      </c>
      <c r="AD1077" s="26">
        <v>1231</v>
      </c>
      <c r="AE1077" s="27">
        <v>333000</v>
      </c>
      <c r="AF1077" s="27">
        <v>11000</v>
      </c>
      <c r="AG1077" s="27">
        <v>1686000</v>
      </c>
      <c r="AH1077" s="27">
        <v>71000</v>
      </c>
      <c r="AI1077" s="17">
        <v>2014</v>
      </c>
      <c r="AJ1077" s="17">
        <v>1</v>
      </c>
      <c r="AK1077" s="17">
        <v>0</v>
      </c>
    </row>
    <row r="1078" spans="1:39" ht="12.75" customHeight="1">
      <c r="A1078" s="58" t="s">
        <v>1262</v>
      </c>
      <c r="B1078" s="33" t="s">
        <v>1231</v>
      </c>
      <c r="C1078" s="27">
        <v>131</v>
      </c>
      <c r="D1078" s="19" t="s">
        <v>196</v>
      </c>
      <c r="E1078" s="19">
        <v>0</v>
      </c>
      <c r="F1078" s="19" t="s">
        <v>1203</v>
      </c>
      <c r="G1078" s="19" t="s">
        <v>1224</v>
      </c>
      <c r="H1078" s="19" t="s">
        <v>1142</v>
      </c>
      <c r="I1078" s="17" t="b">
        <v>0</v>
      </c>
      <c r="J1078" s="17" t="s">
        <v>64</v>
      </c>
      <c r="K1078" s="21" t="str">
        <f t="shared" si="25"/>
        <v>https://version2.ice-d.org/antarctica/sample/MH14-25/</v>
      </c>
      <c r="L1078" s="58" t="s">
        <v>39</v>
      </c>
      <c r="M1078" s="155"/>
      <c r="O1078" s="17" t="s">
        <v>1260</v>
      </c>
      <c r="P1078" s="22">
        <v>-80.267567</v>
      </c>
      <c r="Q1078" s="22">
        <v>-82.172799999999995</v>
      </c>
      <c r="R1078" s="22"/>
      <c r="S1078" s="22">
        <v>1209</v>
      </c>
      <c r="T1078" s="17">
        <v>805</v>
      </c>
      <c r="U1078" s="23">
        <v>500</v>
      </c>
      <c r="V1078" s="24" t="s">
        <v>1987</v>
      </c>
      <c r="W1078" s="44" t="s">
        <v>2446</v>
      </c>
      <c r="X1078" s="17">
        <f t="shared" si="26"/>
        <v>404</v>
      </c>
      <c r="Y1078" s="22">
        <v>5</v>
      </c>
      <c r="Z1078" s="22">
        <v>2.2999999999999998</v>
      </c>
      <c r="AA1078" s="17" t="s">
        <v>73</v>
      </c>
      <c r="AB1078" s="26">
        <v>5355</v>
      </c>
      <c r="AC1078" s="26">
        <v>235</v>
      </c>
      <c r="AD1078" s="26">
        <v>518</v>
      </c>
      <c r="AE1078" s="27">
        <v>90000</v>
      </c>
      <c r="AF1078" s="27">
        <v>3000</v>
      </c>
      <c r="AG1078" s="27">
        <v>618000</v>
      </c>
      <c r="AH1078" s="27">
        <v>27000</v>
      </c>
      <c r="AI1078" s="17">
        <v>2014</v>
      </c>
      <c r="AJ1078" s="17">
        <v>1</v>
      </c>
      <c r="AK1078" s="17">
        <v>0</v>
      </c>
    </row>
    <row r="1079" spans="1:39" ht="12.75" customHeight="1">
      <c r="A1079" s="58" t="s">
        <v>1262</v>
      </c>
      <c r="B1079" s="33" t="s">
        <v>1231</v>
      </c>
      <c r="C1079" s="27">
        <v>131</v>
      </c>
      <c r="D1079" s="19" t="s">
        <v>196</v>
      </c>
      <c r="E1079" s="19">
        <v>0</v>
      </c>
      <c r="F1079" s="19" t="s">
        <v>1203</v>
      </c>
      <c r="G1079" s="19" t="s">
        <v>1224</v>
      </c>
      <c r="H1079" s="19" t="s">
        <v>1142</v>
      </c>
      <c r="I1079" s="17" t="b">
        <v>0</v>
      </c>
      <c r="J1079" s="17" t="s">
        <v>43</v>
      </c>
      <c r="K1079" s="21" t="str">
        <f t="shared" si="25"/>
        <v>https://version2.ice-d.org/antarctica/sample/MH14-25/</v>
      </c>
      <c r="L1079" s="58" t="s">
        <v>39</v>
      </c>
      <c r="M1079" s="155"/>
      <c r="O1079" s="17" t="s">
        <v>1260</v>
      </c>
      <c r="P1079" s="22">
        <v>-80.267567</v>
      </c>
      <c r="Q1079" s="22">
        <v>-82.172799999999995</v>
      </c>
      <c r="R1079" s="22"/>
      <c r="S1079" s="22">
        <v>1209</v>
      </c>
      <c r="T1079" s="17">
        <v>805</v>
      </c>
      <c r="U1079" s="23">
        <v>500</v>
      </c>
      <c r="V1079" s="24" t="s">
        <v>1988</v>
      </c>
      <c r="W1079" s="44" t="s">
        <v>2446</v>
      </c>
      <c r="X1079" s="17">
        <f t="shared" si="26"/>
        <v>404</v>
      </c>
      <c r="Y1079" s="22">
        <v>5</v>
      </c>
      <c r="Z1079" s="22">
        <v>2.2999999999999998</v>
      </c>
      <c r="AA1079" s="17" t="s">
        <v>73</v>
      </c>
      <c r="AB1079" s="26">
        <v>5486</v>
      </c>
      <c r="AC1079" s="26">
        <v>183</v>
      </c>
      <c r="AD1079" s="26">
        <v>372</v>
      </c>
      <c r="AE1079" s="27">
        <v>90000</v>
      </c>
      <c r="AF1079" s="27">
        <v>3000</v>
      </c>
      <c r="AG1079" s="27">
        <v>618000</v>
      </c>
      <c r="AH1079" s="27">
        <v>27000</v>
      </c>
      <c r="AI1079" s="17">
        <v>2014</v>
      </c>
      <c r="AJ1079" s="17">
        <v>1</v>
      </c>
      <c r="AK1079" s="17">
        <v>0</v>
      </c>
    </row>
    <row r="1080" spans="1:39" ht="12.75" customHeight="1">
      <c r="A1080" s="58" t="s">
        <v>1263</v>
      </c>
      <c r="B1080" s="33" t="s">
        <v>1231</v>
      </c>
      <c r="C1080" s="27">
        <v>131</v>
      </c>
      <c r="D1080" s="19" t="s">
        <v>196</v>
      </c>
      <c r="E1080" s="19">
        <v>0</v>
      </c>
      <c r="F1080" s="19" t="s">
        <v>1203</v>
      </c>
      <c r="G1080" s="19" t="s">
        <v>1224</v>
      </c>
      <c r="H1080" s="19" t="s">
        <v>1142</v>
      </c>
      <c r="I1080" s="17" t="b">
        <v>0</v>
      </c>
      <c r="J1080" s="17" t="s">
        <v>43</v>
      </c>
      <c r="K1080" s="21" t="str">
        <f t="shared" si="25"/>
        <v>https://version2.ice-d.org/antarctica/sample/MH14-26/</v>
      </c>
      <c r="L1080" s="58" t="s">
        <v>39</v>
      </c>
      <c r="M1080" s="155"/>
      <c r="O1080" s="17" t="s">
        <v>1260</v>
      </c>
      <c r="P1080" s="22">
        <v>-80.267300000000006</v>
      </c>
      <c r="Q1080" s="22">
        <v>-82.170299999999997</v>
      </c>
      <c r="R1080" s="22"/>
      <c r="S1080" s="22">
        <v>1195</v>
      </c>
      <c r="T1080" s="17">
        <v>805</v>
      </c>
      <c r="U1080" s="23">
        <v>500</v>
      </c>
      <c r="V1080" s="24" t="s">
        <v>1989</v>
      </c>
      <c r="W1080" s="44" t="s">
        <v>2446</v>
      </c>
      <c r="X1080" s="17">
        <f t="shared" si="26"/>
        <v>390</v>
      </c>
      <c r="Y1080" s="22">
        <v>3.5</v>
      </c>
      <c r="Z1080" s="22">
        <v>2.2999999999999998</v>
      </c>
      <c r="AA1080" s="17" t="s">
        <v>73</v>
      </c>
      <c r="AB1080" s="26">
        <v>15130</v>
      </c>
      <c r="AC1080" s="26">
        <v>551</v>
      </c>
      <c r="AD1080" s="26">
        <v>1052</v>
      </c>
      <c r="AE1080" s="27">
        <v>248000</v>
      </c>
      <c r="AF1080" s="27">
        <v>9000</v>
      </c>
      <c r="AG1080" s="27">
        <v>1800000</v>
      </c>
      <c r="AH1080" s="27">
        <v>87000</v>
      </c>
      <c r="AI1080" s="17">
        <v>2014</v>
      </c>
      <c r="AJ1080" s="17">
        <v>1</v>
      </c>
      <c r="AK1080" s="17">
        <v>0</v>
      </c>
    </row>
    <row r="1081" spans="1:39" ht="12.75" customHeight="1">
      <c r="A1081" s="58" t="s">
        <v>1263</v>
      </c>
      <c r="B1081" s="33" t="s">
        <v>1231</v>
      </c>
      <c r="C1081" s="27">
        <v>131</v>
      </c>
      <c r="D1081" s="19" t="s">
        <v>196</v>
      </c>
      <c r="E1081" s="19">
        <v>0</v>
      </c>
      <c r="F1081" s="19" t="s">
        <v>1203</v>
      </c>
      <c r="G1081" s="19" t="s">
        <v>1224</v>
      </c>
      <c r="H1081" s="19" t="s">
        <v>1142</v>
      </c>
      <c r="I1081" s="17" t="b">
        <v>0</v>
      </c>
      <c r="J1081" s="17" t="s">
        <v>64</v>
      </c>
      <c r="K1081" s="21" t="str">
        <f t="shared" si="25"/>
        <v>https://version2.ice-d.org/antarctica/sample/MH14-26/</v>
      </c>
      <c r="L1081" s="58" t="s">
        <v>39</v>
      </c>
      <c r="M1081" s="155"/>
      <c r="O1081" s="17" t="s">
        <v>1260</v>
      </c>
      <c r="P1081" s="22">
        <v>-80.267300000000006</v>
      </c>
      <c r="Q1081" s="22">
        <v>-82.170299999999997</v>
      </c>
      <c r="R1081" s="22"/>
      <c r="S1081" s="22">
        <v>1195</v>
      </c>
      <c r="T1081" s="17">
        <v>805</v>
      </c>
      <c r="U1081" s="23">
        <v>500</v>
      </c>
      <c r="V1081" s="24" t="s">
        <v>1990</v>
      </c>
      <c r="W1081" s="44" t="s">
        <v>2446</v>
      </c>
      <c r="X1081" s="17">
        <f t="shared" si="26"/>
        <v>390</v>
      </c>
      <c r="Y1081" s="22">
        <v>3.5</v>
      </c>
      <c r="Z1081" s="22">
        <v>2.2999999999999998</v>
      </c>
      <c r="AA1081" s="17" t="s">
        <v>73</v>
      </c>
      <c r="AB1081" s="26">
        <v>15636</v>
      </c>
      <c r="AC1081" s="26">
        <v>762</v>
      </c>
      <c r="AD1081" s="26">
        <v>1554</v>
      </c>
      <c r="AE1081" s="27">
        <v>248000</v>
      </c>
      <c r="AF1081" s="27">
        <v>9000</v>
      </c>
      <c r="AG1081" s="27">
        <v>1800000</v>
      </c>
      <c r="AH1081" s="27">
        <v>87000</v>
      </c>
      <c r="AI1081" s="17">
        <v>2014</v>
      </c>
      <c r="AJ1081" s="17">
        <v>1</v>
      </c>
      <c r="AK1081" s="17">
        <v>0</v>
      </c>
    </row>
    <row r="1082" spans="1:39" ht="12.75" customHeight="1">
      <c r="A1082" s="58" t="s">
        <v>1264</v>
      </c>
      <c r="B1082" s="33" t="s">
        <v>1231</v>
      </c>
      <c r="C1082" s="27">
        <v>131</v>
      </c>
      <c r="D1082" s="19" t="s">
        <v>196</v>
      </c>
      <c r="E1082" s="19">
        <v>0</v>
      </c>
      <c r="F1082" s="19" t="s">
        <v>1203</v>
      </c>
      <c r="G1082" s="19" t="s">
        <v>1224</v>
      </c>
      <c r="H1082" s="19" t="s">
        <v>1142</v>
      </c>
      <c r="I1082" s="17" t="b">
        <v>0</v>
      </c>
      <c r="J1082" s="17" t="s">
        <v>43</v>
      </c>
      <c r="K1082" s="21" t="str">
        <f t="shared" si="25"/>
        <v>https://version2.ice-d.org/antarctica/sample/MH14-35/</v>
      </c>
      <c r="L1082" s="58" t="s">
        <v>39</v>
      </c>
      <c r="M1082" s="155"/>
      <c r="O1082" s="17" t="s">
        <v>1260</v>
      </c>
      <c r="P1082" s="22">
        <v>-80.275149999999996</v>
      </c>
      <c r="Q1082" s="22">
        <v>-82.154650000000004</v>
      </c>
      <c r="R1082" s="22"/>
      <c r="S1082" s="22">
        <v>994</v>
      </c>
      <c r="T1082" s="17">
        <v>779</v>
      </c>
      <c r="U1082" s="23">
        <v>500</v>
      </c>
      <c r="V1082" s="24" t="s">
        <v>1991</v>
      </c>
      <c r="W1082" s="44" t="s">
        <v>2446</v>
      </c>
      <c r="X1082" s="17">
        <f t="shared" si="26"/>
        <v>215</v>
      </c>
      <c r="Y1082" s="22">
        <v>6</v>
      </c>
      <c r="Z1082" s="22">
        <v>2.5</v>
      </c>
      <c r="AA1082" s="17" t="s">
        <v>73</v>
      </c>
      <c r="AB1082" s="26">
        <v>4769</v>
      </c>
      <c r="AC1082" s="26">
        <v>224</v>
      </c>
      <c r="AD1082" s="26">
        <v>360</v>
      </c>
      <c r="AE1082" s="27">
        <v>64000</v>
      </c>
      <c r="AF1082" s="27">
        <v>3000</v>
      </c>
      <c r="AG1082" s="27">
        <v>455000</v>
      </c>
      <c r="AH1082" s="27">
        <v>24000</v>
      </c>
      <c r="AI1082" s="17">
        <v>2014</v>
      </c>
      <c r="AJ1082" s="17">
        <v>1</v>
      </c>
      <c r="AK1082" s="17">
        <v>0</v>
      </c>
    </row>
    <row r="1083" spans="1:39" ht="12.75" customHeight="1">
      <c r="A1083" s="58" t="s">
        <v>1264</v>
      </c>
      <c r="B1083" s="33" t="s">
        <v>1231</v>
      </c>
      <c r="C1083" s="27">
        <v>131</v>
      </c>
      <c r="D1083" s="19" t="s">
        <v>196</v>
      </c>
      <c r="E1083" s="19">
        <v>0</v>
      </c>
      <c r="F1083" s="19" t="s">
        <v>1203</v>
      </c>
      <c r="G1083" s="19" t="s">
        <v>1224</v>
      </c>
      <c r="H1083" s="19" t="s">
        <v>1142</v>
      </c>
      <c r="I1083" s="17" t="b">
        <v>0</v>
      </c>
      <c r="J1083" s="17" t="s">
        <v>64</v>
      </c>
      <c r="K1083" s="21" t="str">
        <f t="shared" si="25"/>
        <v>https://version2.ice-d.org/antarctica/sample/MH14-35/</v>
      </c>
      <c r="L1083" s="58" t="s">
        <v>39</v>
      </c>
      <c r="M1083" s="155"/>
      <c r="O1083" s="17" t="s">
        <v>1260</v>
      </c>
      <c r="P1083" s="22">
        <v>-80.275149999999996</v>
      </c>
      <c r="Q1083" s="22">
        <v>-82.154650000000004</v>
      </c>
      <c r="R1083" s="22"/>
      <c r="S1083" s="22">
        <v>994</v>
      </c>
      <c r="T1083" s="17">
        <v>779</v>
      </c>
      <c r="U1083" s="23">
        <v>500</v>
      </c>
      <c r="V1083" s="24" t="s">
        <v>1992</v>
      </c>
      <c r="W1083" s="44" t="s">
        <v>2446</v>
      </c>
      <c r="X1083" s="17">
        <f t="shared" si="26"/>
        <v>215</v>
      </c>
      <c r="Y1083" s="22">
        <v>6</v>
      </c>
      <c r="Z1083" s="22">
        <v>2.5</v>
      </c>
      <c r="AA1083" s="17" t="s">
        <v>73</v>
      </c>
      <c r="AB1083" s="26">
        <v>4803</v>
      </c>
      <c r="AC1083" s="26">
        <v>254</v>
      </c>
      <c r="AD1083" s="26">
        <v>486</v>
      </c>
      <c r="AE1083" s="27">
        <v>64000</v>
      </c>
      <c r="AF1083" s="27">
        <v>3000</v>
      </c>
      <c r="AG1083" s="27">
        <v>455000</v>
      </c>
      <c r="AH1083" s="27">
        <v>24000</v>
      </c>
      <c r="AI1083" s="17">
        <v>2014</v>
      </c>
      <c r="AJ1083" s="17">
        <v>1</v>
      </c>
      <c r="AK1083" s="17">
        <v>0</v>
      </c>
    </row>
    <row r="1084" spans="1:39" ht="12.75" customHeight="1">
      <c r="A1084" s="121" t="s">
        <v>1265</v>
      </c>
      <c r="B1084" s="19" t="s">
        <v>1266</v>
      </c>
      <c r="C1084" s="17">
        <v>132</v>
      </c>
      <c r="D1084" s="19" t="s">
        <v>196</v>
      </c>
      <c r="E1084" s="19">
        <v>3500</v>
      </c>
      <c r="F1084" s="19" t="s">
        <v>1203</v>
      </c>
      <c r="G1084" s="19" t="s">
        <v>1243</v>
      </c>
      <c r="H1084" s="33" t="s">
        <v>1142</v>
      </c>
      <c r="I1084" s="28" t="b">
        <v>0</v>
      </c>
      <c r="J1084" s="17" t="s">
        <v>43</v>
      </c>
      <c r="K1084" s="21" t="str">
        <f t="shared" si="25"/>
        <v>https://version2.ice-d.org/antarctica/sample/CF-24-08/</v>
      </c>
      <c r="L1084" s="140" t="s">
        <v>39</v>
      </c>
      <c r="M1084" s="121"/>
      <c r="O1084" s="28" t="s">
        <v>1267</v>
      </c>
      <c r="P1084" s="79">
        <v>-80.3292</v>
      </c>
      <c r="Q1084" s="79">
        <v>-81.325400000000002</v>
      </c>
      <c r="R1084" s="22"/>
      <c r="S1084" s="22">
        <v>761</v>
      </c>
      <c r="T1084" s="22">
        <v>760</v>
      </c>
      <c r="U1084" s="23">
        <v>475</v>
      </c>
      <c r="V1084" s="24" t="s">
        <v>1993</v>
      </c>
      <c r="W1084" s="44" t="s">
        <v>2446</v>
      </c>
      <c r="X1084" s="22">
        <v>1</v>
      </c>
      <c r="Y1084" s="22"/>
      <c r="Z1084" s="22"/>
      <c r="AB1084" s="81">
        <v>3144</v>
      </c>
      <c r="AC1084" s="81">
        <v>42</v>
      </c>
      <c r="AD1084" s="60">
        <v>190</v>
      </c>
      <c r="AE1084" s="27"/>
      <c r="AF1084" s="27"/>
      <c r="AG1084" s="28"/>
      <c r="AH1084" s="28"/>
      <c r="AI1084" s="22"/>
      <c r="AK1084" s="17">
        <v>0</v>
      </c>
      <c r="AM1084" s="17" t="s">
        <v>1268</v>
      </c>
    </row>
    <row r="1085" spans="1:39" ht="12.75" customHeight="1">
      <c r="A1085" s="121" t="s">
        <v>1269</v>
      </c>
      <c r="B1085" s="19" t="s">
        <v>1266</v>
      </c>
      <c r="C1085" s="17">
        <v>132</v>
      </c>
      <c r="D1085" s="19" t="s">
        <v>196</v>
      </c>
      <c r="E1085" s="19">
        <v>3500</v>
      </c>
      <c r="F1085" s="19" t="s">
        <v>1203</v>
      </c>
      <c r="G1085" s="19" t="s">
        <v>1243</v>
      </c>
      <c r="H1085" s="33" t="s">
        <v>1142</v>
      </c>
      <c r="I1085" s="28" t="b">
        <v>0</v>
      </c>
      <c r="J1085" s="17" t="s">
        <v>43</v>
      </c>
      <c r="K1085" s="21" t="str">
        <f t="shared" si="25"/>
        <v>https://version2.ice-d.org/antarctica/sample/CF-21-08/</v>
      </c>
      <c r="L1085" s="140" t="s">
        <v>154</v>
      </c>
      <c r="M1085" s="121"/>
      <c r="N1085" s="17" t="s">
        <v>39</v>
      </c>
      <c r="O1085" s="28" t="s">
        <v>1267</v>
      </c>
      <c r="P1085" s="22">
        <v>-80.329499999999996</v>
      </c>
      <c r="Q1085" s="22">
        <v>-81.326700000000002</v>
      </c>
      <c r="R1085" s="22"/>
      <c r="S1085" s="22">
        <v>774</v>
      </c>
      <c r="T1085" s="22">
        <v>760</v>
      </c>
      <c r="U1085" s="23">
        <v>475</v>
      </c>
      <c r="V1085" s="24" t="s">
        <v>1994</v>
      </c>
      <c r="W1085" s="44" t="s">
        <v>2446</v>
      </c>
      <c r="X1085" s="22">
        <f t="shared" ref="X1085:X1107" si="27">S1085-T1085</f>
        <v>14</v>
      </c>
      <c r="Y1085" s="22">
        <v>5</v>
      </c>
      <c r="Z1085" s="22">
        <v>2.7</v>
      </c>
      <c r="AA1085" s="17" t="s">
        <v>84</v>
      </c>
      <c r="AB1085" s="26">
        <v>4119</v>
      </c>
      <c r="AC1085" s="26">
        <v>106</v>
      </c>
      <c r="AD1085" s="26">
        <v>265</v>
      </c>
      <c r="AE1085" s="27">
        <v>50200</v>
      </c>
      <c r="AF1085" s="27">
        <v>1290</v>
      </c>
      <c r="AG1085" s="28"/>
      <c r="AH1085" s="28"/>
      <c r="AI1085" s="27">
        <v>2009</v>
      </c>
      <c r="AJ1085" s="17">
        <v>0</v>
      </c>
      <c r="AK1085" s="17">
        <v>0</v>
      </c>
      <c r="AM1085" s="17" t="s">
        <v>1268</v>
      </c>
    </row>
    <row r="1086" spans="1:39" ht="12.75" customHeight="1">
      <c r="A1086" s="121" t="s">
        <v>1270</v>
      </c>
      <c r="B1086" s="19" t="s">
        <v>1266</v>
      </c>
      <c r="C1086" s="17">
        <v>132</v>
      </c>
      <c r="D1086" s="19" t="s">
        <v>196</v>
      </c>
      <c r="E1086" s="19">
        <v>3500</v>
      </c>
      <c r="F1086" s="19" t="s">
        <v>1203</v>
      </c>
      <c r="G1086" s="19" t="s">
        <v>1243</v>
      </c>
      <c r="H1086" s="33" t="s">
        <v>1142</v>
      </c>
      <c r="I1086" s="28" t="b">
        <v>0</v>
      </c>
      <c r="J1086" s="17" t="s">
        <v>64</v>
      </c>
      <c r="K1086" s="21" t="str">
        <f t="shared" si="25"/>
        <v>https://version2.ice-d.org/antarctica/sample/CF-19-08/</v>
      </c>
      <c r="L1086" s="140"/>
      <c r="M1086" s="121"/>
      <c r="N1086" s="17" t="s">
        <v>39</v>
      </c>
      <c r="O1086" s="28" t="s">
        <v>1267</v>
      </c>
      <c r="P1086" s="79">
        <v>-80.330299999999994</v>
      </c>
      <c r="Q1086" s="79">
        <v>-81.33</v>
      </c>
      <c r="R1086" s="22"/>
      <c r="S1086" s="22">
        <v>816</v>
      </c>
      <c r="T1086" s="22">
        <v>760</v>
      </c>
      <c r="U1086" s="23">
        <v>475</v>
      </c>
      <c r="V1086" s="24" t="s">
        <v>1995</v>
      </c>
      <c r="W1086" s="44" t="s">
        <v>2446</v>
      </c>
      <c r="X1086" s="22">
        <f t="shared" si="27"/>
        <v>56</v>
      </c>
      <c r="Y1086" s="22"/>
      <c r="Z1086" s="22"/>
      <c r="AB1086" s="81">
        <v>19543</v>
      </c>
      <c r="AC1086" s="81">
        <v>1137</v>
      </c>
      <c r="AD1086" s="60">
        <v>2042</v>
      </c>
      <c r="AE1086" s="27"/>
      <c r="AF1086" s="27"/>
      <c r="AG1086" s="27"/>
      <c r="AH1086" s="27"/>
      <c r="AI1086" s="27"/>
      <c r="AK1086" s="17">
        <v>1</v>
      </c>
      <c r="AL1086" s="17" t="s">
        <v>1271</v>
      </c>
    </row>
    <row r="1087" spans="1:39" ht="12.75" customHeight="1">
      <c r="A1087" s="121" t="s">
        <v>1272</v>
      </c>
      <c r="B1087" s="19" t="s">
        <v>1266</v>
      </c>
      <c r="C1087" s="17">
        <v>133</v>
      </c>
      <c r="D1087" s="19" t="s">
        <v>196</v>
      </c>
      <c r="E1087" s="19">
        <v>3500</v>
      </c>
      <c r="F1087" s="19" t="s">
        <v>1203</v>
      </c>
      <c r="G1087" s="19" t="s">
        <v>1243</v>
      </c>
      <c r="H1087" s="33" t="s">
        <v>1142</v>
      </c>
      <c r="I1087" s="28" t="b">
        <v>0</v>
      </c>
      <c r="J1087" s="17" t="s">
        <v>64</v>
      </c>
      <c r="K1087" s="21" t="str">
        <f t="shared" si="25"/>
        <v>https://version2.ice-d.org/antarctica/sample/CF-31-08/</v>
      </c>
      <c r="L1087" s="140" t="s">
        <v>154</v>
      </c>
      <c r="M1087" s="121"/>
      <c r="N1087" s="17" t="s">
        <v>39</v>
      </c>
      <c r="O1087" s="28" t="s">
        <v>1273</v>
      </c>
      <c r="P1087" s="22">
        <v>-80.321899999999999</v>
      </c>
      <c r="Q1087" s="22">
        <v>-81.434299999999993</v>
      </c>
      <c r="R1087" s="22"/>
      <c r="S1087" s="22">
        <v>863</v>
      </c>
      <c r="T1087" s="22">
        <v>760</v>
      </c>
      <c r="U1087" s="23">
        <v>240</v>
      </c>
      <c r="V1087" s="24" t="s">
        <v>1996</v>
      </c>
      <c r="W1087" s="44" t="s">
        <v>2446</v>
      </c>
      <c r="X1087" s="22">
        <f t="shared" si="27"/>
        <v>103</v>
      </c>
      <c r="Y1087" s="22">
        <v>5</v>
      </c>
      <c r="Z1087" s="22">
        <v>2.7</v>
      </c>
      <c r="AA1087" s="17" t="s">
        <v>84</v>
      </c>
      <c r="AB1087" s="26">
        <v>14082</v>
      </c>
      <c r="AC1087" s="26">
        <v>869</v>
      </c>
      <c r="AD1087" s="26">
        <v>1497</v>
      </c>
      <c r="AE1087" s="27">
        <v>185000</v>
      </c>
      <c r="AF1087" s="27">
        <v>4250</v>
      </c>
      <c r="AG1087" s="27">
        <v>1170000</v>
      </c>
      <c r="AH1087" s="27">
        <v>71700</v>
      </c>
      <c r="AI1087" s="27">
        <v>2009</v>
      </c>
      <c r="AJ1087" s="17">
        <v>0</v>
      </c>
      <c r="AK1087" s="17">
        <v>0</v>
      </c>
      <c r="AL1087" s="17" t="s">
        <v>1245</v>
      </c>
      <c r="AM1087" s="17" t="s">
        <v>1268</v>
      </c>
    </row>
    <row r="1088" spans="1:39" ht="12.75" customHeight="1">
      <c r="A1088" s="121" t="s">
        <v>1272</v>
      </c>
      <c r="B1088" s="19" t="s">
        <v>1266</v>
      </c>
      <c r="C1088" s="17">
        <v>133</v>
      </c>
      <c r="D1088" s="19" t="s">
        <v>196</v>
      </c>
      <c r="E1088" s="19">
        <v>3500</v>
      </c>
      <c r="F1088" s="19" t="s">
        <v>1203</v>
      </c>
      <c r="G1088" s="19" t="s">
        <v>1243</v>
      </c>
      <c r="H1088" s="33" t="s">
        <v>1142</v>
      </c>
      <c r="I1088" s="28" t="b">
        <v>0</v>
      </c>
      <c r="J1088" s="17" t="s">
        <v>43</v>
      </c>
      <c r="K1088" s="21" t="str">
        <f t="shared" si="25"/>
        <v>https://version2.ice-d.org/antarctica/sample/CF-31-08/</v>
      </c>
      <c r="L1088" s="140" t="s">
        <v>154</v>
      </c>
      <c r="M1088" s="121"/>
      <c r="N1088" s="17" t="s">
        <v>39</v>
      </c>
      <c r="O1088" s="28" t="s">
        <v>1249</v>
      </c>
      <c r="P1088" s="22">
        <v>-80.321899999999999</v>
      </c>
      <c r="Q1088" s="22">
        <v>-81.434299999999993</v>
      </c>
      <c r="R1088" s="22"/>
      <c r="S1088" s="22">
        <v>863</v>
      </c>
      <c r="T1088" s="22">
        <v>760</v>
      </c>
      <c r="U1088" s="23">
        <v>240</v>
      </c>
      <c r="V1088" s="24" t="s">
        <v>1997</v>
      </c>
      <c r="W1088" s="44" t="s">
        <v>2446</v>
      </c>
      <c r="X1088" s="22">
        <f t="shared" si="27"/>
        <v>103</v>
      </c>
      <c r="Y1088" s="22">
        <v>5</v>
      </c>
      <c r="Z1088" s="22">
        <v>2.7</v>
      </c>
      <c r="AA1088" s="17" t="s">
        <v>84</v>
      </c>
      <c r="AB1088" s="26">
        <v>14341</v>
      </c>
      <c r="AC1088" s="26">
        <v>331</v>
      </c>
      <c r="AD1088" s="26">
        <v>911</v>
      </c>
      <c r="AE1088" s="27">
        <v>185000</v>
      </c>
      <c r="AF1088" s="27">
        <v>4250</v>
      </c>
      <c r="AG1088" s="27">
        <v>1170000</v>
      </c>
      <c r="AH1088" s="27">
        <v>71700</v>
      </c>
      <c r="AI1088" s="27">
        <v>2009</v>
      </c>
      <c r="AJ1088" s="17">
        <v>0</v>
      </c>
      <c r="AK1088" s="17">
        <v>0</v>
      </c>
      <c r="AL1088" s="17" t="s">
        <v>1245</v>
      </c>
      <c r="AM1088" s="17" t="s">
        <v>1274</v>
      </c>
    </row>
    <row r="1089" spans="1:39" ht="15.75" customHeight="1">
      <c r="A1089" s="40" t="s">
        <v>1275</v>
      </c>
      <c r="B1089" s="19" t="s">
        <v>1266</v>
      </c>
      <c r="C1089" s="17">
        <v>134</v>
      </c>
      <c r="D1089" s="19" t="s">
        <v>196</v>
      </c>
      <c r="E1089" s="19">
        <v>3500</v>
      </c>
      <c r="F1089" s="19" t="s">
        <v>1203</v>
      </c>
      <c r="G1089" s="19" t="s">
        <v>1224</v>
      </c>
      <c r="H1089" s="19" t="s">
        <v>1142</v>
      </c>
      <c r="I1089" s="17" t="b">
        <v>0</v>
      </c>
      <c r="J1089" s="17" t="s">
        <v>43</v>
      </c>
      <c r="K1089" s="21" t="str">
        <f t="shared" si="25"/>
        <v>https://version2.ice-d.org/antarctica/sample/PH12-40/</v>
      </c>
      <c r="L1089" s="40" t="s">
        <v>1276</v>
      </c>
      <c r="M1089" s="40"/>
      <c r="O1089" s="28" t="s">
        <v>1277</v>
      </c>
      <c r="P1089" s="22">
        <v>-80.320466240000002</v>
      </c>
      <c r="Q1089" s="22">
        <v>-81.502471659999998</v>
      </c>
      <c r="R1089" s="22"/>
      <c r="S1089" s="22">
        <v>842</v>
      </c>
      <c r="T1089" s="17">
        <v>755</v>
      </c>
      <c r="U1089" s="23">
        <v>240</v>
      </c>
      <c r="V1089" s="24" t="s">
        <v>1998</v>
      </c>
      <c r="W1089" s="44" t="s">
        <v>2446</v>
      </c>
      <c r="X1089" s="22">
        <f t="shared" si="27"/>
        <v>87</v>
      </c>
      <c r="Y1089" s="22">
        <v>6</v>
      </c>
      <c r="Z1089" s="22">
        <v>2.4</v>
      </c>
      <c r="AA1089" s="17" t="s">
        <v>73</v>
      </c>
      <c r="AB1089" s="26">
        <v>11431</v>
      </c>
      <c r="AC1089" s="26">
        <v>466</v>
      </c>
      <c r="AD1089" s="26">
        <v>821</v>
      </c>
      <c r="AE1089" s="27">
        <v>135300</v>
      </c>
      <c r="AF1089" s="27">
        <v>5500</v>
      </c>
      <c r="AG1089" s="28"/>
      <c r="AH1089" s="28"/>
      <c r="AI1089" s="17">
        <v>2015</v>
      </c>
      <c r="AJ1089" s="17">
        <v>0</v>
      </c>
      <c r="AK1089" s="17">
        <v>1</v>
      </c>
      <c r="AL1089" s="17" t="s">
        <v>1229</v>
      </c>
      <c r="AM1089" s="17" t="s">
        <v>1278</v>
      </c>
    </row>
    <row r="1090" spans="1:39" ht="15.75" customHeight="1">
      <c r="A1090" s="40" t="s">
        <v>1279</v>
      </c>
      <c r="B1090" s="19" t="s">
        <v>1266</v>
      </c>
      <c r="C1090" s="17">
        <v>134</v>
      </c>
      <c r="D1090" s="19" t="s">
        <v>196</v>
      </c>
      <c r="E1090" s="19">
        <v>3500</v>
      </c>
      <c r="F1090" s="19" t="s">
        <v>1203</v>
      </c>
      <c r="G1090" s="19" t="s">
        <v>1224</v>
      </c>
      <c r="H1090" s="19" t="s">
        <v>1142</v>
      </c>
      <c r="I1090" s="17" t="b">
        <v>0</v>
      </c>
      <c r="J1090" s="17" t="s">
        <v>43</v>
      </c>
      <c r="K1090" s="21" t="str">
        <f t="shared" si="25"/>
        <v>https://version2.ice-d.org/antarctica/sample/PH12-28/</v>
      </c>
      <c r="L1090" s="40" t="s">
        <v>1276</v>
      </c>
      <c r="M1090" s="40"/>
      <c r="O1090" s="28" t="s">
        <v>1277</v>
      </c>
      <c r="P1090" s="22">
        <v>-80.324087890000001</v>
      </c>
      <c r="Q1090" s="22">
        <v>-81.506709799999996</v>
      </c>
      <c r="R1090" s="22"/>
      <c r="S1090" s="22">
        <v>947</v>
      </c>
      <c r="T1090" s="17">
        <v>755</v>
      </c>
      <c r="U1090" s="23">
        <v>240</v>
      </c>
      <c r="V1090" s="24" t="s">
        <v>1999</v>
      </c>
      <c r="W1090" s="44" t="s">
        <v>2446</v>
      </c>
      <c r="X1090" s="22">
        <f t="shared" si="27"/>
        <v>192</v>
      </c>
      <c r="Y1090" s="22">
        <v>2.5</v>
      </c>
      <c r="Z1090" s="22">
        <v>2.4</v>
      </c>
      <c r="AA1090" s="17" t="s">
        <v>73</v>
      </c>
      <c r="AB1090" s="26">
        <v>3870</v>
      </c>
      <c r="AC1090" s="26">
        <v>310</v>
      </c>
      <c r="AD1090" s="26">
        <v>385</v>
      </c>
      <c r="AE1090" s="27">
        <v>51300</v>
      </c>
      <c r="AF1090" s="27">
        <v>4100</v>
      </c>
      <c r="AG1090" s="27">
        <v>402000</v>
      </c>
      <c r="AH1090" s="27">
        <v>22400</v>
      </c>
      <c r="AI1090" s="17">
        <v>2015</v>
      </c>
      <c r="AJ1090" s="17">
        <v>0</v>
      </c>
      <c r="AK1090" s="17">
        <v>0</v>
      </c>
      <c r="AM1090" s="17" t="s">
        <v>1278</v>
      </c>
    </row>
    <row r="1091" spans="1:39" ht="15.75" customHeight="1">
      <c r="A1091" s="40" t="s">
        <v>1279</v>
      </c>
      <c r="B1091" s="19" t="s">
        <v>1266</v>
      </c>
      <c r="C1091" s="17">
        <v>134</v>
      </c>
      <c r="D1091" s="19" t="s">
        <v>196</v>
      </c>
      <c r="E1091" s="19">
        <v>3500</v>
      </c>
      <c r="F1091" s="19" t="s">
        <v>1203</v>
      </c>
      <c r="G1091" s="19" t="s">
        <v>1224</v>
      </c>
      <c r="H1091" s="19" t="s">
        <v>1142</v>
      </c>
      <c r="I1091" s="17" t="b">
        <v>0</v>
      </c>
      <c r="J1091" s="17" t="s">
        <v>64</v>
      </c>
      <c r="K1091" s="21" t="str">
        <f t="shared" si="25"/>
        <v>https://version2.ice-d.org/antarctica/sample/PH12-28/</v>
      </c>
      <c r="L1091" s="40" t="s">
        <v>1276</v>
      </c>
      <c r="M1091" s="40"/>
      <c r="O1091" s="28" t="s">
        <v>1277</v>
      </c>
      <c r="P1091" s="17">
        <v>-80.324087890000001</v>
      </c>
      <c r="Q1091" s="17">
        <v>-81.506709799999996</v>
      </c>
      <c r="S1091" s="17">
        <v>947</v>
      </c>
      <c r="T1091" s="17">
        <v>755</v>
      </c>
      <c r="U1091" s="23">
        <v>240</v>
      </c>
      <c r="V1091" s="24" t="s">
        <v>2000</v>
      </c>
      <c r="W1091" s="44" t="s">
        <v>2446</v>
      </c>
      <c r="X1091" s="22">
        <f t="shared" si="27"/>
        <v>192</v>
      </c>
      <c r="Y1091" s="17">
        <v>2.5</v>
      </c>
      <c r="Z1091" s="17">
        <v>2.4</v>
      </c>
      <c r="AA1091" s="17" t="s">
        <v>73</v>
      </c>
      <c r="AB1091" s="56">
        <v>4320</v>
      </c>
      <c r="AC1091" s="56">
        <v>241</v>
      </c>
      <c r="AD1091" s="56">
        <v>444</v>
      </c>
      <c r="AE1091" s="28">
        <v>51300</v>
      </c>
      <c r="AF1091" s="28">
        <v>4100</v>
      </c>
      <c r="AG1091" s="28">
        <v>402000</v>
      </c>
      <c r="AH1091" s="28">
        <v>22400</v>
      </c>
      <c r="AI1091" s="17">
        <v>2015</v>
      </c>
      <c r="AJ1091" s="17">
        <v>0</v>
      </c>
      <c r="AK1091" s="17">
        <v>0</v>
      </c>
      <c r="AM1091" s="17" t="s">
        <v>1278</v>
      </c>
    </row>
    <row r="1092" spans="1:39" ht="15.75" customHeight="1">
      <c r="A1092" s="39" t="s">
        <v>1280</v>
      </c>
      <c r="B1092" s="19" t="s">
        <v>1266</v>
      </c>
      <c r="C1092" s="17">
        <v>135</v>
      </c>
      <c r="D1092" s="19" t="s">
        <v>196</v>
      </c>
      <c r="E1092" s="19">
        <v>3500</v>
      </c>
      <c r="F1092" s="19" t="s">
        <v>1203</v>
      </c>
      <c r="G1092" s="19" t="s">
        <v>1243</v>
      </c>
      <c r="H1092" s="33" t="s">
        <v>1142</v>
      </c>
      <c r="I1092" s="28" t="b">
        <v>0</v>
      </c>
      <c r="J1092" s="17" t="s">
        <v>43</v>
      </c>
      <c r="K1092" s="21" t="str">
        <f t="shared" si="25"/>
        <v>https://version2.ice-d.org/antarctica/sample/PAT-01-MJB/</v>
      </c>
      <c r="L1092" s="141" t="s">
        <v>39</v>
      </c>
      <c r="M1092" s="162" t="s">
        <v>44</v>
      </c>
      <c r="O1092" s="28" t="s">
        <v>1277</v>
      </c>
      <c r="P1092" s="22">
        <v>-80.328149999999994</v>
      </c>
      <c r="Q1092" s="22">
        <v>-81.502570000000006</v>
      </c>
      <c r="R1092" s="22"/>
      <c r="S1092" s="22">
        <v>1092</v>
      </c>
      <c r="T1092" s="22">
        <v>770</v>
      </c>
      <c r="U1092" s="23">
        <v>322</v>
      </c>
      <c r="V1092" s="24" t="s">
        <v>2108</v>
      </c>
      <c r="W1092" s="44" t="s">
        <v>2446</v>
      </c>
      <c r="X1092" s="22">
        <f t="shared" si="27"/>
        <v>322</v>
      </c>
      <c r="Y1092" s="22">
        <v>5</v>
      </c>
      <c r="Z1092" s="22">
        <v>2.7</v>
      </c>
      <c r="AA1092" s="17" t="s">
        <v>84</v>
      </c>
      <c r="AB1092" s="26">
        <v>8463</v>
      </c>
      <c r="AC1092" s="26">
        <v>240</v>
      </c>
      <c r="AD1092" s="26">
        <v>555</v>
      </c>
      <c r="AE1092" s="27">
        <v>138000</v>
      </c>
      <c r="AF1092" s="27">
        <v>3910</v>
      </c>
      <c r="AG1092" s="28"/>
      <c r="AH1092" s="28"/>
      <c r="AI1092" s="17">
        <v>2008</v>
      </c>
      <c r="AJ1092" s="17">
        <v>0</v>
      </c>
      <c r="AK1092" s="17">
        <v>0</v>
      </c>
      <c r="AL1092" s="17" t="s">
        <v>1245</v>
      </c>
      <c r="AM1092" s="17" t="s">
        <v>1268</v>
      </c>
    </row>
    <row r="1093" spans="1:39" ht="15.75" customHeight="1">
      <c r="A1093" s="39" t="s">
        <v>1281</v>
      </c>
      <c r="B1093" s="19" t="s">
        <v>1266</v>
      </c>
      <c r="C1093" s="17">
        <v>135</v>
      </c>
      <c r="D1093" s="19" t="s">
        <v>196</v>
      </c>
      <c r="E1093" s="19">
        <v>3500</v>
      </c>
      <c r="F1093" s="19" t="s">
        <v>1203</v>
      </c>
      <c r="G1093" s="19" t="s">
        <v>1243</v>
      </c>
      <c r="H1093" s="33" t="s">
        <v>1142</v>
      </c>
      <c r="I1093" s="28" t="b">
        <v>0</v>
      </c>
      <c r="J1093" s="17" t="s">
        <v>43</v>
      </c>
      <c r="K1093" s="21" t="str">
        <f t="shared" si="25"/>
        <v>https://version2.ice-d.org/antarctica/sample/PAT-03-MJB/</v>
      </c>
      <c r="L1093" s="141" t="s">
        <v>39</v>
      </c>
      <c r="M1093" s="155"/>
      <c r="O1093" s="28" t="s">
        <v>1277</v>
      </c>
      <c r="P1093" s="22">
        <v>-80.325119999999998</v>
      </c>
      <c r="Q1093" s="22">
        <v>-81.533169999999998</v>
      </c>
      <c r="R1093" s="22"/>
      <c r="S1093" s="22">
        <v>1009</v>
      </c>
      <c r="T1093" s="22">
        <v>770</v>
      </c>
      <c r="U1093" s="23">
        <v>322</v>
      </c>
      <c r="V1093" s="24" t="s">
        <v>2109</v>
      </c>
      <c r="W1093" s="44" t="s">
        <v>2446</v>
      </c>
      <c r="X1093" s="22">
        <f t="shared" si="27"/>
        <v>239</v>
      </c>
      <c r="Y1093" s="22">
        <v>5</v>
      </c>
      <c r="Z1093" s="22">
        <v>2.7</v>
      </c>
      <c r="AA1093" s="17" t="s">
        <v>84</v>
      </c>
      <c r="AB1093" s="26">
        <v>5946</v>
      </c>
      <c r="AC1093" s="26">
        <v>1817</v>
      </c>
      <c r="AD1093" s="26">
        <v>1851</v>
      </c>
      <c r="AE1093" s="27">
        <v>87500</v>
      </c>
      <c r="AF1093" s="27">
        <v>26700</v>
      </c>
      <c r="AG1093" s="28"/>
      <c r="AH1093" s="28"/>
      <c r="AI1093" s="17">
        <v>2008</v>
      </c>
      <c r="AJ1093" s="17">
        <v>0</v>
      </c>
      <c r="AK1093" s="17">
        <v>0</v>
      </c>
      <c r="AL1093" s="17" t="s">
        <v>1245</v>
      </c>
      <c r="AM1093" s="17" t="s">
        <v>1278</v>
      </c>
    </row>
    <row r="1094" spans="1:39" ht="15.75" customHeight="1">
      <c r="A1094" s="39" t="s">
        <v>1282</v>
      </c>
      <c r="B1094" s="19" t="s">
        <v>1266</v>
      </c>
      <c r="C1094" s="17">
        <v>135</v>
      </c>
      <c r="D1094" s="19" t="s">
        <v>196</v>
      </c>
      <c r="E1094" s="19">
        <v>3500</v>
      </c>
      <c r="F1094" s="19" t="s">
        <v>1203</v>
      </c>
      <c r="G1094" s="19" t="s">
        <v>1243</v>
      </c>
      <c r="H1094" s="33" t="s">
        <v>1142</v>
      </c>
      <c r="I1094" s="28" t="b">
        <v>0</v>
      </c>
      <c r="J1094" s="17" t="s">
        <v>43</v>
      </c>
      <c r="K1094" s="21" t="str">
        <f t="shared" si="25"/>
        <v>https://version2.ice-d.org/antarctica/sample/PAT-04-MJB/</v>
      </c>
      <c r="L1094" s="141" t="s">
        <v>39</v>
      </c>
      <c r="M1094" s="155"/>
      <c r="O1094" s="28" t="s">
        <v>1277</v>
      </c>
      <c r="P1094" s="22">
        <v>-80.324449999999999</v>
      </c>
      <c r="Q1094" s="22">
        <v>-81.535929999999993</v>
      </c>
      <c r="R1094" s="22"/>
      <c r="S1094" s="22">
        <v>998</v>
      </c>
      <c r="T1094" s="22">
        <v>770</v>
      </c>
      <c r="U1094" s="23">
        <v>322</v>
      </c>
      <c r="V1094" s="24" t="s">
        <v>2110</v>
      </c>
      <c r="W1094" s="44" t="s">
        <v>2446</v>
      </c>
      <c r="X1094" s="22">
        <f t="shared" si="27"/>
        <v>228</v>
      </c>
      <c r="Y1094" s="22">
        <v>5</v>
      </c>
      <c r="Z1094" s="22">
        <v>2.7</v>
      </c>
      <c r="AA1094" s="17" t="s">
        <v>84</v>
      </c>
      <c r="AB1094" s="26">
        <v>9357</v>
      </c>
      <c r="AC1094" s="26">
        <v>677</v>
      </c>
      <c r="AD1094" s="26">
        <v>874</v>
      </c>
      <c r="AE1094" s="27">
        <v>140000</v>
      </c>
      <c r="AF1094" s="27">
        <v>10100</v>
      </c>
      <c r="AG1094" s="28"/>
      <c r="AH1094" s="28"/>
      <c r="AI1094" s="17">
        <v>2008</v>
      </c>
      <c r="AJ1094" s="17">
        <v>0</v>
      </c>
      <c r="AK1094" s="17">
        <v>0</v>
      </c>
      <c r="AL1094" s="17" t="s">
        <v>1245</v>
      </c>
      <c r="AM1094" s="17" t="s">
        <v>1278</v>
      </c>
    </row>
    <row r="1095" spans="1:39" ht="15.75" customHeight="1">
      <c r="A1095" s="39" t="s">
        <v>1283</v>
      </c>
      <c r="B1095" s="19" t="s">
        <v>1266</v>
      </c>
      <c r="C1095" s="17">
        <v>135</v>
      </c>
      <c r="D1095" s="19" t="s">
        <v>196</v>
      </c>
      <c r="E1095" s="19">
        <v>3500</v>
      </c>
      <c r="F1095" s="19" t="s">
        <v>1203</v>
      </c>
      <c r="G1095" s="19" t="s">
        <v>1243</v>
      </c>
      <c r="H1095" s="33" t="s">
        <v>1142</v>
      </c>
      <c r="I1095" s="28" t="b">
        <v>0</v>
      </c>
      <c r="J1095" s="17" t="s">
        <v>43</v>
      </c>
      <c r="K1095" s="21" t="str">
        <f t="shared" si="25"/>
        <v>https://version2.ice-d.org/antarctica/sample/PAT-05-MJB/</v>
      </c>
      <c r="L1095" s="141" t="s">
        <v>39</v>
      </c>
      <c r="M1095" s="155"/>
      <c r="O1095" s="28" t="s">
        <v>1277</v>
      </c>
      <c r="P1095" s="22">
        <v>-80.323449999999994</v>
      </c>
      <c r="Q1095" s="22">
        <v>-81.541600000000003</v>
      </c>
      <c r="R1095" s="22"/>
      <c r="S1095" s="22">
        <v>954</v>
      </c>
      <c r="T1095" s="22">
        <v>770</v>
      </c>
      <c r="U1095" s="23">
        <v>322</v>
      </c>
      <c r="V1095" s="24" t="s">
        <v>2111</v>
      </c>
      <c r="W1095" s="44" t="s">
        <v>2446</v>
      </c>
      <c r="X1095" s="22">
        <f t="shared" si="27"/>
        <v>184</v>
      </c>
      <c r="Y1095" s="22">
        <v>5</v>
      </c>
      <c r="Z1095" s="22">
        <v>2.7</v>
      </c>
      <c r="AA1095" s="17" t="s">
        <v>84</v>
      </c>
      <c r="AB1095" s="26">
        <v>6903</v>
      </c>
      <c r="AC1095" s="26">
        <v>800</v>
      </c>
      <c r="AD1095" s="26">
        <v>898</v>
      </c>
      <c r="AE1095" s="27">
        <v>96800</v>
      </c>
      <c r="AF1095" s="27">
        <v>11200</v>
      </c>
      <c r="AG1095" s="28"/>
      <c r="AH1095" s="28"/>
      <c r="AI1095" s="17">
        <v>2008</v>
      </c>
      <c r="AJ1095" s="17">
        <v>0</v>
      </c>
      <c r="AK1095" s="17">
        <v>0</v>
      </c>
      <c r="AL1095" s="17" t="s">
        <v>1245</v>
      </c>
      <c r="AM1095" s="17" t="s">
        <v>1278</v>
      </c>
    </row>
    <row r="1096" spans="1:39" ht="15.75" customHeight="1">
      <c r="A1096" s="40" t="s">
        <v>1284</v>
      </c>
      <c r="B1096" s="19" t="s">
        <v>1266</v>
      </c>
      <c r="C1096" s="17">
        <v>135</v>
      </c>
      <c r="D1096" s="19" t="s">
        <v>196</v>
      </c>
      <c r="E1096" s="19">
        <v>3500</v>
      </c>
      <c r="F1096" s="19" t="s">
        <v>1203</v>
      </c>
      <c r="G1096" s="19" t="s">
        <v>1224</v>
      </c>
      <c r="H1096" s="19" t="s">
        <v>1142</v>
      </c>
      <c r="I1096" s="17" t="b">
        <v>0</v>
      </c>
      <c r="J1096" s="17" t="s">
        <v>64</v>
      </c>
      <c r="K1096" s="21" t="str">
        <f t="shared" si="25"/>
        <v>https://version2.ice-d.org/antarctica/sample/PH12-48/</v>
      </c>
      <c r="L1096" s="40" t="s">
        <v>1276</v>
      </c>
      <c r="M1096" s="40"/>
      <c r="O1096" s="28" t="s">
        <v>1277</v>
      </c>
      <c r="P1096" s="22">
        <v>-80.325336199999995</v>
      </c>
      <c r="Q1096" s="22">
        <v>-81.52749541</v>
      </c>
      <c r="R1096" s="22"/>
      <c r="S1096" s="22">
        <v>1068</v>
      </c>
      <c r="T1096" s="17">
        <v>845</v>
      </c>
      <c r="U1096" s="23">
        <v>322</v>
      </c>
      <c r="V1096" s="24" t="s">
        <v>2112</v>
      </c>
      <c r="W1096" s="44" t="s">
        <v>2446</v>
      </c>
      <c r="X1096" s="22">
        <f t="shared" si="27"/>
        <v>223</v>
      </c>
      <c r="Y1096" s="22">
        <v>4.5</v>
      </c>
      <c r="Z1096" s="22">
        <v>2.4</v>
      </c>
      <c r="AA1096" s="17" t="s">
        <v>73</v>
      </c>
      <c r="AB1096" s="26">
        <v>4228</v>
      </c>
      <c r="AC1096" s="26">
        <v>324</v>
      </c>
      <c r="AD1096" s="56">
        <v>488</v>
      </c>
      <c r="AE1096" s="28"/>
      <c r="AF1096" s="28"/>
      <c r="AG1096" s="27">
        <v>440200</v>
      </c>
      <c r="AH1096" s="27">
        <v>33700</v>
      </c>
      <c r="AI1096" s="17">
        <v>2015</v>
      </c>
      <c r="AJ1096" s="17">
        <v>0</v>
      </c>
      <c r="AK1096" s="17">
        <v>0</v>
      </c>
      <c r="AM1096" s="17" t="s">
        <v>1278</v>
      </c>
    </row>
    <row r="1097" spans="1:39" ht="15.75" customHeight="1">
      <c r="A1097" s="40" t="s">
        <v>1285</v>
      </c>
      <c r="B1097" s="19" t="s">
        <v>1266</v>
      </c>
      <c r="C1097" s="17">
        <v>135</v>
      </c>
      <c r="D1097" s="19" t="s">
        <v>196</v>
      </c>
      <c r="E1097" s="19">
        <v>3500</v>
      </c>
      <c r="F1097" s="19" t="s">
        <v>1203</v>
      </c>
      <c r="G1097" s="19" t="s">
        <v>1224</v>
      </c>
      <c r="H1097" s="19" t="s">
        <v>1142</v>
      </c>
      <c r="I1097" s="17" t="b">
        <v>0</v>
      </c>
      <c r="J1097" s="17" t="s">
        <v>43</v>
      </c>
      <c r="K1097" s="21" t="str">
        <f t="shared" si="25"/>
        <v>https://version2.ice-d.org/antarctica/sample/PH12-53/</v>
      </c>
      <c r="L1097" s="40" t="s">
        <v>1276</v>
      </c>
      <c r="M1097" s="40"/>
      <c r="O1097" s="28" t="s">
        <v>1277</v>
      </c>
      <c r="P1097" s="22">
        <v>-80.323988900000003</v>
      </c>
      <c r="Q1097" s="22">
        <v>-81.538124589999995</v>
      </c>
      <c r="R1097" s="22"/>
      <c r="S1097" s="22">
        <v>982</v>
      </c>
      <c r="T1097" s="17">
        <v>845</v>
      </c>
      <c r="U1097" s="23">
        <v>322</v>
      </c>
      <c r="V1097" s="24" t="s">
        <v>2113</v>
      </c>
      <c r="W1097" s="44" t="s">
        <v>2446</v>
      </c>
      <c r="X1097" s="22">
        <f t="shared" si="27"/>
        <v>137</v>
      </c>
      <c r="Y1097" s="22">
        <v>5</v>
      </c>
      <c r="Z1097" s="22">
        <v>2.4</v>
      </c>
      <c r="AA1097" s="17" t="s">
        <v>73</v>
      </c>
      <c r="AB1097" s="26">
        <v>5025</v>
      </c>
      <c r="AC1097" s="26">
        <v>268</v>
      </c>
      <c r="AD1097" s="26">
        <v>400</v>
      </c>
      <c r="AE1097" s="27">
        <v>67700</v>
      </c>
      <c r="AF1097" s="27">
        <v>3600</v>
      </c>
      <c r="AG1097" s="27">
        <v>531500</v>
      </c>
      <c r="AH1097" s="27">
        <v>23800</v>
      </c>
      <c r="AI1097" s="17">
        <v>2015</v>
      </c>
      <c r="AJ1097" s="17">
        <v>0</v>
      </c>
      <c r="AK1097" s="17">
        <v>0</v>
      </c>
      <c r="AM1097" s="17" t="s">
        <v>1278</v>
      </c>
    </row>
    <row r="1098" spans="1:39" ht="12.75" customHeight="1">
      <c r="A1098" s="40" t="s">
        <v>1285</v>
      </c>
      <c r="B1098" s="19" t="s">
        <v>1266</v>
      </c>
      <c r="C1098" s="17">
        <v>135</v>
      </c>
      <c r="D1098" s="19" t="s">
        <v>196</v>
      </c>
      <c r="E1098" s="19">
        <v>3500</v>
      </c>
      <c r="F1098" s="19" t="s">
        <v>1203</v>
      </c>
      <c r="G1098" s="19" t="s">
        <v>1224</v>
      </c>
      <c r="H1098" s="19" t="s">
        <v>1142</v>
      </c>
      <c r="I1098" s="17" t="b">
        <v>0</v>
      </c>
      <c r="J1098" s="17" t="s">
        <v>64</v>
      </c>
      <c r="K1098" s="21" t="str">
        <f t="shared" si="25"/>
        <v>https://version2.ice-d.org/antarctica/sample/PH12-53/</v>
      </c>
      <c r="L1098" s="40" t="s">
        <v>1276</v>
      </c>
      <c r="M1098" s="40"/>
      <c r="O1098" s="28" t="s">
        <v>1277</v>
      </c>
      <c r="P1098" s="22">
        <v>-80.323988900000003</v>
      </c>
      <c r="Q1098" s="22">
        <v>-81.538124589999995</v>
      </c>
      <c r="R1098" s="22"/>
      <c r="S1098" s="22">
        <v>982</v>
      </c>
      <c r="T1098" s="17">
        <v>845</v>
      </c>
      <c r="U1098" s="23">
        <v>322</v>
      </c>
      <c r="V1098" s="24" t="s">
        <v>2114</v>
      </c>
      <c r="W1098" s="44" t="s">
        <v>2446</v>
      </c>
      <c r="X1098" s="22">
        <f t="shared" si="27"/>
        <v>137</v>
      </c>
      <c r="Y1098" s="22">
        <v>5</v>
      </c>
      <c r="Z1098" s="22">
        <v>2.4</v>
      </c>
      <c r="AA1098" s="17" t="s">
        <v>73</v>
      </c>
      <c r="AB1098" s="26">
        <v>5582</v>
      </c>
      <c r="AC1098" s="26">
        <v>251</v>
      </c>
      <c r="AD1098" s="26">
        <v>543</v>
      </c>
      <c r="AE1098" s="27">
        <v>67700</v>
      </c>
      <c r="AF1098" s="27">
        <v>3600</v>
      </c>
      <c r="AG1098" s="27">
        <v>531500</v>
      </c>
      <c r="AH1098" s="27">
        <v>23800</v>
      </c>
      <c r="AI1098" s="17">
        <v>2015</v>
      </c>
      <c r="AJ1098" s="17">
        <v>0</v>
      </c>
      <c r="AK1098" s="17">
        <v>0</v>
      </c>
      <c r="AM1098" s="17" t="s">
        <v>1278</v>
      </c>
    </row>
    <row r="1099" spans="1:39" ht="12.75" customHeight="1">
      <c r="A1099" s="40" t="s">
        <v>1286</v>
      </c>
      <c r="B1099" s="19" t="s">
        <v>1266</v>
      </c>
      <c r="C1099" s="17">
        <v>135</v>
      </c>
      <c r="D1099" s="19" t="s">
        <v>196</v>
      </c>
      <c r="E1099" s="19">
        <v>3500</v>
      </c>
      <c r="F1099" s="19" t="s">
        <v>1203</v>
      </c>
      <c r="G1099" s="19" t="s">
        <v>1224</v>
      </c>
      <c r="H1099" s="19" t="s">
        <v>1142</v>
      </c>
      <c r="I1099" s="17" t="b">
        <v>0</v>
      </c>
      <c r="J1099" s="17" t="s">
        <v>43</v>
      </c>
      <c r="K1099" s="21" t="str">
        <f t="shared" si="25"/>
        <v>https://version2.ice-d.org/antarctica/sample/PH12-54/</v>
      </c>
      <c r="L1099" s="40" t="s">
        <v>1276</v>
      </c>
      <c r="M1099" s="40"/>
      <c r="O1099" s="28" t="s">
        <v>1277</v>
      </c>
      <c r="P1099" s="22">
        <v>-80.323988650000004</v>
      </c>
      <c r="Q1099" s="22">
        <v>-81.538276719999999</v>
      </c>
      <c r="R1099" s="22"/>
      <c r="S1099" s="22">
        <v>981</v>
      </c>
      <c r="T1099" s="17">
        <v>845</v>
      </c>
      <c r="U1099" s="23">
        <v>322</v>
      </c>
      <c r="V1099" s="24" t="s">
        <v>2115</v>
      </c>
      <c r="W1099" s="44" t="s">
        <v>2446</v>
      </c>
      <c r="X1099" s="22">
        <f t="shared" si="27"/>
        <v>136</v>
      </c>
      <c r="Y1099" s="22">
        <v>2.5</v>
      </c>
      <c r="Z1099" s="22">
        <v>2.4</v>
      </c>
      <c r="AA1099" s="17" t="s">
        <v>73</v>
      </c>
      <c r="AB1099" s="26">
        <v>4923</v>
      </c>
      <c r="AC1099" s="26">
        <v>189</v>
      </c>
      <c r="AD1099" s="26">
        <v>347</v>
      </c>
      <c r="AE1099" s="27">
        <v>67700</v>
      </c>
      <c r="AF1099" s="27">
        <v>2600</v>
      </c>
      <c r="AG1099" s="28"/>
      <c r="AH1099" s="28"/>
      <c r="AI1099" s="17">
        <v>2015</v>
      </c>
      <c r="AJ1099" s="17">
        <v>0</v>
      </c>
      <c r="AK1099" s="17">
        <v>0</v>
      </c>
      <c r="AM1099" s="17" t="s">
        <v>1278</v>
      </c>
    </row>
    <row r="1100" spans="1:39" ht="12.75" customHeight="1">
      <c r="A1100" s="40" t="s">
        <v>1287</v>
      </c>
      <c r="B1100" s="19" t="s">
        <v>1266</v>
      </c>
      <c r="C1100" s="17">
        <v>135</v>
      </c>
      <c r="D1100" s="19" t="s">
        <v>196</v>
      </c>
      <c r="E1100" s="19">
        <v>3500</v>
      </c>
      <c r="F1100" s="19" t="s">
        <v>1203</v>
      </c>
      <c r="G1100" s="19" t="s">
        <v>1224</v>
      </c>
      <c r="H1100" s="19" t="s">
        <v>1142</v>
      </c>
      <c r="I1100" s="17" t="b">
        <v>0</v>
      </c>
      <c r="J1100" s="17" t="s">
        <v>43</v>
      </c>
      <c r="K1100" s="21" t="str">
        <f t="shared" si="25"/>
        <v>https://version2.ice-d.org/antarctica/sample/PH12-57/</v>
      </c>
      <c r="L1100" s="40" t="s">
        <v>1276</v>
      </c>
      <c r="M1100" s="40"/>
      <c r="O1100" s="28" t="s">
        <v>1277</v>
      </c>
      <c r="P1100" s="22">
        <v>-80.323359330000002</v>
      </c>
      <c r="Q1100" s="22">
        <v>-81.54181715</v>
      </c>
      <c r="R1100" s="22"/>
      <c r="S1100" s="22">
        <v>957</v>
      </c>
      <c r="T1100" s="17">
        <v>845</v>
      </c>
      <c r="U1100" s="23">
        <v>322</v>
      </c>
      <c r="V1100" s="24" t="s">
        <v>2116</v>
      </c>
      <c r="W1100" s="44" t="s">
        <v>2446</v>
      </c>
      <c r="X1100" s="22">
        <f t="shared" si="27"/>
        <v>112</v>
      </c>
      <c r="Y1100" s="22">
        <v>4.5</v>
      </c>
      <c r="Z1100" s="22">
        <v>2.4</v>
      </c>
      <c r="AA1100" s="17" t="s">
        <v>73</v>
      </c>
      <c r="AB1100" s="26">
        <v>4717</v>
      </c>
      <c r="AC1100" s="26">
        <v>181</v>
      </c>
      <c r="AD1100" s="26">
        <v>332</v>
      </c>
      <c r="AE1100" s="27">
        <v>62700</v>
      </c>
      <c r="AF1100" s="27">
        <v>2400</v>
      </c>
      <c r="AG1100" s="28"/>
      <c r="AH1100" s="28"/>
      <c r="AI1100" s="17">
        <v>2015</v>
      </c>
      <c r="AJ1100" s="17">
        <v>0</v>
      </c>
      <c r="AK1100" s="17">
        <v>0</v>
      </c>
      <c r="AM1100" s="17" t="s">
        <v>1278</v>
      </c>
    </row>
    <row r="1101" spans="1:39" ht="12.75" customHeight="1">
      <c r="A1101" s="40" t="s">
        <v>1288</v>
      </c>
      <c r="B1101" s="19" t="s">
        <v>1266</v>
      </c>
      <c r="C1101" s="17">
        <v>135</v>
      </c>
      <c r="D1101" s="19" t="s">
        <v>196</v>
      </c>
      <c r="E1101" s="19">
        <v>3500</v>
      </c>
      <c r="F1101" s="19" t="s">
        <v>1203</v>
      </c>
      <c r="G1101" s="19" t="s">
        <v>1224</v>
      </c>
      <c r="H1101" s="19" t="s">
        <v>1142</v>
      </c>
      <c r="I1101" s="17" t="b">
        <v>0</v>
      </c>
      <c r="J1101" s="17" t="s">
        <v>43</v>
      </c>
      <c r="K1101" s="21" t="str">
        <f t="shared" si="25"/>
        <v>https://version2.ice-d.org/antarctica/sample/PH12-113/</v>
      </c>
      <c r="L1101" s="40" t="s">
        <v>1276</v>
      </c>
      <c r="M1101" s="40"/>
      <c r="O1101" s="28" t="s">
        <v>1277</v>
      </c>
      <c r="P1101" s="22">
        <v>-80.322475960000006</v>
      </c>
      <c r="Q1101" s="22">
        <v>-81.435022900000007</v>
      </c>
      <c r="R1101" s="22"/>
      <c r="S1101" s="22">
        <v>881</v>
      </c>
      <c r="T1101" s="17">
        <v>725</v>
      </c>
      <c r="U1101" s="23">
        <v>322</v>
      </c>
      <c r="V1101" s="24" t="s">
        <v>2117</v>
      </c>
      <c r="W1101" s="44" t="s">
        <v>2446</v>
      </c>
      <c r="X1101" s="22">
        <f t="shared" si="27"/>
        <v>156</v>
      </c>
      <c r="Y1101" s="22">
        <v>3</v>
      </c>
      <c r="Z1101" s="22">
        <v>2.4</v>
      </c>
      <c r="AA1101" s="17" t="s">
        <v>73</v>
      </c>
      <c r="AB1101" s="26">
        <v>17528</v>
      </c>
      <c r="AC1101" s="26">
        <v>1319</v>
      </c>
      <c r="AD1101" s="26">
        <v>1679</v>
      </c>
      <c r="AE1101" s="27">
        <v>217500</v>
      </c>
      <c r="AF1101" s="27">
        <v>16300</v>
      </c>
      <c r="AG1101" s="28"/>
      <c r="AH1101" s="28"/>
      <c r="AI1101" s="17">
        <v>2015</v>
      </c>
      <c r="AJ1101" s="17">
        <v>0</v>
      </c>
      <c r="AK1101" s="17">
        <v>0</v>
      </c>
      <c r="AM1101" s="17" t="s">
        <v>1278</v>
      </c>
    </row>
    <row r="1102" spans="1:39" ht="15.75" customHeight="1">
      <c r="A1102" s="40" t="s">
        <v>1289</v>
      </c>
      <c r="B1102" s="19" t="s">
        <v>1266</v>
      </c>
      <c r="C1102" s="17">
        <v>135</v>
      </c>
      <c r="D1102" s="19" t="s">
        <v>196</v>
      </c>
      <c r="E1102" s="19">
        <v>3500</v>
      </c>
      <c r="F1102" s="19" t="s">
        <v>1203</v>
      </c>
      <c r="G1102" s="19" t="s">
        <v>1224</v>
      </c>
      <c r="H1102" s="19" t="s">
        <v>1142</v>
      </c>
      <c r="I1102" s="17" t="b">
        <v>0</v>
      </c>
      <c r="J1102" s="17" t="s">
        <v>43</v>
      </c>
      <c r="K1102" s="21" t="str">
        <f t="shared" si="25"/>
        <v>https://version2.ice-d.org/antarctica/sample/PH12-114/</v>
      </c>
      <c r="L1102" s="40" t="s">
        <v>1276</v>
      </c>
      <c r="M1102" s="40"/>
      <c r="O1102" s="28" t="s">
        <v>1277</v>
      </c>
      <c r="P1102" s="17">
        <v>-80.322213610000006</v>
      </c>
      <c r="Q1102" s="17">
        <v>-81.434448410000002</v>
      </c>
      <c r="S1102" s="17">
        <v>871</v>
      </c>
      <c r="T1102" s="17">
        <v>725</v>
      </c>
      <c r="U1102" s="23">
        <v>322</v>
      </c>
      <c r="V1102" s="24" t="s">
        <v>2118</v>
      </c>
      <c r="W1102" s="44" t="s">
        <v>2446</v>
      </c>
      <c r="X1102" s="22">
        <f t="shared" si="27"/>
        <v>146</v>
      </c>
      <c r="Y1102" s="17">
        <v>3</v>
      </c>
      <c r="Z1102" s="17">
        <v>2.4</v>
      </c>
      <c r="AA1102" s="17" t="s">
        <v>73</v>
      </c>
      <c r="AB1102" s="56">
        <v>14761</v>
      </c>
      <c r="AC1102" s="56">
        <v>544</v>
      </c>
      <c r="AD1102" s="56">
        <v>1029</v>
      </c>
      <c r="AE1102" s="28">
        <v>182600</v>
      </c>
      <c r="AF1102" s="28">
        <v>6700</v>
      </c>
      <c r="AG1102" s="28">
        <v>1424900</v>
      </c>
      <c r="AH1102" s="28">
        <v>67400</v>
      </c>
      <c r="AI1102" s="17">
        <v>2015</v>
      </c>
      <c r="AJ1102" s="17">
        <v>0</v>
      </c>
      <c r="AK1102" s="17">
        <v>0</v>
      </c>
      <c r="AM1102" s="17" t="s">
        <v>1278</v>
      </c>
    </row>
    <row r="1103" spans="1:39" ht="15.75" customHeight="1">
      <c r="A1103" s="40" t="s">
        <v>1289</v>
      </c>
      <c r="B1103" s="19" t="s">
        <v>1266</v>
      </c>
      <c r="C1103" s="17">
        <v>135</v>
      </c>
      <c r="D1103" s="19" t="s">
        <v>196</v>
      </c>
      <c r="E1103" s="19">
        <v>3500</v>
      </c>
      <c r="F1103" s="19" t="s">
        <v>1203</v>
      </c>
      <c r="G1103" s="19" t="s">
        <v>1224</v>
      </c>
      <c r="H1103" s="19" t="s">
        <v>1142</v>
      </c>
      <c r="I1103" s="17" t="b">
        <v>0</v>
      </c>
      <c r="J1103" s="17" t="s">
        <v>64</v>
      </c>
      <c r="K1103" s="21" t="str">
        <f t="shared" si="25"/>
        <v>https://version2.ice-d.org/antarctica/sample/PH12-114/</v>
      </c>
      <c r="L1103" s="40" t="s">
        <v>1276</v>
      </c>
      <c r="M1103" s="40"/>
      <c r="O1103" s="28" t="s">
        <v>1277</v>
      </c>
      <c r="P1103" s="22">
        <v>-80.322213610000006</v>
      </c>
      <c r="Q1103" s="22">
        <v>-81.434448410000002</v>
      </c>
      <c r="R1103" s="22"/>
      <c r="S1103" s="22">
        <v>871</v>
      </c>
      <c r="T1103" s="17">
        <v>725</v>
      </c>
      <c r="U1103" s="23">
        <v>322</v>
      </c>
      <c r="V1103" s="24" t="s">
        <v>2119</v>
      </c>
      <c r="W1103" s="44" t="s">
        <v>2446</v>
      </c>
      <c r="X1103" s="22">
        <f t="shared" si="27"/>
        <v>146</v>
      </c>
      <c r="Y1103" s="22">
        <v>3</v>
      </c>
      <c r="Z1103" s="22">
        <v>2.4</v>
      </c>
      <c r="AA1103" s="17" t="s">
        <v>73</v>
      </c>
      <c r="AB1103" s="26">
        <v>16357</v>
      </c>
      <c r="AC1103" s="26">
        <v>780</v>
      </c>
      <c r="AD1103" s="26">
        <v>1618</v>
      </c>
      <c r="AE1103" s="27">
        <v>182600</v>
      </c>
      <c r="AF1103" s="27">
        <v>6700</v>
      </c>
      <c r="AG1103" s="27">
        <v>1424900</v>
      </c>
      <c r="AH1103" s="27">
        <v>67400</v>
      </c>
      <c r="AI1103" s="17">
        <v>2015</v>
      </c>
      <c r="AJ1103" s="17">
        <v>0</v>
      </c>
      <c r="AK1103" s="17">
        <v>0</v>
      </c>
      <c r="AM1103" s="17" t="s">
        <v>1278</v>
      </c>
    </row>
    <row r="1104" spans="1:39" ht="15.75" customHeight="1">
      <c r="A1104" s="40" t="s">
        <v>1290</v>
      </c>
      <c r="B1104" s="19" t="s">
        <v>1266</v>
      </c>
      <c r="C1104" s="17">
        <v>135</v>
      </c>
      <c r="D1104" s="19" t="s">
        <v>196</v>
      </c>
      <c r="E1104" s="19">
        <v>3500</v>
      </c>
      <c r="F1104" s="19" t="s">
        <v>1203</v>
      </c>
      <c r="G1104" s="19" t="s">
        <v>1224</v>
      </c>
      <c r="H1104" s="19" t="s">
        <v>1142</v>
      </c>
      <c r="I1104" s="17" t="b">
        <v>0</v>
      </c>
      <c r="J1104" s="17" t="s">
        <v>43</v>
      </c>
      <c r="K1104" s="21" t="str">
        <f t="shared" si="25"/>
        <v>https://version2.ice-d.org/antarctica/sample/PH12-123/</v>
      </c>
      <c r="L1104" s="40" t="s">
        <v>1276</v>
      </c>
      <c r="M1104" s="40"/>
      <c r="O1104" s="28" t="s">
        <v>1277</v>
      </c>
      <c r="P1104" s="17">
        <v>-80.320148900000007</v>
      </c>
      <c r="Q1104" s="17">
        <v>-81.432834389999996</v>
      </c>
      <c r="S1104" s="17">
        <v>795</v>
      </c>
      <c r="T1104" s="17">
        <v>725</v>
      </c>
      <c r="U1104" s="23">
        <v>322</v>
      </c>
      <c r="V1104" s="24" t="s">
        <v>2120</v>
      </c>
      <c r="W1104" s="44" t="s">
        <v>2446</v>
      </c>
      <c r="X1104" s="22">
        <f t="shared" si="27"/>
        <v>70</v>
      </c>
      <c r="Y1104" s="17">
        <v>3</v>
      </c>
      <c r="Z1104" s="17">
        <v>2.4</v>
      </c>
      <c r="AA1104" s="17" t="s">
        <v>73</v>
      </c>
      <c r="AB1104" s="56">
        <v>4486</v>
      </c>
      <c r="AC1104" s="56">
        <v>251</v>
      </c>
      <c r="AD1104" s="56">
        <v>543</v>
      </c>
      <c r="AE1104" s="28">
        <v>51900</v>
      </c>
      <c r="AF1104" s="28">
        <v>2900</v>
      </c>
      <c r="AG1104" s="28">
        <v>412900</v>
      </c>
      <c r="AH1104" s="28">
        <v>20800</v>
      </c>
      <c r="AI1104" s="17">
        <v>2015</v>
      </c>
      <c r="AJ1104" s="17">
        <v>0</v>
      </c>
      <c r="AK1104" s="17">
        <v>0</v>
      </c>
      <c r="AM1104" s="17" t="s">
        <v>1278</v>
      </c>
    </row>
    <row r="1105" spans="1:39" ht="15.75" customHeight="1">
      <c r="A1105" s="40" t="s">
        <v>1290</v>
      </c>
      <c r="B1105" s="19" t="s">
        <v>1266</v>
      </c>
      <c r="C1105" s="17">
        <v>135</v>
      </c>
      <c r="D1105" s="19" t="s">
        <v>196</v>
      </c>
      <c r="E1105" s="19">
        <v>3500</v>
      </c>
      <c r="F1105" s="19" t="s">
        <v>1203</v>
      </c>
      <c r="G1105" s="19" t="s">
        <v>1224</v>
      </c>
      <c r="H1105" s="19" t="s">
        <v>1142</v>
      </c>
      <c r="I1105" s="17" t="b">
        <v>0</v>
      </c>
      <c r="J1105" s="17" t="s">
        <v>64</v>
      </c>
      <c r="K1105" s="21" t="str">
        <f t="shared" si="25"/>
        <v>https://version2.ice-d.org/antarctica/sample/PH12-123/</v>
      </c>
      <c r="L1105" s="40" t="s">
        <v>1276</v>
      </c>
      <c r="M1105" s="40"/>
      <c r="O1105" s="28" t="s">
        <v>1277</v>
      </c>
      <c r="P1105" s="22">
        <v>-80.320148900000007</v>
      </c>
      <c r="Q1105" s="22">
        <v>-81.432834389999996</v>
      </c>
      <c r="R1105" s="22"/>
      <c r="S1105" s="22">
        <v>795</v>
      </c>
      <c r="T1105" s="17">
        <v>725</v>
      </c>
      <c r="U1105" s="23">
        <v>322</v>
      </c>
      <c r="V1105" s="24" t="s">
        <v>2121</v>
      </c>
      <c r="W1105" s="44" t="s">
        <v>2446</v>
      </c>
      <c r="X1105" s="22">
        <f t="shared" si="27"/>
        <v>70</v>
      </c>
      <c r="Y1105" s="22">
        <v>3</v>
      </c>
      <c r="Z1105" s="22">
        <v>2.4</v>
      </c>
      <c r="AA1105" s="17" t="s">
        <v>73</v>
      </c>
      <c r="AB1105" s="26">
        <v>5061</v>
      </c>
      <c r="AC1105" s="26">
        <v>256</v>
      </c>
      <c r="AD1105" s="26">
        <v>506</v>
      </c>
      <c r="AE1105" s="27">
        <v>51900</v>
      </c>
      <c r="AF1105" s="27">
        <v>2900</v>
      </c>
      <c r="AG1105" s="27">
        <v>412900</v>
      </c>
      <c r="AH1105" s="27">
        <v>20800</v>
      </c>
      <c r="AI1105" s="17">
        <v>2015</v>
      </c>
      <c r="AJ1105" s="17">
        <v>0</v>
      </c>
      <c r="AK1105" s="17">
        <v>0</v>
      </c>
      <c r="AM1105" s="17" t="s">
        <v>1278</v>
      </c>
    </row>
    <row r="1106" spans="1:39" ht="12.75" customHeight="1">
      <c r="A1106" s="74" t="s">
        <v>1291</v>
      </c>
      <c r="B1106" s="33" t="s">
        <v>1266</v>
      </c>
      <c r="C1106" s="27">
        <v>136</v>
      </c>
      <c r="D1106" s="19" t="s">
        <v>196</v>
      </c>
      <c r="E1106" s="19">
        <v>3500</v>
      </c>
      <c r="F1106" s="19" t="s">
        <v>1203</v>
      </c>
      <c r="G1106" s="19" t="s">
        <v>1224</v>
      </c>
      <c r="H1106" s="19" t="s">
        <v>1142</v>
      </c>
      <c r="I1106" s="17" t="b">
        <v>0</v>
      </c>
      <c r="J1106" s="17" t="s">
        <v>43</v>
      </c>
      <c r="K1106" s="21" t="str">
        <f t="shared" si="25"/>
        <v>https://version2.ice-d.org/antarctica/sample/PH12-71/</v>
      </c>
      <c r="L1106" s="74" t="s">
        <v>1292</v>
      </c>
      <c r="M1106" s="163" t="s">
        <v>2411</v>
      </c>
      <c r="O1106" s="17" t="s">
        <v>1260</v>
      </c>
      <c r="P1106" s="22">
        <v>-80.324493000000004</v>
      </c>
      <c r="Q1106" s="22">
        <v>-81.393568999999999</v>
      </c>
      <c r="R1106" s="22"/>
      <c r="S1106" s="22">
        <v>864</v>
      </c>
      <c r="T1106" s="17">
        <v>753</v>
      </c>
      <c r="U1106" s="23">
        <v>120</v>
      </c>
      <c r="V1106" s="24" t="s">
        <v>2122</v>
      </c>
      <c r="W1106" s="44" t="s">
        <v>2446</v>
      </c>
      <c r="X1106" s="17">
        <f t="shared" si="27"/>
        <v>111</v>
      </c>
      <c r="Y1106" s="22">
        <v>3</v>
      </c>
      <c r="Z1106" s="22">
        <v>2.2999999999999998</v>
      </c>
      <c r="AA1106" s="17" t="s">
        <v>73</v>
      </c>
      <c r="AB1106" s="26">
        <v>16739</v>
      </c>
      <c r="AC1106" s="26">
        <v>571</v>
      </c>
      <c r="AD1106" s="26">
        <v>1144</v>
      </c>
      <c r="AE1106" s="27">
        <v>206000</v>
      </c>
      <c r="AF1106" s="27">
        <v>7000</v>
      </c>
      <c r="AG1106" s="28"/>
      <c r="AH1106" s="28"/>
      <c r="AI1106" s="17">
        <v>2012</v>
      </c>
      <c r="AJ1106" s="17">
        <v>1</v>
      </c>
      <c r="AK1106" s="17">
        <v>0</v>
      </c>
      <c r="AL1106" s="17" t="s">
        <v>1293</v>
      </c>
      <c r="AM1106" s="17" t="s">
        <v>1278</v>
      </c>
    </row>
    <row r="1107" spans="1:39" ht="13">
      <c r="A1107" s="74" t="s">
        <v>1294</v>
      </c>
      <c r="B1107" s="33" t="s">
        <v>1266</v>
      </c>
      <c r="C1107" s="27">
        <v>136</v>
      </c>
      <c r="D1107" s="19" t="s">
        <v>196</v>
      </c>
      <c r="E1107" s="19">
        <v>3500</v>
      </c>
      <c r="F1107" s="19" t="s">
        <v>1203</v>
      </c>
      <c r="G1107" s="19" t="s">
        <v>1224</v>
      </c>
      <c r="H1107" s="19" t="s">
        <v>1142</v>
      </c>
      <c r="I1107" s="17" t="b">
        <v>0</v>
      </c>
      <c r="J1107" s="17" t="s">
        <v>43</v>
      </c>
      <c r="K1107" s="21" t="str">
        <f t="shared" si="25"/>
        <v>https://version2.ice-d.org/antarctica/sample/PH12-72/</v>
      </c>
      <c r="L1107" s="74" t="s">
        <v>1292</v>
      </c>
      <c r="M1107" s="155"/>
      <c r="O1107" s="17" t="s">
        <v>1260</v>
      </c>
      <c r="P1107" s="22">
        <v>-80.323824999999999</v>
      </c>
      <c r="Q1107" s="22">
        <v>-81.394885000000002</v>
      </c>
      <c r="R1107" s="22"/>
      <c r="S1107" s="22">
        <v>835</v>
      </c>
      <c r="T1107" s="17">
        <v>757</v>
      </c>
      <c r="U1107" s="23">
        <v>120</v>
      </c>
      <c r="V1107" s="24" t="s">
        <v>2123</v>
      </c>
      <c r="W1107" s="44" t="s">
        <v>2446</v>
      </c>
      <c r="X1107" s="17">
        <f t="shared" si="27"/>
        <v>78</v>
      </c>
      <c r="Y1107" s="22">
        <v>5</v>
      </c>
      <c r="Z1107" s="22">
        <v>2.2999999999999998</v>
      </c>
      <c r="AA1107" s="17" t="s">
        <v>73</v>
      </c>
      <c r="AB1107" s="26">
        <v>7635</v>
      </c>
      <c r="AC1107" s="26">
        <v>420</v>
      </c>
      <c r="AD1107" s="26">
        <v>617</v>
      </c>
      <c r="AE1107" s="27">
        <v>91000</v>
      </c>
      <c r="AF1107" s="27">
        <v>5000</v>
      </c>
      <c r="AG1107" s="28"/>
      <c r="AH1107" s="28"/>
      <c r="AI1107" s="17">
        <v>2012</v>
      </c>
      <c r="AJ1107" s="17">
        <v>1</v>
      </c>
      <c r="AK1107" s="17">
        <v>0</v>
      </c>
      <c r="AL1107" s="17" t="s">
        <v>1293</v>
      </c>
      <c r="AM1107" s="17" t="s">
        <v>1278</v>
      </c>
    </row>
    <row r="1108" spans="1:39" ht="16" customHeight="1">
      <c r="A1108" s="130" t="s">
        <v>1295</v>
      </c>
      <c r="B1108" s="19" t="s">
        <v>1296</v>
      </c>
      <c r="C1108" s="27">
        <v>136</v>
      </c>
      <c r="D1108" s="142" t="s">
        <v>196</v>
      </c>
      <c r="E1108" s="135">
        <v>0</v>
      </c>
      <c r="F1108" s="135" t="s">
        <v>1297</v>
      </c>
      <c r="G1108" s="135" t="s">
        <v>1298</v>
      </c>
      <c r="H1108" s="19" t="s">
        <v>1142</v>
      </c>
      <c r="I1108" s="17" t="b">
        <v>0</v>
      </c>
      <c r="J1108" s="17" t="s">
        <v>247</v>
      </c>
      <c r="K1108" s="21" t="s">
        <v>1299</v>
      </c>
      <c r="L1108" s="130" t="s">
        <v>39</v>
      </c>
      <c r="M1108" s="164" t="s">
        <v>44</v>
      </c>
      <c r="O1108" s="28" t="s">
        <v>1300</v>
      </c>
      <c r="P1108" s="22">
        <v>-83.285150000000002</v>
      </c>
      <c r="Q1108" s="22">
        <v>-57.976759999999999</v>
      </c>
      <c r="R1108" s="22"/>
      <c r="S1108" s="22">
        <v>922.81702959999996</v>
      </c>
      <c r="T1108" s="22"/>
      <c r="U1108" s="143">
        <v>500</v>
      </c>
      <c r="V1108" s="24" t="s">
        <v>2124</v>
      </c>
      <c r="W1108" s="44" t="s">
        <v>2446</v>
      </c>
      <c r="X1108" s="22"/>
      <c r="Y1108" s="22">
        <v>4.5</v>
      </c>
      <c r="Z1108" s="22">
        <v>2.6</v>
      </c>
      <c r="AA1108" s="17" t="s">
        <v>73</v>
      </c>
      <c r="AB1108" s="26">
        <v>10360</v>
      </c>
      <c r="AC1108" s="26">
        <v>346</v>
      </c>
      <c r="AD1108" s="26"/>
      <c r="AE1108" s="27">
        <v>3064870</v>
      </c>
      <c r="AF1108" s="27">
        <v>41685</v>
      </c>
      <c r="AG1108" s="28"/>
      <c r="AH1108" s="28"/>
      <c r="AI1108" s="17">
        <v>2014</v>
      </c>
      <c r="AJ1108" s="17">
        <v>0</v>
      </c>
      <c r="AK1108" s="17">
        <v>1</v>
      </c>
      <c r="AL1108" s="17" t="s">
        <v>1301</v>
      </c>
    </row>
    <row r="1109" spans="1:39" ht="15.75" customHeight="1">
      <c r="A1109" s="130" t="s">
        <v>1295</v>
      </c>
      <c r="B1109" s="19" t="s">
        <v>1296</v>
      </c>
      <c r="C1109" s="27">
        <v>136</v>
      </c>
      <c r="D1109" s="142" t="s">
        <v>196</v>
      </c>
      <c r="E1109" s="135">
        <v>0</v>
      </c>
      <c r="F1109" s="135" t="s">
        <v>1297</v>
      </c>
      <c r="G1109" s="135" t="s">
        <v>1298</v>
      </c>
      <c r="H1109" s="19" t="s">
        <v>1142</v>
      </c>
      <c r="I1109" s="17" t="b">
        <v>0</v>
      </c>
      <c r="J1109" s="17" t="s">
        <v>247</v>
      </c>
      <c r="K1109" s="21" t="s">
        <v>1299</v>
      </c>
      <c r="L1109" s="130" t="s">
        <v>39</v>
      </c>
      <c r="M1109" s="155"/>
      <c r="O1109" s="28" t="s">
        <v>1300</v>
      </c>
      <c r="P1109" s="22">
        <v>-83.285150000000002</v>
      </c>
      <c r="Q1109" s="22">
        <v>-57.976759999999999</v>
      </c>
      <c r="R1109" s="22"/>
      <c r="S1109" s="22">
        <v>922.81702959999996</v>
      </c>
      <c r="T1109" s="22"/>
      <c r="U1109" s="143">
        <v>500</v>
      </c>
      <c r="V1109" s="24" t="s">
        <v>2125</v>
      </c>
      <c r="W1109" s="44" t="s">
        <v>2446</v>
      </c>
      <c r="X1109" s="22"/>
      <c r="Y1109" s="22">
        <v>4.5</v>
      </c>
      <c r="Z1109" s="22">
        <v>2.6</v>
      </c>
      <c r="AA1109" s="17" t="s">
        <v>73</v>
      </c>
      <c r="AB1109" s="26">
        <v>13076</v>
      </c>
      <c r="AC1109" s="26">
        <v>427</v>
      </c>
      <c r="AD1109" s="26"/>
      <c r="AE1109" s="27">
        <v>3064870</v>
      </c>
      <c r="AF1109" s="27">
        <v>41685</v>
      </c>
      <c r="AG1109" s="28"/>
      <c r="AH1109" s="28"/>
      <c r="AI1109" s="17">
        <v>2014</v>
      </c>
      <c r="AJ1109" s="17">
        <v>0</v>
      </c>
      <c r="AK1109" s="17">
        <v>1</v>
      </c>
      <c r="AL1109" s="17" t="s">
        <v>1301</v>
      </c>
    </row>
    <row r="1110" spans="1:39" ht="15.75" customHeight="1">
      <c r="A1110" s="130" t="s">
        <v>1295</v>
      </c>
      <c r="B1110" s="19" t="s">
        <v>1296</v>
      </c>
      <c r="C1110" s="27">
        <v>136</v>
      </c>
      <c r="D1110" s="142" t="s">
        <v>196</v>
      </c>
      <c r="E1110" s="135">
        <v>0</v>
      </c>
      <c r="F1110" s="135" t="s">
        <v>1297</v>
      </c>
      <c r="G1110" s="135" t="s">
        <v>1298</v>
      </c>
      <c r="H1110" s="19" t="s">
        <v>1142</v>
      </c>
      <c r="I1110" s="17" t="b">
        <v>0</v>
      </c>
      <c r="J1110" s="17" t="s">
        <v>128</v>
      </c>
      <c r="K1110" s="21" t="s">
        <v>1299</v>
      </c>
      <c r="L1110" s="130" t="s">
        <v>39</v>
      </c>
      <c r="M1110" s="155"/>
      <c r="O1110" s="28" t="s">
        <v>1300</v>
      </c>
      <c r="P1110" s="22">
        <v>-83.285150000000002</v>
      </c>
      <c r="Q1110" s="22">
        <v>-57.976759999999999</v>
      </c>
      <c r="R1110" s="22"/>
      <c r="S1110" s="22">
        <v>922.81702959999996</v>
      </c>
      <c r="T1110" s="22"/>
      <c r="U1110" s="143">
        <v>500</v>
      </c>
      <c r="V1110" s="24" t="s">
        <v>2126</v>
      </c>
      <c r="W1110" s="44" t="s">
        <v>2446</v>
      </c>
      <c r="X1110" s="22"/>
      <c r="Y1110" s="22">
        <v>4.5</v>
      </c>
      <c r="Z1110" s="22">
        <v>2.6</v>
      </c>
      <c r="AA1110" s="17" t="s">
        <v>73</v>
      </c>
      <c r="AB1110" s="26">
        <v>16440</v>
      </c>
      <c r="AC1110" s="26">
        <v>1298</v>
      </c>
      <c r="AD1110" s="26"/>
      <c r="AE1110" s="27">
        <v>3064870</v>
      </c>
      <c r="AF1110" s="27">
        <v>41685</v>
      </c>
      <c r="AG1110" s="28"/>
      <c r="AH1110" s="28"/>
      <c r="AI1110" s="17">
        <v>2014</v>
      </c>
      <c r="AJ1110" s="17">
        <v>0</v>
      </c>
      <c r="AK1110" s="17">
        <v>1</v>
      </c>
      <c r="AL1110" s="17" t="s">
        <v>1302</v>
      </c>
    </row>
    <row r="1111" spans="1:39" ht="15.75" customHeight="1">
      <c r="A1111" s="130" t="s">
        <v>1295</v>
      </c>
      <c r="B1111" s="19" t="s">
        <v>1296</v>
      </c>
      <c r="C1111" s="27">
        <v>136</v>
      </c>
      <c r="D1111" s="142" t="s">
        <v>196</v>
      </c>
      <c r="E1111" s="135">
        <v>0</v>
      </c>
      <c r="F1111" s="135" t="s">
        <v>1297</v>
      </c>
      <c r="G1111" s="135" t="s">
        <v>1298</v>
      </c>
      <c r="H1111" s="19" t="s">
        <v>1142</v>
      </c>
      <c r="I1111" s="17" t="b">
        <v>0</v>
      </c>
      <c r="J1111" s="17" t="s">
        <v>128</v>
      </c>
      <c r="K1111" s="21" t="s">
        <v>1299</v>
      </c>
      <c r="L1111" s="130" t="s">
        <v>39</v>
      </c>
      <c r="M1111" s="155"/>
      <c r="O1111" s="28" t="s">
        <v>1300</v>
      </c>
      <c r="P1111" s="22">
        <v>-83.285150000000002</v>
      </c>
      <c r="Q1111" s="22">
        <v>-57.976759999999999</v>
      </c>
      <c r="R1111" s="22"/>
      <c r="S1111" s="22">
        <v>922.81702959999996</v>
      </c>
      <c r="T1111" s="22"/>
      <c r="U1111" s="143">
        <v>500</v>
      </c>
      <c r="V1111" s="24" t="s">
        <v>2127</v>
      </c>
      <c r="W1111" s="44" t="s">
        <v>2446</v>
      </c>
      <c r="X1111" s="22"/>
      <c r="Y1111" s="22">
        <v>4.5</v>
      </c>
      <c r="Z1111" s="22">
        <v>2.6</v>
      </c>
      <c r="AA1111" s="17" t="s">
        <v>73</v>
      </c>
      <c r="AB1111" s="26">
        <v>20185</v>
      </c>
      <c r="AC1111" s="26">
        <v>1572</v>
      </c>
      <c r="AD1111" s="26"/>
      <c r="AE1111" s="27">
        <v>3064870</v>
      </c>
      <c r="AF1111" s="27">
        <v>41685</v>
      </c>
      <c r="AG1111" s="28"/>
      <c r="AH1111" s="28"/>
      <c r="AI1111" s="17">
        <v>2014</v>
      </c>
      <c r="AJ1111" s="17">
        <v>0</v>
      </c>
      <c r="AK1111" s="17">
        <v>1</v>
      </c>
      <c r="AL1111" s="17" t="s">
        <v>1302</v>
      </c>
    </row>
    <row r="1112" spans="1:39" ht="15.75" customHeight="1">
      <c r="A1112" s="130" t="s">
        <v>1295</v>
      </c>
      <c r="B1112" s="19" t="s">
        <v>1296</v>
      </c>
      <c r="C1112" s="27">
        <v>136</v>
      </c>
      <c r="D1112" s="142" t="s">
        <v>196</v>
      </c>
      <c r="E1112" s="135">
        <v>0</v>
      </c>
      <c r="F1112" s="135" t="s">
        <v>1297</v>
      </c>
      <c r="G1112" s="135" t="s">
        <v>1298</v>
      </c>
      <c r="H1112" s="19" t="s">
        <v>1142</v>
      </c>
      <c r="I1112" s="17" t="b">
        <v>0</v>
      </c>
      <c r="J1112" s="17" t="s">
        <v>128</v>
      </c>
      <c r="K1112" s="21" t="s">
        <v>1299</v>
      </c>
      <c r="L1112" s="130" t="s">
        <v>39</v>
      </c>
      <c r="M1112" s="155"/>
      <c r="O1112" s="28" t="s">
        <v>1300</v>
      </c>
      <c r="P1112" s="22">
        <v>-83.285150000000002</v>
      </c>
      <c r="Q1112" s="22">
        <v>-57.976759999999999</v>
      </c>
      <c r="R1112" s="22"/>
      <c r="S1112" s="22">
        <v>922.81702959999996</v>
      </c>
      <c r="T1112" s="22"/>
      <c r="U1112" s="143">
        <v>500</v>
      </c>
      <c r="V1112" s="24" t="s">
        <v>2128</v>
      </c>
      <c r="W1112" s="44" t="s">
        <v>2446</v>
      </c>
      <c r="X1112" s="22"/>
      <c r="Y1112" s="22">
        <v>4.5</v>
      </c>
      <c r="Z1112" s="22">
        <v>2.6</v>
      </c>
      <c r="AA1112" s="17" t="s">
        <v>73</v>
      </c>
      <c r="AB1112" s="26">
        <v>20357</v>
      </c>
      <c r="AC1112" s="26">
        <v>945</v>
      </c>
      <c r="AD1112" s="26"/>
      <c r="AE1112" s="27">
        <v>3064870</v>
      </c>
      <c r="AF1112" s="27">
        <v>41685</v>
      </c>
      <c r="AG1112" s="28"/>
      <c r="AH1112" s="28"/>
      <c r="AI1112" s="17">
        <v>2014</v>
      </c>
      <c r="AJ1112" s="17">
        <v>0</v>
      </c>
      <c r="AK1112" s="17">
        <v>1</v>
      </c>
      <c r="AL1112" s="17" t="s">
        <v>1302</v>
      </c>
    </row>
    <row r="1113" spans="1:39" ht="15.75" customHeight="1">
      <c r="A1113" s="130" t="s">
        <v>1295</v>
      </c>
      <c r="B1113" s="19" t="s">
        <v>1296</v>
      </c>
      <c r="C1113" s="27">
        <v>136</v>
      </c>
      <c r="D1113" s="142" t="s">
        <v>196</v>
      </c>
      <c r="E1113" s="135">
        <v>0</v>
      </c>
      <c r="F1113" s="135" t="s">
        <v>1297</v>
      </c>
      <c r="G1113" s="135" t="s">
        <v>1298</v>
      </c>
      <c r="H1113" s="19" t="s">
        <v>1142</v>
      </c>
      <c r="I1113" s="17" t="b">
        <v>0</v>
      </c>
      <c r="J1113" s="17" t="s">
        <v>128</v>
      </c>
      <c r="K1113" s="21" t="s">
        <v>1299</v>
      </c>
      <c r="L1113" s="130" t="s">
        <v>39</v>
      </c>
      <c r="M1113" s="155"/>
      <c r="O1113" s="28" t="s">
        <v>1300</v>
      </c>
      <c r="P1113" s="22">
        <v>-83.285150000000002</v>
      </c>
      <c r="Q1113" s="22">
        <v>-57.976759999999999</v>
      </c>
      <c r="R1113" s="22"/>
      <c r="S1113" s="22">
        <v>922.81702959999996</v>
      </c>
      <c r="T1113" s="22"/>
      <c r="U1113" s="143">
        <v>500</v>
      </c>
      <c r="V1113" s="24" t="s">
        <v>1954</v>
      </c>
      <c r="W1113" s="44" t="s">
        <v>2446</v>
      </c>
      <c r="X1113" s="22"/>
      <c r="Y1113" s="22">
        <v>4.5</v>
      </c>
      <c r="Z1113" s="22">
        <v>2.6</v>
      </c>
      <c r="AA1113" s="17" t="s">
        <v>73</v>
      </c>
      <c r="AB1113" s="26">
        <v>20614</v>
      </c>
      <c r="AC1113" s="26">
        <v>1510</v>
      </c>
      <c r="AD1113" s="26"/>
      <c r="AE1113" s="27">
        <v>3064870</v>
      </c>
      <c r="AF1113" s="27">
        <v>41685</v>
      </c>
      <c r="AG1113" s="28"/>
      <c r="AH1113" s="28"/>
      <c r="AI1113" s="17">
        <v>2014</v>
      </c>
      <c r="AJ1113" s="17">
        <v>0</v>
      </c>
      <c r="AK1113" s="17">
        <v>1</v>
      </c>
      <c r="AL1113" s="17" t="s">
        <v>1302</v>
      </c>
    </row>
    <row r="1114" spans="1:39" ht="15.75" customHeight="1">
      <c r="A1114" s="102" t="s">
        <v>1303</v>
      </c>
      <c r="B1114" s="19" t="s">
        <v>1304</v>
      </c>
      <c r="C1114" s="27">
        <v>136</v>
      </c>
      <c r="D1114" s="142" t="s">
        <v>196</v>
      </c>
      <c r="E1114" s="135">
        <v>0</v>
      </c>
      <c r="F1114" s="135" t="s">
        <v>1297</v>
      </c>
      <c r="G1114" s="135" t="s">
        <v>1298</v>
      </c>
      <c r="H1114" s="19" t="s">
        <v>1142</v>
      </c>
      <c r="I1114" s="17" t="b">
        <v>0</v>
      </c>
      <c r="J1114" s="17" t="s">
        <v>128</v>
      </c>
      <c r="K1114" s="21" t="s">
        <v>1305</v>
      </c>
      <c r="L1114" s="102" t="s">
        <v>1292</v>
      </c>
      <c r="M1114" s="165" t="s">
        <v>2412</v>
      </c>
      <c r="O1114" s="28" t="s">
        <v>1300</v>
      </c>
      <c r="P1114" s="22">
        <v>-83.271150000000006</v>
      </c>
      <c r="Q1114" s="22">
        <v>-58.114330000000002</v>
      </c>
      <c r="R1114" s="22"/>
      <c r="S1114" s="22">
        <v>713.1567675</v>
      </c>
      <c r="T1114" s="22"/>
      <c r="U1114" s="143">
        <v>500</v>
      </c>
      <c r="V1114" s="24" t="s">
        <v>1955</v>
      </c>
      <c r="W1114" s="44" t="s">
        <v>2446</v>
      </c>
      <c r="X1114" s="22"/>
      <c r="Y1114" s="22">
        <v>6</v>
      </c>
      <c r="Z1114" s="22">
        <v>2.2000000000000002</v>
      </c>
      <c r="AA1114" s="17" t="s">
        <v>73</v>
      </c>
      <c r="AB1114" s="26">
        <v>1418</v>
      </c>
      <c r="AC1114" s="26">
        <v>892</v>
      </c>
      <c r="AD1114" s="26"/>
      <c r="AE1114" s="27">
        <v>7410386</v>
      </c>
      <c r="AF1114" s="27">
        <v>86465</v>
      </c>
      <c r="AG1114" s="28"/>
      <c r="AH1114" s="28"/>
      <c r="AI1114" s="17">
        <v>2014</v>
      </c>
      <c r="AJ1114" s="17">
        <v>0</v>
      </c>
      <c r="AK1114" s="17">
        <v>1</v>
      </c>
      <c r="AL1114" s="17" t="s">
        <v>1302</v>
      </c>
    </row>
    <row r="1115" spans="1:39" ht="15.75" customHeight="1">
      <c r="A1115" s="102" t="s">
        <v>1303</v>
      </c>
      <c r="B1115" s="19" t="s">
        <v>1304</v>
      </c>
      <c r="C1115" s="27">
        <v>136</v>
      </c>
      <c r="D1115" s="142" t="s">
        <v>196</v>
      </c>
      <c r="E1115" s="135">
        <v>0</v>
      </c>
      <c r="F1115" s="135" t="s">
        <v>1297</v>
      </c>
      <c r="G1115" s="135" t="s">
        <v>1298</v>
      </c>
      <c r="H1115" s="19" t="s">
        <v>1142</v>
      </c>
      <c r="I1115" s="17" t="b">
        <v>0</v>
      </c>
      <c r="J1115" s="17" t="s">
        <v>128</v>
      </c>
      <c r="K1115" s="21" t="s">
        <v>1305</v>
      </c>
      <c r="L1115" s="102" t="s">
        <v>1292</v>
      </c>
      <c r="M1115" s="155"/>
      <c r="O1115" s="28" t="s">
        <v>1300</v>
      </c>
      <c r="P1115" s="22">
        <v>-83.271150000000006</v>
      </c>
      <c r="Q1115" s="22">
        <v>-58.114330000000002</v>
      </c>
      <c r="R1115" s="22"/>
      <c r="S1115" s="22">
        <v>713.1567675</v>
      </c>
      <c r="T1115" s="22"/>
      <c r="U1115" s="143">
        <v>500</v>
      </c>
      <c r="V1115" s="24" t="s">
        <v>1956</v>
      </c>
      <c r="W1115" s="44" t="s">
        <v>2446</v>
      </c>
      <c r="X1115" s="22"/>
      <c r="Y1115" s="22">
        <v>6</v>
      </c>
      <c r="Z1115" s="22">
        <v>2.2000000000000002</v>
      </c>
      <c r="AA1115" s="17" t="s">
        <v>73</v>
      </c>
      <c r="AB1115" s="26">
        <v>1728</v>
      </c>
      <c r="AC1115" s="26">
        <v>892</v>
      </c>
      <c r="AD1115" s="26"/>
      <c r="AE1115" s="27">
        <v>7410386</v>
      </c>
      <c r="AF1115" s="27">
        <v>86465</v>
      </c>
      <c r="AG1115" s="28"/>
      <c r="AH1115" s="28"/>
      <c r="AI1115" s="17">
        <v>2014</v>
      </c>
      <c r="AJ1115" s="17">
        <v>0</v>
      </c>
      <c r="AK1115" s="17">
        <v>1</v>
      </c>
      <c r="AL1115" s="17" t="s">
        <v>1302</v>
      </c>
    </row>
    <row r="1116" spans="1:39" ht="15.75" customHeight="1">
      <c r="A1116" s="102" t="s">
        <v>1303</v>
      </c>
      <c r="B1116" s="19" t="s">
        <v>1304</v>
      </c>
      <c r="C1116" s="27">
        <v>136</v>
      </c>
      <c r="D1116" s="142" t="s">
        <v>196</v>
      </c>
      <c r="E1116" s="135">
        <v>0</v>
      </c>
      <c r="F1116" s="135" t="s">
        <v>1297</v>
      </c>
      <c r="G1116" s="135" t="s">
        <v>1298</v>
      </c>
      <c r="H1116" s="19" t="s">
        <v>1142</v>
      </c>
      <c r="I1116" s="17" t="b">
        <v>0</v>
      </c>
      <c r="J1116" s="17" t="s">
        <v>128</v>
      </c>
      <c r="K1116" s="21" t="s">
        <v>1305</v>
      </c>
      <c r="L1116" s="102" t="s">
        <v>1292</v>
      </c>
      <c r="M1116" s="155"/>
      <c r="O1116" s="28" t="s">
        <v>1300</v>
      </c>
      <c r="P1116" s="22">
        <v>-83.271150000000006</v>
      </c>
      <c r="Q1116" s="22">
        <v>-58.114330000000002</v>
      </c>
      <c r="R1116" s="22"/>
      <c r="S1116" s="22">
        <v>713.1567675</v>
      </c>
      <c r="T1116" s="22"/>
      <c r="U1116" s="143">
        <v>500</v>
      </c>
      <c r="V1116" s="24" t="s">
        <v>1957</v>
      </c>
      <c r="W1116" s="44" t="s">
        <v>2446</v>
      </c>
      <c r="X1116" s="22"/>
      <c r="Y1116" s="22">
        <v>6</v>
      </c>
      <c r="Z1116" s="22">
        <v>2.2000000000000002</v>
      </c>
      <c r="AA1116" s="17" t="s">
        <v>73</v>
      </c>
      <c r="AB1116" s="26">
        <v>4582</v>
      </c>
      <c r="AC1116" s="26">
        <v>680</v>
      </c>
      <c r="AD1116" s="26"/>
      <c r="AE1116" s="27">
        <v>7410386</v>
      </c>
      <c r="AF1116" s="27">
        <v>86465</v>
      </c>
      <c r="AG1116" s="28"/>
      <c r="AH1116" s="28"/>
      <c r="AI1116" s="17">
        <v>2014</v>
      </c>
      <c r="AJ1116" s="17">
        <v>0</v>
      </c>
      <c r="AK1116" s="17">
        <v>1</v>
      </c>
      <c r="AL1116" s="17" t="s">
        <v>1302</v>
      </c>
    </row>
    <row r="1117" spans="1:39" ht="15.75" customHeight="1">
      <c r="A1117" s="102" t="s">
        <v>1303</v>
      </c>
      <c r="B1117" s="19" t="s">
        <v>1304</v>
      </c>
      <c r="C1117" s="27">
        <v>136</v>
      </c>
      <c r="D1117" s="142" t="s">
        <v>196</v>
      </c>
      <c r="E1117" s="135">
        <v>0</v>
      </c>
      <c r="F1117" s="135" t="s">
        <v>1297</v>
      </c>
      <c r="G1117" s="135" t="s">
        <v>1298</v>
      </c>
      <c r="H1117" s="19" t="s">
        <v>1142</v>
      </c>
      <c r="I1117" s="17" t="b">
        <v>0</v>
      </c>
      <c r="J1117" s="17" t="s">
        <v>128</v>
      </c>
      <c r="K1117" s="21" t="s">
        <v>1305</v>
      </c>
      <c r="L1117" s="102" t="s">
        <v>1292</v>
      </c>
      <c r="M1117" s="155"/>
      <c r="O1117" s="28" t="s">
        <v>1300</v>
      </c>
      <c r="P1117" s="22">
        <v>-83.271150000000006</v>
      </c>
      <c r="Q1117" s="22">
        <v>-58.114330000000002</v>
      </c>
      <c r="R1117" s="22"/>
      <c r="S1117" s="22">
        <v>713.1567675</v>
      </c>
      <c r="T1117" s="22"/>
      <c r="U1117" s="143">
        <v>500</v>
      </c>
      <c r="V1117" s="24" t="s">
        <v>1958</v>
      </c>
      <c r="W1117" s="44" t="s">
        <v>2446</v>
      </c>
      <c r="X1117" s="22"/>
      <c r="Y1117" s="22">
        <v>6</v>
      </c>
      <c r="Z1117" s="22">
        <v>2.2000000000000002</v>
      </c>
      <c r="AA1117" s="17" t="s">
        <v>73</v>
      </c>
      <c r="AB1117" s="26">
        <v>6996</v>
      </c>
      <c r="AC1117" s="26">
        <v>1080</v>
      </c>
      <c r="AD1117" s="26"/>
      <c r="AE1117" s="27">
        <v>7410386</v>
      </c>
      <c r="AF1117" s="27">
        <v>86465</v>
      </c>
      <c r="AG1117" s="28"/>
      <c r="AH1117" s="28"/>
      <c r="AI1117" s="17">
        <v>2014</v>
      </c>
      <c r="AJ1117" s="17">
        <v>0</v>
      </c>
      <c r="AK1117" s="17">
        <v>1</v>
      </c>
      <c r="AL1117" s="17" t="s">
        <v>1302</v>
      </c>
    </row>
    <row r="1118" spans="1:39" ht="15.75" customHeight="1">
      <c r="A1118" s="102" t="s">
        <v>1303</v>
      </c>
      <c r="B1118" s="19" t="s">
        <v>1304</v>
      </c>
      <c r="C1118" s="27">
        <v>136</v>
      </c>
      <c r="D1118" s="142" t="s">
        <v>196</v>
      </c>
      <c r="E1118" s="135">
        <v>0</v>
      </c>
      <c r="F1118" s="135" t="s">
        <v>1297</v>
      </c>
      <c r="G1118" s="135" t="s">
        <v>1298</v>
      </c>
      <c r="H1118" s="19" t="s">
        <v>1142</v>
      </c>
      <c r="I1118" s="17" t="b">
        <v>0</v>
      </c>
      <c r="J1118" s="17" t="s">
        <v>247</v>
      </c>
      <c r="K1118" s="21" t="s">
        <v>1305</v>
      </c>
      <c r="L1118" s="102" t="s">
        <v>1292</v>
      </c>
      <c r="M1118" s="155"/>
      <c r="O1118" s="28" t="s">
        <v>1300</v>
      </c>
      <c r="P1118" s="22">
        <v>-83.271150000000006</v>
      </c>
      <c r="Q1118" s="22">
        <v>-58.114330000000002</v>
      </c>
      <c r="R1118" s="22"/>
      <c r="S1118" s="22">
        <v>713.1567675</v>
      </c>
      <c r="T1118" s="22">
        <v>250</v>
      </c>
      <c r="U1118" s="143">
        <v>500</v>
      </c>
      <c r="V1118" s="24" t="s">
        <v>1959</v>
      </c>
      <c r="W1118" s="44" t="s">
        <v>2446</v>
      </c>
      <c r="X1118" s="22">
        <f>S1118-T1118</f>
        <v>463.1567675</v>
      </c>
      <c r="Y1118" s="22">
        <v>6</v>
      </c>
      <c r="Z1118" s="22">
        <v>2.2000000000000002</v>
      </c>
      <c r="AA1118" s="17" t="s">
        <v>73</v>
      </c>
      <c r="AB1118" s="26">
        <v>15746</v>
      </c>
      <c r="AC1118" s="26">
        <v>694</v>
      </c>
      <c r="AD1118" s="35">
        <v>2463</v>
      </c>
      <c r="AE1118" s="27">
        <v>7410386</v>
      </c>
      <c r="AF1118" s="27">
        <v>86465</v>
      </c>
      <c r="AG1118" s="28"/>
      <c r="AH1118" s="28"/>
      <c r="AI1118" s="17">
        <v>2014</v>
      </c>
      <c r="AJ1118" s="17">
        <v>0</v>
      </c>
      <c r="AK1118" s="17">
        <v>1</v>
      </c>
      <c r="AL1118" s="17" t="s">
        <v>1306</v>
      </c>
    </row>
    <row r="1119" spans="1:39" ht="15.75" customHeight="1">
      <c r="A1119" s="102" t="s">
        <v>1307</v>
      </c>
      <c r="B1119" s="19" t="s">
        <v>1304</v>
      </c>
      <c r="C1119" s="27">
        <v>136</v>
      </c>
      <c r="D1119" s="142" t="s">
        <v>196</v>
      </c>
      <c r="E1119" s="135">
        <v>0</v>
      </c>
      <c r="F1119" s="19" t="s">
        <v>1140</v>
      </c>
      <c r="G1119" s="19" t="s">
        <v>1308</v>
      </c>
      <c r="H1119" s="19" t="s">
        <v>1142</v>
      </c>
      <c r="I1119" s="17" t="b">
        <v>0</v>
      </c>
      <c r="J1119" s="17" t="s">
        <v>128</v>
      </c>
      <c r="K1119" s="21" t="s">
        <v>1309</v>
      </c>
      <c r="L1119" s="102" t="s">
        <v>1292</v>
      </c>
      <c r="M1119" s="155"/>
      <c r="O1119" s="17" t="s">
        <v>1310</v>
      </c>
      <c r="P1119" s="22">
        <v>-83.270250000000004</v>
      </c>
      <c r="Q1119" s="22">
        <v>-58.10951</v>
      </c>
      <c r="R1119" s="22"/>
      <c r="S1119" s="22">
        <v>725.64758129999996</v>
      </c>
      <c r="T1119" s="22"/>
      <c r="U1119" s="143">
        <v>500</v>
      </c>
      <c r="V1119" s="24" t="s">
        <v>1960</v>
      </c>
      <c r="W1119" s="44" t="s">
        <v>2446</v>
      </c>
      <c r="X1119" s="22"/>
      <c r="Y1119" s="22">
        <v>4</v>
      </c>
      <c r="Z1119" s="22">
        <v>2.6</v>
      </c>
      <c r="AA1119" s="17" t="s">
        <v>73</v>
      </c>
      <c r="AB1119" s="26">
        <v>4458</v>
      </c>
      <c r="AC1119" s="26">
        <v>788</v>
      </c>
      <c r="AD1119" s="26"/>
      <c r="AE1119" s="27">
        <v>10008356</v>
      </c>
      <c r="AF1119" s="27">
        <v>113043</v>
      </c>
      <c r="AG1119" s="28"/>
      <c r="AH1119" s="28"/>
      <c r="AI1119" s="17">
        <v>2014</v>
      </c>
      <c r="AJ1119" s="17">
        <v>0</v>
      </c>
      <c r="AK1119" s="17">
        <v>1</v>
      </c>
      <c r="AL1119" s="17" t="s">
        <v>1302</v>
      </c>
    </row>
    <row r="1120" spans="1:39" ht="15.75" customHeight="1">
      <c r="A1120" s="102" t="s">
        <v>1307</v>
      </c>
      <c r="B1120" s="19" t="s">
        <v>1304</v>
      </c>
      <c r="C1120" s="27">
        <v>136</v>
      </c>
      <c r="D1120" s="142" t="s">
        <v>196</v>
      </c>
      <c r="E1120" s="135">
        <v>0</v>
      </c>
      <c r="F1120" s="19" t="s">
        <v>1140</v>
      </c>
      <c r="G1120" s="19" t="s">
        <v>1308</v>
      </c>
      <c r="H1120" s="19" t="s">
        <v>1142</v>
      </c>
      <c r="I1120" s="17" t="b">
        <v>0</v>
      </c>
      <c r="J1120" s="17" t="s">
        <v>128</v>
      </c>
      <c r="K1120" s="21" t="s">
        <v>1309</v>
      </c>
      <c r="L1120" s="102" t="s">
        <v>1292</v>
      </c>
      <c r="M1120" s="155"/>
      <c r="O1120" s="17" t="s">
        <v>1310</v>
      </c>
      <c r="P1120" s="22">
        <v>-83.270250000000004</v>
      </c>
      <c r="Q1120" s="22">
        <v>-58.10951</v>
      </c>
      <c r="R1120" s="22"/>
      <c r="S1120" s="22">
        <v>725.64758129999996</v>
      </c>
      <c r="T1120" s="22"/>
      <c r="U1120" s="143">
        <v>500</v>
      </c>
      <c r="V1120" s="24" t="s">
        <v>1961</v>
      </c>
      <c r="W1120" s="44" t="s">
        <v>2446</v>
      </c>
      <c r="X1120" s="22"/>
      <c r="Y1120" s="22">
        <v>4</v>
      </c>
      <c r="Z1120" s="22">
        <v>2.6</v>
      </c>
      <c r="AA1120" s="17" t="s">
        <v>73</v>
      </c>
      <c r="AB1120" s="26">
        <v>4481</v>
      </c>
      <c r="AC1120" s="26">
        <v>793</v>
      </c>
      <c r="AD1120" s="26"/>
      <c r="AE1120" s="27">
        <v>10008356</v>
      </c>
      <c r="AF1120" s="27">
        <v>113043</v>
      </c>
      <c r="AG1120" s="28"/>
      <c r="AH1120" s="28"/>
      <c r="AI1120" s="17">
        <v>2014</v>
      </c>
      <c r="AJ1120" s="17">
        <v>0</v>
      </c>
      <c r="AK1120" s="17">
        <v>1</v>
      </c>
      <c r="AL1120" s="17" t="s">
        <v>1302</v>
      </c>
    </row>
    <row r="1121" spans="1:38" ht="15.75" customHeight="1">
      <c r="A1121" s="102" t="s">
        <v>1307</v>
      </c>
      <c r="B1121" s="19" t="s">
        <v>1304</v>
      </c>
      <c r="C1121" s="27">
        <v>136</v>
      </c>
      <c r="D1121" s="142" t="s">
        <v>196</v>
      </c>
      <c r="E1121" s="135">
        <v>0</v>
      </c>
      <c r="F1121" s="19" t="s">
        <v>1140</v>
      </c>
      <c r="G1121" s="19" t="s">
        <v>1308</v>
      </c>
      <c r="H1121" s="19" t="s">
        <v>1142</v>
      </c>
      <c r="I1121" s="17" t="b">
        <v>0</v>
      </c>
      <c r="J1121" s="17" t="s">
        <v>128</v>
      </c>
      <c r="K1121" s="21" t="s">
        <v>1309</v>
      </c>
      <c r="L1121" s="102" t="s">
        <v>1292</v>
      </c>
      <c r="M1121" s="155"/>
      <c r="O1121" s="17" t="s">
        <v>1310</v>
      </c>
      <c r="P1121" s="22">
        <v>-83.270250000000004</v>
      </c>
      <c r="Q1121" s="22">
        <v>-58.10951</v>
      </c>
      <c r="R1121" s="22"/>
      <c r="S1121" s="22">
        <v>725.64758129999996</v>
      </c>
      <c r="T1121" s="22"/>
      <c r="U1121" s="143">
        <v>500</v>
      </c>
      <c r="V1121" s="24" t="s">
        <v>1962</v>
      </c>
      <c r="W1121" s="44" t="s">
        <v>2446</v>
      </c>
      <c r="X1121" s="22"/>
      <c r="Y1121" s="22">
        <v>4</v>
      </c>
      <c r="Z1121" s="22">
        <v>2.6</v>
      </c>
      <c r="AA1121" s="17" t="s">
        <v>73</v>
      </c>
      <c r="AB1121" s="26">
        <v>5220</v>
      </c>
      <c r="AC1121" s="26">
        <v>738</v>
      </c>
      <c r="AD1121" s="26"/>
      <c r="AE1121" s="27">
        <v>10008356</v>
      </c>
      <c r="AF1121" s="27">
        <v>113043</v>
      </c>
      <c r="AG1121" s="28"/>
      <c r="AH1121" s="28"/>
      <c r="AI1121" s="17">
        <v>2014</v>
      </c>
      <c r="AJ1121" s="17">
        <v>0</v>
      </c>
      <c r="AK1121" s="17">
        <v>1</v>
      </c>
      <c r="AL1121" s="17" t="s">
        <v>1302</v>
      </c>
    </row>
    <row r="1122" spans="1:38" ht="15.75" customHeight="1">
      <c r="A1122" s="102" t="s">
        <v>1307</v>
      </c>
      <c r="B1122" s="19" t="s">
        <v>1304</v>
      </c>
      <c r="C1122" s="27">
        <v>136</v>
      </c>
      <c r="D1122" s="142" t="s">
        <v>196</v>
      </c>
      <c r="E1122" s="135">
        <v>0</v>
      </c>
      <c r="F1122" s="19" t="s">
        <v>1140</v>
      </c>
      <c r="G1122" s="19" t="s">
        <v>1308</v>
      </c>
      <c r="H1122" s="19" t="s">
        <v>1142</v>
      </c>
      <c r="I1122" s="17" t="b">
        <v>0</v>
      </c>
      <c r="J1122" s="17" t="s">
        <v>128</v>
      </c>
      <c r="K1122" s="21" t="s">
        <v>1309</v>
      </c>
      <c r="L1122" s="102" t="s">
        <v>1292</v>
      </c>
      <c r="M1122" s="155"/>
      <c r="O1122" s="17" t="s">
        <v>1310</v>
      </c>
      <c r="P1122" s="22">
        <v>-83.270250000000004</v>
      </c>
      <c r="Q1122" s="22">
        <v>-58.10951</v>
      </c>
      <c r="R1122" s="22"/>
      <c r="S1122" s="22">
        <v>725.64758129999996</v>
      </c>
      <c r="T1122" s="22"/>
      <c r="U1122" s="143">
        <v>500</v>
      </c>
      <c r="V1122" s="24" t="s">
        <v>1963</v>
      </c>
      <c r="W1122" s="44" t="s">
        <v>2446</v>
      </c>
      <c r="X1122" s="22"/>
      <c r="Y1122" s="22">
        <v>4</v>
      </c>
      <c r="Z1122" s="22">
        <v>2.6</v>
      </c>
      <c r="AA1122" s="17" t="s">
        <v>73</v>
      </c>
      <c r="AB1122" s="26">
        <v>5340</v>
      </c>
      <c r="AC1122" s="26">
        <v>2061</v>
      </c>
      <c r="AD1122" s="26"/>
      <c r="AE1122" s="27">
        <v>10008356</v>
      </c>
      <c r="AF1122" s="27">
        <v>113043</v>
      </c>
      <c r="AG1122" s="28"/>
      <c r="AH1122" s="28"/>
      <c r="AI1122" s="17">
        <v>2014</v>
      </c>
      <c r="AJ1122" s="17">
        <v>0</v>
      </c>
      <c r="AK1122" s="17">
        <v>1</v>
      </c>
      <c r="AL1122" s="17" t="s">
        <v>1302</v>
      </c>
    </row>
    <row r="1123" spans="1:38" ht="15.75" customHeight="1">
      <c r="A1123" s="102" t="s">
        <v>1311</v>
      </c>
      <c r="B1123" s="19" t="s">
        <v>1304</v>
      </c>
      <c r="C1123" s="27">
        <v>136</v>
      </c>
      <c r="D1123" s="142" t="s">
        <v>196</v>
      </c>
      <c r="E1123" s="135">
        <v>0</v>
      </c>
      <c r="F1123" s="135" t="s">
        <v>1297</v>
      </c>
      <c r="G1123" s="135" t="s">
        <v>1298</v>
      </c>
      <c r="H1123" s="19" t="s">
        <v>1142</v>
      </c>
      <c r="I1123" s="17" t="b">
        <v>0</v>
      </c>
      <c r="J1123" s="17" t="s">
        <v>247</v>
      </c>
      <c r="K1123" s="21" t="s">
        <v>1312</v>
      </c>
      <c r="L1123" s="102" t="s">
        <v>1292</v>
      </c>
      <c r="M1123" s="155"/>
      <c r="O1123" s="28" t="s">
        <v>1300</v>
      </c>
      <c r="P1123" s="22">
        <v>-83.270250000000004</v>
      </c>
      <c r="Q1123" s="22">
        <v>-58.10951</v>
      </c>
      <c r="R1123" s="22"/>
      <c r="S1123" s="22">
        <v>725.64758129999996</v>
      </c>
      <c r="T1123" s="22">
        <v>250</v>
      </c>
      <c r="U1123" s="143">
        <v>500</v>
      </c>
      <c r="V1123" s="24" t="s">
        <v>1964</v>
      </c>
      <c r="W1123" s="44" t="s">
        <v>2446</v>
      </c>
      <c r="X1123" s="22">
        <f>S1123-T1123</f>
        <v>475.64758129999996</v>
      </c>
      <c r="Y1123" s="22">
        <v>5</v>
      </c>
      <c r="Z1123" s="22">
        <v>2.2000000000000002</v>
      </c>
      <c r="AA1123" s="17" t="s">
        <v>73</v>
      </c>
      <c r="AB1123" s="26">
        <v>13354</v>
      </c>
      <c r="AC1123" s="26">
        <v>506</v>
      </c>
      <c r="AD1123" s="26">
        <v>1741</v>
      </c>
      <c r="AE1123" s="27">
        <v>8760851</v>
      </c>
      <c r="AF1123" s="27">
        <v>108963</v>
      </c>
      <c r="AG1123" s="28"/>
      <c r="AH1123" s="28"/>
      <c r="AI1123" s="17">
        <v>2014</v>
      </c>
      <c r="AJ1123" s="17">
        <v>0</v>
      </c>
      <c r="AK1123" s="17">
        <v>1</v>
      </c>
    </row>
    <row r="1124" spans="1:38" ht="15.75" customHeight="1">
      <c r="A1124" s="102" t="s">
        <v>1311</v>
      </c>
      <c r="B1124" s="19" t="s">
        <v>1304</v>
      </c>
      <c r="C1124" s="27">
        <v>136</v>
      </c>
      <c r="D1124" s="142" t="s">
        <v>196</v>
      </c>
      <c r="E1124" s="135">
        <v>0</v>
      </c>
      <c r="F1124" s="135" t="s">
        <v>1297</v>
      </c>
      <c r="G1124" s="135" t="s">
        <v>1298</v>
      </c>
      <c r="H1124" s="19" t="s">
        <v>1142</v>
      </c>
      <c r="I1124" s="17" t="b">
        <v>0</v>
      </c>
      <c r="J1124" s="17" t="s">
        <v>128</v>
      </c>
      <c r="K1124" s="21" t="s">
        <v>1312</v>
      </c>
      <c r="L1124" s="102" t="s">
        <v>1292</v>
      </c>
      <c r="M1124" s="155"/>
      <c r="O1124" s="28" t="s">
        <v>1300</v>
      </c>
      <c r="P1124" s="22">
        <v>-83.270250000000004</v>
      </c>
      <c r="Q1124" s="22">
        <v>-58.10951</v>
      </c>
      <c r="R1124" s="22"/>
      <c r="S1124" s="22">
        <v>725.64758129999996</v>
      </c>
      <c r="T1124" s="22"/>
      <c r="U1124" s="143">
        <v>500</v>
      </c>
      <c r="V1124" s="24" t="s">
        <v>1965</v>
      </c>
      <c r="W1124" s="44" t="s">
        <v>2446</v>
      </c>
      <c r="X1124" s="22"/>
      <c r="Y1124" s="22">
        <v>5</v>
      </c>
      <c r="Z1124" s="22">
        <v>2.2000000000000002</v>
      </c>
      <c r="AA1124" s="17" t="s">
        <v>73</v>
      </c>
      <c r="AB1124" s="26">
        <v>14496</v>
      </c>
      <c r="AC1124" s="26">
        <v>1193</v>
      </c>
      <c r="AD1124" s="26"/>
      <c r="AE1124" s="27">
        <v>8760851</v>
      </c>
      <c r="AF1124" s="27">
        <v>108963</v>
      </c>
      <c r="AG1124" s="28"/>
      <c r="AH1124" s="28"/>
      <c r="AI1124" s="17">
        <v>2014</v>
      </c>
      <c r="AJ1124" s="17">
        <v>0</v>
      </c>
      <c r="AK1124" s="17">
        <v>1</v>
      </c>
      <c r="AL1124" s="17" t="s">
        <v>1302</v>
      </c>
    </row>
    <row r="1125" spans="1:38" ht="15.75" customHeight="1">
      <c r="A1125" s="102" t="s">
        <v>1311</v>
      </c>
      <c r="B1125" s="19" t="s">
        <v>1304</v>
      </c>
      <c r="C1125" s="27">
        <v>136</v>
      </c>
      <c r="D1125" s="142" t="s">
        <v>196</v>
      </c>
      <c r="E1125" s="135">
        <v>0</v>
      </c>
      <c r="F1125" s="135" t="s">
        <v>1297</v>
      </c>
      <c r="G1125" s="135" t="s">
        <v>1298</v>
      </c>
      <c r="H1125" s="19" t="s">
        <v>1142</v>
      </c>
      <c r="I1125" s="17" t="b">
        <v>0</v>
      </c>
      <c r="J1125" s="17" t="s">
        <v>128</v>
      </c>
      <c r="K1125" s="21" t="s">
        <v>1312</v>
      </c>
      <c r="L1125" s="102" t="s">
        <v>1292</v>
      </c>
      <c r="M1125" s="155"/>
      <c r="O1125" s="28" t="s">
        <v>1300</v>
      </c>
      <c r="P1125" s="22">
        <v>-83.270250000000004</v>
      </c>
      <c r="Q1125" s="22">
        <v>-58.10951</v>
      </c>
      <c r="R1125" s="22"/>
      <c r="S1125" s="22">
        <v>725.64758129999996</v>
      </c>
      <c r="T1125" s="22"/>
      <c r="U1125" s="143">
        <v>500</v>
      </c>
      <c r="V1125" s="24" t="s">
        <v>1966</v>
      </c>
      <c r="W1125" s="44" t="s">
        <v>2446</v>
      </c>
      <c r="X1125" s="22"/>
      <c r="Y1125" s="22">
        <v>5</v>
      </c>
      <c r="Z1125" s="22">
        <v>2.2000000000000002</v>
      </c>
      <c r="AA1125" s="17" t="s">
        <v>73</v>
      </c>
      <c r="AB1125" s="26">
        <v>16518</v>
      </c>
      <c r="AC1125" s="26">
        <v>1327</v>
      </c>
      <c r="AD1125" s="26"/>
      <c r="AE1125" s="27">
        <v>8760851</v>
      </c>
      <c r="AF1125" s="27">
        <v>108963</v>
      </c>
      <c r="AG1125" s="28"/>
      <c r="AH1125" s="28"/>
      <c r="AI1125" s="17">
        <v>2014</v>
      </c>
      <c r="AJ1125" s="17">
        <v>0</v>
      </c>
      <c r="AK1125" s="17">
        <v>1</v>
      </c>
      <c r="AL1125" s="17" t="s">
        <v>1302</v>
      </c>
    </row>
    <row r="1126" spans="1:38" ht="15.75" customHeight="1">
      <c r="A1126" s="102" t="s">
        <v>1311</v>
      </c>
      <c r="B1126" s="19" t="s">
        <v>1304</v>
      </c>
      <c r="C1126" s="27">
        <v>136</v>
      </c>
      <c r="D1126" s="142" t="s">
        <v>196</v>
      </c>
      <c r="E1126" s="135">
        <v>0</v>
      </c>
      <c r="F1126" s="135" t="s">
        <v>1297</v>
      </c>
      <c r="G1126" s="135" t="s">
        <v>1298</v>
      </c>
      <c r="H1126" s="19" t="s">
        <v>1142</v>
      </c>
      <c r="I1126" s="17" t="b">
        <v>0</v>
      </c>
      <c r="J1126" s="17" t="s">
        <v>128</v>
      </c>
      <c r="K1126" s="21" t="s">
        <v>1312</v>
      </c>
      <c r="L1126" s="102" t="s">
        <v>1292</v>
      </c>
      <c r="M1126" s="155"/>
      <c r="O1126" s="28" t="s">
        <v>1300</v>
      </c>
      <c r="P1126" s="22">
        <v>-83.270250000000004</v>
      </c>
      <c r="Q1126" s="22">
        <v>-58.10951</v>
      </c>
      <c r="R1126" s="22"/>
      <c r="S1126" s="22">
        <v>725.64758129999996</v>
      </c>
      <c r="T1126" s="22"/>
      <c r="U1126" s="143">
        <v>500</v>
      </c>
      <c r="V1126" s="24" t="s">
        <v>1967</v>
      </c>
      <c r="W1126" s="44" t="s">
        <v>2446</v>
      </c>
      <c r="X1126" s="22"/>
      <c r="Y1126" s="22">
        <v>5</v>
      </c>
      <c r="Z1126" s="22">
        <v>2.2000000000000002</v>
      </c>
      <c r="AA1126" s="17" t="s">
        <v>73</v>
      </c>
      <c r="AB1126" s="26">
        <v>17192</v>
      </c>
      <c r="AC1126" s="26">
        <v>1445</v>
      </c>
      <c r="AD1126" s="26"/>
      <c r="AE1126" s="27">
        <v>8760851</v>
      </c>
      <c r="AF1126" s="27">
        <v>108963</v>
      </c>
      <c r="AG1126" s="28"/>
      <c r="AH1126" s="28"/>
      <c r="AI1126" s="17">
        <v>2014</v>
      </c>
      <c r="AJ1126" s="17">
        <v>0</v>
      </c>
      <c r="AK1126" s="17">
        <v>1</v>
      </c>
      <c r="AL1126" s="17" t="s">
        <v>1302</v>
      </c>
    </row>
    <row r="1127" spans="1:38" ht="15.75" customHeight="1">
      <c r="A1127" s="37" t="s">
        <v>1313</v>
      </c>
      <c r="B1127" s="19" t="s">
        <v>1304</v>
      </c>
      <c r="C1127" s="27">
        <v>136</v>
      </c>
      <c r="D1127" s="142" t="s">
        <v>196</v>
      </c>
      <c r="E1127" s="135">
        <v>0</v>
      </c>
      <c r="F1127" s="19" t="s">
        <v>1140</v>
      </c>
      <c r="G1127" s="19" t="s">
        <v>1308</v>
      </c>
      <c r="H1127" s="19" t="s">
        <v>1142</v>
      </c>
      <c r="I1127" s="17" t="b">
        <v>0</v>
      </c>
      <c r="J1127" s="17" t="s">
        <v>128</v>
      </c>
      <c r="K1127" s="21" t="s">
        <v>1314</v>
      </c>
      <c r="L1127" s="37" t="s">
        <v>1292</v>
      </c>
      <c r="M1127" s="158" t="s">
        <v>2413</v>
      </c>
      <c r="O1127" s="17" t="s">
        <v>1310</v>
      </c>
      <c r="P1127" s="22">
        <v>-83.277820000000006</v>
      </c>
      <c r="Q1127" s="22">
        <v>-58.14376</v>
      </c>
      <c r="R1127" s="22"/>
      <c r="S1127" s="22">
        <v>550.58101850000003</v>
      </c>
      <c r="T1127" s="22"/>
      <c r="U1127" s="143">
        <v>500</v>
      </c>
      <c r="V1127" s="24" t="s">
        <v>1968</v>
      </c>
      <c r="W1127" s="44" t="s">
        <v>2446</v>
      </c>
      <c r="X1127" s="22"/>
      <c r="Y1127" s="22">
        <v>6</v>
      </c>
      <c r="Z1127" s="22">
        <v>2.5</v>
      </c>
      <c r="AA1127" s="17" t="s">
        <v>73</v>
      </c>
      <c r="AB1127" s="26">
        <v>1967</v>
      </c>
      <c r="AC1127" s="26">
        <v>1231</v>
      </c>
      <c r="AD1127" s="26"/>
      <c r="AE1127" s="27">
        <v>1423203</v>
      </c>
      <c r="AF1127" s="27">
        <v>24923</v>
      </c>
      <c r="AG1127" s="28"/>
      <c r="AH1127" s="28"/>
      <c r="AI1127" s="17">
        <v>2014</v>
      </c>
      <c r="AJ1127" s="17">
        <v>0</v>
      </c>
      <c r="AK1127" s="17">
        <v>1</v>
      </c>
      <c r="AL1127" s="17" t="s">
        <v>1302</v>
      </c>
    </row>
    <row r="1128" spans="1:38" ht="15.75" customHeight="1">
      <c r="A1128" s="37" t="s">
        <v>1313</v>
      </c>
      <c r="B1128" s="19" t="s">
        <v>1304</v>
      </c>
      <c r="C1128" s="27">
        <v>136</v>
      </c>
      <c r="D1128" s="142" t="s">
        <v>196</v>
      </c>
      <c r="E1128" s="135">
        <v>0</v>
      </c>
      <c r="F1128" s="19" t="s">
        <v>1140</v>
      </c>
      <c r="G1128" s="19" t="s">
        <v>1308</v>
      </c>
      <c r="H1128" s="19" t="s">
        <v>1142</v>
      </c>
      <c r="I1128" s="17" t="b">
        <v>0</v>
      </c>
      <c r="J1128" s="17" t="s">
        <v>128</v>
      </c>
      <c r="K1128" s="21" t="s">
        <v>1314</v>
      </c>
      <c r="L1128" s="37" t="s">
        <v>1292</v>
      </c>
      <c r="M1128" s="155"/>
      <c r="O1128" s="17" t="s">
        <v>1310</v>
      </c>
      <c r="P1128" s="22">
        <v>-83.277820000000006</v>
      </c>
      <c r="Q1128" s="22">
        <v>-58.14376</v>
      </c>
      <c r="R1128" s="22"/>
      <c r="S1128" s="22">
        <v>550.58101850000003</v>
      </c>
      <c r="T1128" s="22"/>
      <c r="U1128" s="143">
        <v>500</v>
      </c>
      <c r="V1128" s="24" t="s">
        <v>1969</v>
      </c>
      <c r="W1128" s="44" t="s">
        <v>2446</v>
      </c>
      <c r="X1128" s="22"/>
      <c r="Y1128" s="22">
        <v>6</v>
      </c>
      <c r="Z1128" s="22">
        <v>2.5</v>
      </c>
      <c r="AA1128" s="17" t="s">
        <v>73</v>
      </c>
      <c r="AB1128" s="26">
        <v>6004</v>
      </c>
      <c r="AC1128" s="26">
        <v>873</v>
      </c>
      <c r="AD1128" s="26"/>
      <c r="AE1128" s="27">
        <v>1423203</v>
      </c>
      <c r="AF1128" s="27">
        <v>24923</v>
      </c>
      <c r="AG1128" s="28"/>
      <c r="AH1128" s="28"/>
      <c r="AI1128" s="17">
        <v>2014</v>
      </c>
      <c r="AJ1128" s="17">
        <v>0</v>
      </c>
      <c r="AK1128" s="17">
        <v>1</v>
      </c>
      <c r="AL1128" s="17" t="s">
        <v>1302</v>
      </c>
    </row>
    <row r="1129" spans="1:38" ht="15.75" customHeight="1">
      <c r="A1129" s="37" t="s">
        <v>1313</v>
      </c>
      <c r="B1129" s="19" t="s">
        <v>1304</v>
      </c>
      <c r="C1129" s="27">
        <v>136</v>
      </c>
      <c r="D1129" s="142" t="s">
        <v>196</v>
      </c>
      <c r="E1129" s="135">
        <v>0</v>
      </c>
      <c r="F1129" s="19" t="s">
        <v>1140</v>
      </c>
      <c r="G1129" s="19" t="s">
        <v>1308</v>
      </c>
      <c r="H1129" s="19" t="s">
        <v>1142</v>
      </c>
      <c r="I1129" s="17" t="b">
        <v>0</v>
      </c>
      <c r="J1129" s="17" t="s">
        <v>128</v>
      </c>
      <c r="K1129" s="21" t="s">
        <v>1314</v>
      </c>
      <c r="L1129" s="37" t="s">
        <v>1292</v>
      </c>
      <c r="M1129" s="155"/>
      <c r="O1129" s="17" t="s">
        <v>1310</v>
      </c>
      <c r="P1129" s="22">
        <v>-83.277820000000006</v>
      </c>
      <c r="Q1129" s="22">
        <v>-58.14376</v>
      </c>
      <c r="R1129" s="22"/>
      <c r="S1129" s="22">
        <v>550.58101850000003</v>
      </c>
      <c r="T1129" s="22"/>
      <c r="U1129" s="143">
        <v>500</v>
      </c>
      <c r="V1129" s="24" t="s">
        <v>1970</v>
      </c>
      <c r="W1129" s="44" t="s">
        <v>2446</v>
      </c>
      <c r="X1129" s="22"/>
      <c r="Y1129" s="22">
        <v>6</v>
      </c>
      <c r="Z1129" s="22">
        <v>2.5</v>
      </c>
      <c r="AA1129" s="17" t="s">
        <v>73</v>
      </c>
      <c r="AB1129" s="26">
        <v>6188</v>
      </c>
      <c r="AC1129" s="26">
        <v>844</v>
      </c>
      <c r="AD1129" s="26"/>
      <c r="AE1129" s="27">
        <v>1423203</v>
      </c>
      <c r="AF1129" s="27">
        <v>24923</v>
      </c>
      <c r="AG1129" s="28"/>
      <c r="AH1129" s="28"/>
      <c r="AI1129" s="17">
        <v>2014</v>
      </c>
      <c r="AJ1129" s="17">
        <v>0</v>
      </c>
      <c r="AK1129" s="17">
        <v>1</v>
      </c>
      <c r="AL1129" s="17" t="s">
        <v>1302</v>
      </c>
    </row>
    <row r="1130" spans="1:38" ht="15.75" customHeight="1">
      <c r="A1130" s="37" t="s">
        <v>1315</v>
      </c>
      <c r="B1130" s="19" t="s">
        <v>1304</v>
      </c>
      <c r="C1130" s="27">
        <v>136</v>
      </c>
      <c r="D1130" s="142" t="s">
        <v>196</v>
      </c>
      <c r="E1130" s="135">
        <v>0</v>
      </c>
      <c r="F1130" s="135" t="s">
        <v>1297</v>
      </c>
      <c r="G1130" s="135" t="s">
        <v>1298</v>
      </c>
      <c r="H1130" s="19" t="s">
        <v>1142</v>
      </c>
      <c r="I1130" s="17" t="b">
        <v>0</v>
      </c>
      <c r="J1130" s="17" t="s">
        <v>128</v>
      </c>
      <c r="K1130" s="21" t="s">
        <v>1316</v>
      </c>
      <c r="L1130" s="37" t="s">
        <v>1292</v>
      </c>
      <c r="M1130" s="155"/>
      <c r="O1130" s="28" t="s">
        <v>1300</v>
      </c>
      <c r="P1130" s="22">
        <v>-83.277820000000006</v>
      </c>
      <c r="Q1130" s="22">
        <v>-58.14376</v>
      </c>
      <c r="R1130" s="22"/>
      <c r="S1130" s="22">
        <v>550.58101850000003</v>
      </c>
      <c r="T1130" s="22"/>
      <c r="U1130" s="143">
        <v>500</v>
      </c>
      <c r="V1130" s="24" t="s">
        <v>1971</v>
      </c>
      <c r="W1130" s="44" t="s">
        <v>2446</v>
      </c>
      <c r="X1130" s="22"/>
      <c r="Y1130" s="22">
        <v>5</v>
      </c>
      <c r="Z1130" s="22">
        <v>2.6</v>
      </c>
      <c r="AA1130" s="17" t="s">
        <v>73</v>
      </c>
      <c r="AB1130" s="26">
        <v>8105</v>
      </c>
      <c r="AC1130" s="26">
        <v>769</v>
      </c>
      <c r="AD1130" s="26"/>
      <c r="AE1130" s="27">
        <v>4645094</v>
      </c>
      <c r="AF1130" s="27">
        <v>59838</v>
      </c>
      <c r="AG1130" s="28"/>
      <c r="AH1130" s="28"/>
      <c r="AI1130" s="17">
        <v>2014</v>
      </c>
      <c r="AJ1130" s="17">
        <v>0</v>
      </c>
      <c r="AK1130" s="17">
        <v>1</v>
      </c>
      <c r="AL1130" s="17" t="s">
        <v>1302</v>
      </c>
    </row>
    <row r="1131" spans="1:38" ht="15.75" customHeight="1">
      <c r="A1131" s="37" t="s">
        <v>1315</v>
      </c>
      <c r="B1131" s="19" t="s">
        <v>1304</v>
      </c>
      <c r="C1131" s="27">
        <v>136</v>
      </c>
      <c r="D1131" s="142" t="s">
        <v>196</v>
      </c>
      <c r="E1131" s="135">
        <v>0</v>
      </c>
      <c r="F1131" s="135" t="s">
        <v>1297</v>
      </c>
      <c r="G1131" s="135" t="s">
        <v>1298</v>
      </c>
      <c r="H1131" s="19" t="s">
        <v>1142</v>
      </c>
      <c r="I1131" s="17" t="b">
        <v>0</v>
      </c>
      <c r="J1131" s="17" t="s">
        <v>247</v>
      </c>
      <c r="K1131" s="21" t="s">
        <v>1316</v>
      </c>
      <c r="L1131" s="37" t="s">
        <v>1292</v>
      </c>
      <c r="M1131" s="155"/>
      <c r="O1131" s="28" t="s">
        <v>1300</v>
      </c>
      <c r="P1131" s="22">
        <v>-83.277820000000006</v>
      </c>
      <c r="Q1131" s="22">
        <v>-58.14376</v>
      </c>
      <c r="R1131" s="22"/>
      <c r="S1131" s="22">
        <v>550.58101850000003</v>
      </c>
      <c r="T1131" s="22">
        <v>250</v>
      </c>
      <c r="U1131" s="143">
        <v>500</v>
      </c>
      <c r="V1131" s="24" t="s">
        <v>1972</v>
      </c>
      <c r="W1131" s="44" t="s">
        <v>2446</v>
      </c>
      <c r="X1131" s="22"/>
      <c r="Y1131" s="22">
        <v>5</v>
      </c>
      <c r="Z1131" s="22">
        <v>2.6</v>
      </c>
      <c r="AA1131" s="17" t="s">
        <v>73</v>
      </c>
      <c r="AB1131" s="26">
        <v>12037</v>
      </c>
      <c r="AC1131" s="26">
        <v>421</v>
      </c>
      <c r="AD1131" s="26">
        <v>1423</v>
      </c>
      <c r="AE1131" s="27">
        <v>4645094</v>
      </c>
      <c r="AF1131" s="27">
        <v>59838</v>
      </c>
      <c r="AG1131" s="28"/>
      <c r="AH1131" s="28"/>
      <c r="AI1131" s="17">
        <v>2014</v>
      </c>
      <c r="AJ1131" s="17">
        <v>0</v>
      </c>
      <c r="AK1131" s="17">
        <v>1</v>
      </c>
      <c r="AL1131" s="17" t="s">
        <v>1302</v>
      </c>
    </row>
    <row r="1132" spans="1:38" ht="15.75" customHeight="1">
      <c r="A1132" s="37" t="s">
        <v>1315</v>
      </c>
      <c r="B1132" s="19" t="s">
        <v>1304</v>
      </c>
      <c r="C1132" s="27">
        <v>136</v>
      </c>
      <c r="D1132" s="142" t="s">
        <v>196</v>
      </c>
      <c r="E1132" s="135">
        <v>0</v>
      </c>
      <c r="F1132" s="135" t="s">
        <v>1297</v>
      </c>
      <c r="G1132" s="135" t="s">
        <v>1298</v>
      </c>
      <c r="H1132" s="19" t="s">
        <v>1142</v>
      </c>
      <c r="I1132" s="17" t="b">
        <v>0</v>
      </c>
      <c r="J1132" s="17" t="s">
        <v>128</v>
      </c>
      <c r="K1132" s="21" t="s">
        <v>1316</v>
      </c>
      <c r="L1132" s="37" t="s">
        <v>1292</v>
      </c>
      <c r="M1132" s="155"/>
      <c r="O1132" s="28" t="s">
        <v>1300</v>
      </c>
      <c r="P1132" s="22">
        <v>-83.277820000000006</v>
      </c>
      <c r="Q1132" s="22">
        <v>-58.14376</v>
      </c>
      <c r="R1132" s="22"/>
      <c r="S1132" s="22">
        <v>550.58101850000003</v>
      </c>
      <c r="T1132" s="22"/>
      <c r="U1132" s="143">
        <v>500</v>
      </c>
      <c r="V1132" s="24" t="s">
        <v>1973</v>
      </c>
      <c r="W1132" s="44" t="s">
        <v>2446</v>
      </c>
      <c r="X1132" s="22"/>
      <c r="Y1132" s="22">
        <v>5</v>
      </c>
      <c r="Z1132" s="22">
        <v>2.6</v>
      </c>
      <c r="AA1132" s="17" t="s">
        <v>73</v>
      </c>
      <c r="AB1132" s="26">
        <v>12372</v>
      </c>
      <c r="AC1132" s="26">
        <v>1211</v>
      </c>
      <c r="AD1132" s="26"/>
      <c r="AE1132" s="27">
        <v>4645094</v>
      </c>
      <c r="AF1132" s="27">
        <v>59838</v>
      </c>
      <c r="AG1132" s="28"/>
      <c r="AH1132" s="28"/>
      <c r="AI1132" s="17">
        <v>2014</v>
      </c>
      <c r="AJ1132" s="17">
        <v>0</v>
      </c>
      <c r="AK1132" s="17">
        <v>1</v>
      </c>
      <c r="AL1132" s="17" t="s">
        <v>1302</v>
      </c>
    </row>
    <row r="1133" spans="1:38" ht="15.75" customHeight="1">
      <c r="A1133" s="37" t="s">
        <v>1315</v>
      </c>
      <c r="B1133" s="19" t="s">
        <v>1304</v>
      </c>
      <c r="C1133" s="27">
        <v>136</v>
      </c>
      <c r="D1133" s="142" t="s">
        <v>196</v>
      </c>
      <c r="E1133" s="135">
        <v>0</v>
      </c>
      <c r="F1133" s="135" t="s">
        <v>1297</v>
      </c>
      <c r="G1133" s="135" t="s">
        <v>1298</v>
      </c>
      <c r="H1133" s="19" t="s">
        <v>1142</v>
      </c>
      <c r="I1133" s="17" t="b">
        <v>0</v>
      </c>
      <c r="J1133" s="17" t="s">
        <v>128</v>
      </c>
      <c r="K1133" s="21" t="s">
        <v>1316</v>
      </c>
      <c r="L1133" s="37" t="s">
        <v>1292</v>
      </c>
      <c r="M1133" s="155"/>
      <c r="O1133" s="28" t="s">
        <v>1300</v>
      </c>
      <c r="P1133" s="22">
        <v>-83.277820000000006</v>
      </c>
      <c r="Q1133" s="22">
        <v>-58.14376</v>
      </c>
      <c r="R1133" s="22"/>
      <c r="S1133" s="22">
        <v>550.58101850000003</v>
      </c>
      <c r="T1133" s="22"/>
      <c r="U1133" s="143">
        <v>500</v>
      </c>
      <c r="V1133" s="24" t="s">
        <v>1974</v>
      </c>
      <c r="W1133" s="44" t="s">
        <v>2446</v>
      </c>
      <c r="X1133" s="22"/>
      <c r="Y1133" s="22">
        <v>5</v>
      </c>
      <c r="Z1133" s="22">
        <v>2.6</v>
      </c>
      <c r="AA1133" s="17" t="s">
        <v>73</v>
      </c>
      <c r="AB1133" s="26">
        <v>14134</v>
      </c>
      <c r="AC1133" s="26">
        <v>1294</v>
      </c>
      <c r="AD1133" s="26"/>
      <c r="AE1133" s="27">
        <v>4645094</v>
      </c>
      <c r="AF1133" s="27">
        <v>59838</v>
      </c>
      <c r="AG1133" s="28"/>
      <c r="AH1133" s="28"/>
      <c r="AI1133" s="17">
        <v>2014</v>
      </c>
      <c r="AJ1133" s="17">
        <v>0</v>
      </c>
      <c r="AK1133" s="17">
        <v>1</v>
      </c>
      <c r="AL1133" s="17" t="s">
        <v>1306</v>
      </c>
    </row>
    <row r="1134" spans="1:38" ht="15.75" customHeight="1">
      <c r="A1134" s="37" t="s">
        <v>1317</v>
      </c>
      <c r="B1134" s="19" t="s">
        <v>1304</v>
      </c>
      <c r="C1134" s="27">
        <v>136</v>
      </c>
      <c r="D1134" s="142" t="s">
        <v>196</v>
      </c>
      <c r="E1134" s="135">
        <v>0</v>
      </c>
      <c r="F1134" s="19" t="s">
        <v>1140</v>
      </c>
      <c r="G1134" s="19" t="s">
        <v>1308</v>
      </c>
      <c r="H1134" s="19" t="s">
        <v>1142</v>
      </c>
      <c r="I1134" s="17" t="b">
        <v>0</v>
      </c>
      <c r="J1134" s="17" t="s">
        <v>128</v>
      </c>
      <c r="K1134" s="21" t="s">
        <v>1318</v>
      </c>
      <c r="L1134" s="37" t="s">
        <v>1292</v>
      </c>
      <c r="M1134" s="155"/>
      <c r="O1134" s="17" t="s">
        <v>1310</v>
      </c>
      <c r="P1134" s="22">
        <v>-83.279319999999998</v>
      </c>
      <c r="Q1134" s="22">
        <v>-58.155790000000003</v>
      </c>
      <c r="R1134" s="22"/>
      <c r="S1134" s="22">
        <v>513.40133040000001</v>
      </c>
      <c r="T1134" s="22"/>
      <c r="U1134" s="143">
        <v>500</v>
      </c>
      <c r="V1134" s="24" t="s">
        <v>1975</v>
      </c>
      <c r="W1134" s="44" t="s">
        <v>2446</v>
      </c>
      <c r="X1134" s="22"/>
      <c r="Y1134" s="22">
        <v>4</v>
      </c>
      <c r="Z1134" s="22">
        <v>2.5</v>
      </c>
      <c r="AA1134" s="17" t="s">
        <v>73</v>
      </c>
      <c r="AB1134" s="26">
        <v>6741</v>
      </c>
      <c r="AC1134" s="26">
        <v>1335</v>
      </c>
      <c r="AD1134" s="26"/>
      <c r="AE1134" s="27">
        <v>1316863</v>
      </c>
      <c r="AF1134" s="27">
        <v>22142</v>
      </c>
      <c r="AG1134" s="28"/>
      <c r="AH1134" s="28"/>
      <c r="AI1134" s="17">
        <v>2014</v>
      </c>
      <c r="AJ1134" s="17">
        <v>0</v>
      </c>
      <c r="AK1134" s="17">
        <v>1</v>
      </c>
      <c r="AL1134" s="17" t="s">
        <v>1302</v>
      </c>
    </row>
    <row r="1135" spans="1:38" ht="15.75" customHeight="1">
      <c r="A1135" s="37" t="s">
        <v>1317</v>
      </c>
      <c r="B1135" s="19" t="s">
        <v>1304</v>
      </c>
      <c r="C1135" s="27">
        <v>136</v>
      </c>
      <c r="D1135" s="142" t="s">
        <v>196</v>
      </c>
      <c r="E1135" s="135">
        <v>0</v>
      </c>
      <c r="F1135" s="19" t="s">
        <v>1140</v>
      </c>
      <c r="G1135" s="19" t="s">
        <v>1308</v>
      </c>
      <c r="H1135" s="19" t="s">
        <v>1142</v>
      </c>
      <c r="I1135" s="17" t="b">
        <v>0</v>
      </c>
      <c r="J1135" s="17" t="s">
        <v>128</v>
      </c>
      <c r="K1135" s="21" t="s">
        <v>1318</v>
      </c>
      <c r="L1135" s="37" t="s">
        <v>1292</v>
      </c>
      <c r="M1135" s="155"/>
      <c r="O1135" s="17" t="s">
        <v>1310</v>
      </c>
      <c r="P1135" s="22">
        <v>-83.279319999999998</v>
      </c>
      <c r="Q1135" s="22">
        <v>-58.155790000000003</v>
      </c>
      <c r="R1135" s="22"/>
      <c r="S1135" s="22">
        <v>513.40133040000001</v>
      </c>
      <c r="T1135" s="22"/>
      <c r="U1135" s="143">
        <v>500</v>
      </c>
      <c r="V1135" s="24" t="s">
        <v>1976</v>
      </c>
      <c r="W1135" s="44" t="s">
        <v>2446</v>
      </c>
      <c r="X1135" s="22"/>
      <c r="Y1135" s="22">
        <v>4</v>
      </c>
      <c r="Z1135" s="22">
        <v>2.5</v>
      </c>
      <c r="AA1135" s="17" t="s">
        <v>73</v>
      </c>
      <c r="AB1135" s="26">
        <v>7751</v>
      </c>
      <c r="AC1135" s="26">
        <v>853</v>
      </c>
      <c r="AD1135" s="26"/>
      <c r="AE1135" s="27">
        <v>1316863</v>
      </c>
      <c r="AF1135" s="27">
        <v>22142</v>
      </c>
      <c r="AG1135" s="28"/>
      <c r="AH1135" s="28"/>
      <c r="AI1135" s="17">
        <v>2014</v>
      </c>
      <c r="AJ1135" s="17">
        <v>0</v>
      </c>
      <c r="AK1135" s="17">
        <v>1</v>
      </c>
      <c r="AL1135" s="17" t="s">
        <v>1302</v>
      </c>
    </row>
    <row r="1136" spans="1:38" ht="15.75" customHeight="1">
      <c r="A1136" s="37" t="s">
        <v>1319</v>
      </c>
      <c r="B1136" s="19" t="s">
        <v>1304</v>
      </c>
      <c r="C1136" s="27">
        <v>136</v>
      </c>
      <c r="D1136" s="142" t="s">
        <v>196</v>
      </c>
      <c r="E1136" s="135">
        <v>0</v>
      </c>
      <c r="F1136" s="135" t="s">
        <v>1297</v>
      </c>
      <c r="G1136" s="135" t="s">
        <v>1298</v>
      </c>
      <c r="H1136" s="19" t="s">
        <v>1142</v>
      </c>
      <c r="I1136" s="17" t="b">
        <v>0</v>
      </c>
      <c r="J1136" s="17" t="s">
        <v>128</v>
      </c>
      <c r="K1136" s="21" t="s">
        <v>1320</v>
      </c>
      <c r="L1136" s="37" t="s">
        <v>1292</v>
      </c>
      <c r="M1136" s="155"/>
      <c r="O1136" s="28" t="s">
        <v>1300</v>
      </c>
      <c r="P1136" s="22">
        <v>-83.282259999999994</v>
      </c>
      <c r="Q1136" s="22">
        <v>-58.162979999999997</v>
      </c>
      <c r="R1136" s="22"/>
      <c r="S1136" s="22">
        <v>416.93906879999997</v>
      </c>
      <c r="T1136" s="22"/>
      <c r="U1136" s="143">
        <v>500</v>
      </c>
      <c r="V1136" s="24" t="s">
        <v>1977</v>
      </c>
      <c r="W1136" s="44" t="s">
        <v>2446</v>
      </c>
      <c r="X1136" s="22"/>
      <c r="Y1136" s="22">
        <v>4.5</v>
      </c>
      <c r="Z1136" s="22">
        <v>2.6</v>
      </c>
      <c r="AA1136" s="17" t="s">
        <v>73</v>
      </c>
      <c r="AB1136" s="26">
        <v>3044</v>
      </c>
      <c r="AC1136" s="26">
        <v>984</v>
      </c>
      <c r="AD1136" s="26"/>
      <c r="AE1136" s="27">
        <v>1904956</v>
      </c>
      <c r="AF1136" s="27">
        <v>25771</v>
      </c>
      <c r="AG1136" s="28"/>
      <c r="AH1136" s="28"/>
      <c r="AI1136" s="17">
        <v>2014</v>
      </c>
      <c r="AJ1136" s="17">
        <v>0</v>
      </c>
      <c r="AK1136" s="17">
        <v>1</v>
      </c>
      <c r="AL1136" s="17" t="s">
        <v>1302</v>
      </c>
    </row>
    <row r="1137" spans="1:38" ht="15.75" customHeight="1">
      <c r="A1137" s="37" t="s">
        <v>1319</v>
      </c>
      <c r="B1137" s="19" t="s">
        <v>1304</v>
      </c>
      <c r="C1137" s="27">
        <v>136</v>
      </c>
      <c r="D1137" s="142" t="s">
        <v>196</v>
      </c>
      <c r="E1137" s="135">
        <v>0</v>
      </c>
      <c r="F1137" s="135" t="s">
        <v>1297</v>
      </c>
      <c r="G1137" s="135" t="s">
        <v>1298</v>
      </c>
      <c r="H1137" s="19" t="s">
        <v>1142</v>
      </c>
      <c r="I1137" s="17" t="b">
        <v>0</v>
      </c>
      <c r="J1137" s="17" t="s">
        <v>128</v>
      </c>
      <c r="K1137" s="21" t="s">
        <v>1320</v>
      </c>
      <c r="L1137" s="37" t="s">
        <v>1292</v>
      </c>
      <c r="M1137" s="155"/>
      <c r="O1137" s="28" t="s">
        <v>1300</v>
      </c>
      <c r="P1137" s="22">
        <v>-83.282259999999994</v>
      </c>
      <c r="Q1137" s="22">
        <v>-58.162979999999997</v>
      </c>
      <c r="R1137" s="22"/>
      <c r="S1137" s="22">
        <v>416.93906879999997</v>
      </c>
      <c r="T1137" s="22"/>
      <c r="U1137" s="143">
        <v>500</v>
      </c>
      <c r="V1137" s="24" t="s">
        <v>1978</v>
      </c>
      <c r="W1137" s="44" t="s">
        <v>2446</v>
      </c>
      <c r="X1137" s="22"/>
      <c r="Y1137" s="22">
        <v>4.5</v>
      </c>
      <c r="Z1137" s="22">
        <v>2.6</v>
      </c>
      <c r="AA1137" s="17" t="s">
        <v>73</v>
      </c>
      <c r="AB1137" s="26">
        <v>3740</v>
      </c>
      <c r="AC1137" s="26">
        <v>837</v>
      </c>
      <c r="AD1137" s="26"/>
      <c r="AE1137" s="27">
        <v>1904956</v>
      </c>
      <c r="AF1137" s="27">
        <v>25771</v>
      </c>
      <c r="AG1137" s="28"/>
      <c r="AH1137" s="28"/>
      <c r="AI1137" s="17">
        <v>2014</v>
      </c>
      <c r="AJ1137" s="17">
        <v>0</v>
      </c>
      <c r="AK1137" s="17">
        <v>1</v>
      </c>
      <c r="AL1137" s="17" t="s">
        <v>1302</v>
      </c>
    </row>
    <row r="1138" spans="1:38" ht="15.75" customHeight="1">
      <c r="A1138" s="37" t="s">
        <v>1319</v>
      </c>
      <c r="B1138" s="19" t="s">
        <v>1304</v>
      </c>
      <c r="C1138" s="27">
        <v>136</v>
      </c>
      <c r="D1138" s="142" t="s">
        <v>196</v>
      </c>
      <c r="E1138" s="135">
        <v>0</v>
      </c>
      <c r="F1138" s="135" t="s">
        <v>1297</v>
      </c>
      <c r="G1138" s="135" t="s">
        <v>1298</v>
      </c>
      <c r="H1138" s="19" t="s">
        <v>1142</v>
      </c>
      <c r="I1138" s="17" t="b">
        <v>0</v>
      </c>
      <c r="J1138" s="17" t="s">
        <v>128</v>
      </c>
      <c r="K1138" s="21" t="s">
        <v>1320</v>
      </c>
      <c r="L1138" s="37" t="s">
        <v>1292</v>
      </c>
      <c r="M1138" s="155"/>
      <c r="O1138" s="28" t="s">
        <v>1300</v>
      </c>
      <c r="P1138" s="22">
        <v>-83.282259999999994</v>
      </c>
      <c r="Q1138" s="22">
        <v>-58.162979999999997</v>
      </c>
      <c r="R1138" s="22"/>
      <c r="S1138" s="22">
        <v>416.93906879999997</v>
      </c>
      <c r="T1138" s="22"/>
      <c r="U1138" s="143">
        <v>500</v>
      </c>
      <c r="V1138" s="24" t="s">
        <v>1979</v>
      </c>
      <c r="W1138" s="44" t="s">
        <v>2446</v>
      </c>
      <c r="X1138" s="22"/>
      <c r="Y1138" s="22">
        <v>4.5</v>
      </c>
      <c r="Z1138" s="22">
        <v>2.6</v>
      </c>
      <c r="AA1138" s="17" t="s">
        <v>73</v>
      </c>
      <c r="AB1138" s="26">
        <v>4072</v>
      </c>
      <c r="AC1138" s="26">
        <v>856</v>
      </c>
      <c r="AD1138" s="26"/>
      <c r="AE1138" s="27">
        <v>1904956</v>
      </c>
      <c r="AF1138" s="27">
        <v>25771</v>
      </c>
      <c r="AG1138" s="28"/>
      <c r="AH1138" s="28"/>
      <c r="AI1138" s="17">
        <v>2014</v>
      </c>
      <c r="AJ1138" s="17">
        <v>0</v>
      </c>
      <c r="AK1138" s="17">
        <v>1</v>
      </c>
      <c r="AL1138" s="17" t="s">
        <v>1302</v>
      </c>
    </row>
    <row r="1139" spans="1:38" ht="15.75" customHeight="1">
      <c r="A1139" s="37" t="s">
        <v>1319</v>
      </c>
      <c r="B1139" s="19" t="s">
        <v>1304</v>
      </c>
      <c r="C1139" s="27">
        <v>136</v>
      </c>
      <c r="D1139" s="142" t="s">
        <v>196</v>
      </c>
      <c r="E1139" s="135">
        <v>0</v>
      </c>
      <c r="F1139" s="135" t="s">
        <v>1297</v>
      </c>
      <c r="G1139" s="135" t="s">
        <v>1298</v>
      </c>
      <c r="H1139" s="19" t="s">
        <v>1142</v>
      </c>
      <c r="I1139" s="17" t="b">
        <v>0</v>
      </c>
      <c r="J1139" s="17" t="s">
        <v>247</v>
      </c>
      <c r="K1139" s="21" t="s">
        <v>1320</v>
      </c>
      <c r="L1139" s="37" t="s">
        <v>1292</v>
      </c>
      <c r="M1139" s="155"/>
      <c r="O1139" s="28" t="s">
        <v>1300</v>
      </c>
      <c r="P1139" s="22">
        <v>-83.282259999999994</v>
      </c>
      <c r="Q1139" s="22">
        <v>-58.162979999999997</v>
      </c>
      <c r="R1139" s="22"/>
      <c r="S1139" s="22">
        <v>416.93906879999997</v>
      </c>
      <c r="T1139" s="22">
        <v>250</v>
      </c>
      <c r="U1139" s="143">
        <v>500</v>
      </c>
      <c r="V1139" s="24" t="s">
        <v>1980</v>
      </c>
      <c r="W1139" s="44" t="s">
        <v>2446</v>
      </c>
      <c r="X1139" s="22">
        <f>S1139-T1139</f>
        <v>166.93906879999997</v>
      </c>
      <c r="Y1139" s="22">
        <v>4.5</v>
      </c>
      <c r="Z1139" s="22">
        <v>2.6</v>
      </c>
      <c r="AA1139" s="17" t="s">
        <v>73</v>
      </c>
      <c r="AB1139" s="26">
        <v>10421</v>
      </c>
      <c r="AC1139" s="26">
        <v>343</v>
      </c>
      <c r="AD1139" s="26">
        <v>1099</v>
      </c>
      <c r="AE1139" s="27">
        <v>1904956</v>
      </c>
      <c r="AF1139" s="27">
        <v>25771</v>
      </c>
      <c r="AG1139" s="28"/>
      <c r="AH1139" s="28"/>
      <c r="AI1139" s="17">
        <v>2014</v>
      </c>
      <c r="AJ1139" s="17">
        <v>0</v>
      </c>
      <c r="AK1139" s="17">
        <v>1</v>
      </c>
      <c r="AL1139" s="17" t="s">
        <v>1306</v>
      </c>
    </row>
    <row r="1140" spans="1:38" ht="15.75" customHeight="1">
      <c r="A1140" s="37" t="s">
        <v>1321</v>
      </c>
      <c r="B1140" s="19" t="s">
        <v>1304</v>
      </c>
      <c r="C1140" s="27">
        <v>136</v>
      </c>
      <c r="D1140" s="142" t="s">
        <v>196</v>
      </c>
      <c r="E1140" s="135">
        <v>0</v>
      </c>
      <c r="F1140" s="135" t="s">
        <v>1297</v>
      </c>
      <c r="G1140" s="135" t="s">
        <v>1298</v>
      </c>
      <c r="H1140" s="19" t="s">
        <v>1142</v>
      </c>
      <c r="I1140" s="17" t="b">
        <v>0</v>
      </c>
      <c r="J1140" s="17" t="s">
        <v>128</v>
      </c>
      <c r="K1140" s="21" t="s">
        <v>1322</v>
      </c>
      <c r="L1140" s="37" t="s">
        <v>1292</v>
      </c>
      <c r="M1140" s="155"/>
      <c r="O1140" s="28" t="s">
        <v>1300</v>
      </c>
      <c r="P1140" s="22">
        <v>-83.27825</v>
      </c>
      <c r="Q1140" s="22">
        <v>-58.162260000000003</v>
      </c>
      <c r="R1140" s="22"/>
      <c r="S1140" s="22">
        <v>499.34916479999998</v>
      </c>
      <c r="T1140" s="22"/>
      <c r="U1140" s="143">
        <v>500</v>
      </c>
      <c r="V1140" s="24" t="s">
        <v>1981</v>
      </c>
      <c r="W1140" s="44" t="s">
        <v>2446</v>
      </c>
      <c r="X1140" s="22"/>
      <c r="Y1140" s="22">
        <v>10</v>
      </c>
      <c r="Z1140" s="22">
        <v>2.6</v>
      </c>
      <c r="AA1140" s="17" t="s">
        <v>73</v>
      </c>
      <c r="AB1140" s="26">
        <v>10950</v>
      </c>
      <c r="AC1140" s="26">
        <v>1215</v>
      </c>
      <c r="AD1140" s="26"/>
      <c r="AE1140" s="27">
        <v>2434490</v>
      </c>
      <c r="AF1140" s="27">
        <v>32945</v>
      </c>
      <c r="AG1140" s="28"/>
      <c r="AH1140" s="28"/>
      <c r="AI1140" s="17">
        <v>2014</v>
      </c>
      <c r="AJ1140" s="17">
        <v>0</v>
      </c>
      <c r="AK1140" s="17">
        <v>1</v>
      </c>
      <c r="AL1140" s="17" t="s">
        <v>1302</v>
      </c>
    </row>
    <row r="1141" spans="1:38" ht="15.75" customHeight="1">
      <c r="A1141" s="37" t="s">
        <v>1321</v>
      </c>
      <c r="B1141" s="19" t="s">
        <v>1304</v>
      </c>
      <c r="C1141" s="27">
        <v>136</v>
      </c>
      <c r="D1141" s="142" t="s">
        <v>196</v>
      </c>
      <c r="E1141" s="135">
        <v>0</v>
      </c>
      <c r="F1141" s="135" t="s">
        <v>1297</v>
      </c>
      <c r="G1141" s="135" t="s">
        <v>1298</v>
      </c>
      <c r="H1141" s="19" t="s">
        <v>1142</v>
      </c>
      <c r="I1141" s="17" t="b">
        <v>0</v>
      </c>
      <c r="J1141" s="17" t="s">
        <v>128</v>
      </c>
      <c r="K1141" s="21" t="s">
        <v>1322</v>
      </c>
      <c r="L1141" s="37" t="s">
        <v>1292</v>
      </c>
      <c r="M1141" s="155"/>
      <c r="O1141" s="28" t="s">
        <v>1300</v>
      </c>
      <c r="P1141" s="22">
        <v>-83.27825</v>
      </c>
      <c r="Q1141" s="22">
        <v>-58.162260000000003</v>
      </c>
      <c r="R1141" s="22"/>
      <c r="S1141" s="22">
        <v>499.34916479999998</v>
      </c>
      <c r="T1141" s="22"/>
      <c r="U1141" s="143">
        <v>500</v>
      </c>
      <c r="V1141" s="24" t="s">
        <v>1982</v>
      </c>
      <c r="W1141" s="44" t="s">
        <v>2446</v>
      </c>
      <c r="X1141" s="22"/>
      <c r="Y1141" s="22">
        <v>10</v>
      </c>
      <c r="Z1141" s="22">
        <v>2.6</v>
      </c>
      <c r="AA1141" s="17" t="s">
        <v>73</v>
      </c>
      <c r="AB1141" s="26">
        <v>11693</v>
      </c>
      <c r="AC1141" s="26">
        <v>1281</v>
      </c>
      <c r="AD1141" s="26"/>
      <c r="AE1141" s="27">
        <v>2434490</v>
      </c>
      <c r="AF1141" s="27">
        <v>32945</v>
      </c>
      <c r="AG1141" s="28"/>
      <c r="AH1141" s="28"/>
      <c r="AI1141" s="17">
        <v>2014</v>
      </c>
      <c r="AJ1141" s="17">
        <v>0</v>
      </c>
      <c r="AK1141" s="17">
        <v>1</v>
      </c>
      <c r="AL1141" s="17" t="s">
        <v>1302</v>
      </c>
    </row>
    <row r="1142" spans="1:38" ht="15.75" customHeight="1">
      <c r="A1142" s="32" t="s">
        <v>1323</v>
      </c>
      <c r="B1142" s="19" t="s">
        <v>1324</v>
      </c>
      <c r="C1142" s="17">
        <v>137</v>
      </c>
      <c r="D1142" s="142" t="s">
        <v>196</v>
      </c>
      <c r="E1142" s="135">
        <v>0</v>
      </c>
      <c r="F1142" s="135" t="s">
        <v>1297</v>
      </c>
      <c r="G1142" s="135" t="s">
        <v>1298</v>
      </c>
      <c r="H1142" s="19" t="s">
        <v>1142</v>
      </c>
      <c r="I1142" s="17" t="b">
        <v>0</v>
      </c>
      <c r="J1142" s="17" t="s">
        <v>128</v>
      </c>
      <c r="K1142" s="21" t="s">
        <v>1325</v>
      </c>
      <c r="L1142" s="32" t="s">
        <v>1292</v>
      </c>
      <c r="M1142" s="166" t="s">
        <v>2400</v>
      </c>
      <c r="O1142" s="28" t="s">
        <v>1300</v>
      </c>
      <c r="P1142" s="22">
        <v>-83.295150000000007</v>
      </c>
      <c r="Q1142" s="22">
        <v>-57.975470000000001</v>
      </c>
      <c r="R1142" s="22"/>
      <c r="S1142" s="22">
        <v>945.06629180000004</v>
      </c>
      <c r="T1142" s="22">
        <v>250</v>
      </c>
      <c r="U1142" s="23">
        <v>385</v>
      </c>
      <c r="V1142" s="24" t="s">
        <v>1954</v>
      </c>
      <c r="W1142" s="44" t="s">
        <v>2446</v>
      </c>
      <c r="X1142" s="22"/>
      <c r="Y1142" s="22">
        <v>4</v>
      </c>
      <c r="Z1142" s="22">
        <v>2.6</v>
      </c>
      <c r="AA1142" s="17" t="s">
        <v>73</v>
      </c>
      <c r="AB1142" s="26">
        <v>5348</v>
      </c>
      <c r="AC1142" s="26">
        <v>580</v>
      </c>
      <c r="AD1142" s="26"/>
      <c r="AE1142" s="27">
        <v>12864370</v>
      </c>
      <c r="AF1142" s="27">
        <v>143588</v>
      </c>
      <c r="AG1142" s="28"/>
      <c r="AH1142" s="28"/>
      <c r="AI1142" s="17">
        <v>2014</v>
      </c>
      <c r="AJ1142" s="17">
        <v>0</v>
      </c>
      <c r="AK1142" s="17">
        <v>1</v>
      </c>
      <c r="AL1142" s="17" t="s">
        <v>1302</v>
      </c>
    </row>
    <row r="1143" spans="1:38" ht="15.75" customHeight="1">
      <c r="A1143" s="32" t="s">
        <v>1323</v>
      </c>
      <c r="B1143" s="19" t="s">
        <v>1324</v>
      </c>
      <c r="C1143" s="17">
        <v>137</v>
      </c>
      <c r="D1143" s="142" t="s">
        <v>196</v>
      </c>
      <c r="E1143" s="135">
        <v>0</v>
      </c>
      <c r="F1143" s="135" t="s">
        <v>1297</v>
      </c>
      <c r="G1143" s="135" t="s">
        <v>1298</v>
      </c>
      <c r="H1143" s="19" t="s">
        <v>1142</v>
      </c>
      <c r="I1143" s="17" t="b">
        <v>0</v>
      </c>
      <c r="J1143" s="17" t="s">
        <v>128</v>
      </c>
      <c r="K1143" s="21" t="s">
        <v>1325</v>
      </c>
      <c r="L1143" s="32" t="s">
        <v>1292</v>
      </c>
      <c r="M1143" s="155"/>
      <c r="O1143" s="28" t="s">
        <v>1300</v>
      </c>
      <c r="P1143" s="22">
        <v>-83.295150000000007</v>
      </c>
      <c r="Q1143" s="22">
        <v>-57.975470000000001</v>
      </c>
      <c r="R1143" s="22"/>
      <c r="S1143" s="22">
        <v>945.06629180000004</v>
      </c>
      <c r="T1143" s="22">
        <v>250</v>
      </c>
      <c r="U1143" s="23">
        <v>385</v>
      </c>
      <c r="V1143" s="24" t="s">
        <v>1955</v>
      </c>
      <c r="W1143" s="44" t="s">
        <v>2446</v>
      </c>
      <c r="X1143" s="22"/>
      <c r="Y1143" s="22">
        <v>4</v>
      </c>
      <c r="Z1143" s="22">
        <v>2.6</v>
      </c>
      <c r="AA1143" s="17" t="s">
        <v>73</v>
      </c>
      <c r="AB1143" s="26">
        <v>5744</v>
      </c>
      <c r="AC1143" s="26">
        <v>652</v>
      </c>
      <c r="AD1143" s="26"/>
      <c r="AE1143" s="27">
        <v>12864370</v>
      </c>
      <c r="AF1143" s="27">
        <v>143588</v>
      </c>
      <c r="AG1143" s="28"/>
      <c r="AH1143" s="28"/>
      <c r="AI1143" s="17">
        <v>2014</v>
      </c>
      <c r="AJ1143" s="17">
        <v>0</v>
      </c>
      <c r="AK1143" s="17">
        <v>1</v>
      </c>
      <c r="AL1143" s="17" t="s">
        <v>1302</v>
      </c>
    </row>
    <row r="1144" spans="1:38" ht="15.75" customHeight="1">
      <c r="A1144" s="32" t="s">
        <v>1323</v>
      </c>
      <c r="B1144" s="19" t="s">
        <v>1324</v>
      </c>
      <c r="C1144" s="17">
        <v>137</v>
      </c>
      <c r="D1144" s="142" t="s">
        <v>196</v>
      </c>
      <c r="E1144" s="135">
        <v>0</v>
      </c>
      <c r="F1144" s="135" t="s">
        <v>1297</v>
      </c>
      <c r="G1144" s="135" t="s">
        <v>1298</v>
      </c>
      <c r="H1144" s="19" t="s">
        <v>1142</v>
      </c>
      <c r="I1144" s="17" t="b">
        <v>0</v>
      </c>
      <c r="J1144" s="17" t="s">
        <v>128</v>
      </c>
      <c r="K1144" s="21" t="s">
        <v>1325</v>
      </c>
      <c r="L1144" s="32" t="s">
        <v>1292</v>
      </c>
      <c r="M1144" s="155"/>
      <c r="O1144" s="28" t="s">
        <v>1300</v>
      </c>
      <c r="P1144" s="22">
        <v>-83.295150000000007</v>
      </c>
      <c r="Q1144" s="22">
        <v>-57.975470000000001</v>
      </c>
      <c r="R1144" s="22"/>
      <c r="S1144" s="22">
        <v>945.06629180000004</v>
      </c>
      <c r="T1144" s="22">
        <v>250</v>
      </c>
      <c r="U1144" s="23">
        <v>385</v>
      </c>
      <c r="V1144" s="24" t="s">
        <v>1956</v>
      </c>
      <c r="W1144" s="44" t="s">
        <v>2446</v>
      </c>
      <c r="X1144" s="22"/>
      <c r="Y1144" s="22">
        <v>4</v>
      </c>
      <c r="Z1144" s="22">
        <v>2.6</v>
      </c>
      <c r="AA1144" s="17" t="s">
        <v>73</v>
      </c>
      <c r="AB1144" s="26">
        <v>6025</v>
      </c>
      <c r="AC1144" s="26">
        <v>957</v>
      </c>
      <c r="AD1144" s="26"/>
      <c r="AE1144" s="27">
        <v>12864370</v>
      </c>
      <c r="AF1144" s="27">
        <v>143588</v>
      </c>
      <c r="AG1144" s="28"/>
      <c r="AH1144" s="28"/>
      <c r="AI1144" s="17">
        <v>2014</v>
      </c>
      <c r="AJ1144" s="17">
        <v>0</v>
      </c>
      <c r="AK1144" s="17">
        <v>1</v>
      </c>
      <c r="AL1144" s="17" t="s">
        <v>1302</v>
      </c>
    </row>
    <row r="1145" spans="1:38" ht="15.75" customHeight="1">
      <c r="A1145" s="32" t="s">
        <v>1323</v>
      </c>
      <c r="B1145" s="19" t="s">
        <v>1324</v>
      </c>
      <c r="C1145" s="17">
        <v>137</v>
      </c>
      <c r="D1145" s="142" t="s">
        <v>196</v>
      </c>
      <c r="E1145" s="135">
        <v>0</v>
      </c>
      <c r="F1145" s="135" t="s">
        <v>1297</v>
      </c>
      <c r="G1145" s="135" t="s">
        <v>1298</v>
      </c>
      <c r="H1145" s="19" t="s">
        <v>1142</v>
      </c>
      <c r="I1145" s="17" t="b">
        <v>0</v>
      </c>
      <c r="J1145" s="17" t="s">
        <v>247</v>
      </c>
      <c r="K1145" s="21" t="s">
        <v>1325</v>
      </c>
      <c r="L1145" s="32" t="s">
        <v>1292</v>
      </c>
      <c r="M1145" s="155"/>
      <c r="O1145" s="28" t="s">
        <v>1300</v>
      </c>
      <c r="P1145" s="22">
        <v>-83.295150000000007</v>
      </c>
      <c r="Q1145" s="22">
        <v>-57.975470000000001</v>
      </c>
      <c r="R1145" s="22"/>
      <c r="S1145" s="22">
        <v>945.06629180000004</v>
      </c>
      <c r="T1145" s="22">
        <v>250</v>
      </c>
      <c r="U1145" s="23">
        <v>385</v>
      </c>
      <c r="V1145" s="24" t="s">
        <v>1957</v>
      </c>
      <c r="W1145" s="44" t="s">
        <v>2446</v>
      </c>
      <c r="X1145" s="22">
        <f>S1145-T1145</f>
        <v>695.06629180000004</v>
      </c>
      <c r="Y1145" s="22">
        <v>4</v>
      </c>
      <c r="Z1145" s="22">
        <v>2.6</v>
      </c>
      <c r="AA1145" s="17" t="s">
        <v>73</v>
      </c>
      <c r="AB1145" s="26">
        <v>12345</v>
      </c>
      <c r="AC1145" s="26">
        <v>412</v>
      </c>
      <c r="AD1145" s="26">
        <v>1485</v>
      </c>
      <c r="AE1145" s="27">
        <v>12864370</v>
      </c>
      <c r="AF1145" s="27">
        <v>143588</v>
      </c>
      <c r="AG1145" s="28"/>
      <c r="AH1145" s="28"/>
      <c r="AI1145" s="17">
        <v>2014</v>
      </c>
      <c r="AJ1145" s="17">
        <v>0</v>
      </c>
      <c r="AK1145" s="17">
        <v>0</v>
      </c>
      <c r="AL1145" s="17" t="s">
        <v>1306</v>
      </c>
    </row>
    <row r="1146" spans="1:38" ht="15.75" customHeight="1">
      <c r="A1146" s="32" t="s">
        <v>1326</v>
      </c>
      <c r="B1146" s="19" t="s">
        <v>1324</v>
      </c>
      <c r="C1146" s="17">
        <v>137</v>
      </c>
      <c r="D1146" s="142" t="s">
        <v>196</v>
      </c>
      <c r="E1146" s="135">
        <v>0</v>
      </c>
      <c r="F1146" s="135" t="s">
        <v>1297</v>
      </c>
      <c r="G1146" s="135" t="s">
        <v>1298</v>
      </c>
      <c r="H1146" s="19" t="s">
        <v>1142</v>
      </c>
      <c r="I1146" s="17" t="b">
        <v>0</v>
      </c>
      <c r="J1146" s="17" t="s">
        <v>128</v>
      </c>
      <c r="K1146" s="21" t="s">
        <v>1327</v>
      </c>
      <c r="L1146" s="32" t="s">
        <v>1292</v>
      </c>
      <c r="M1146" s="155"/>
      <c r="O1146" s="28" t="s">
        <v>1300</v>
      </c>
      <c r="P1146" s="22">
        <v>-83.291089999999997</v>
      </c>
      <c r="Q1146" s="22">
        <v>-58.100279999999998</v>
      </c>
      <c r="R1146" s="22"/>
      <c r="S1146" s="22">
        <v>353.55794689999999</v>
      </c>
      <c r="T1146" s="22">
        <v>250</v>
      </c>
      <c r="U1146" s="23">
        <v>385</v>
      </c>
      <c r="V1146" s="24" t="s">
        <v>1958</v>
      </c>
      <c r="W1146" s="44" t="s">
        <v>2446</v>
      </c>
      <c r="X1146" s="22"/>
      <c r="Y1146" s="22">
        <v>5</v>
      </c>
      <c r="Z1146" s="22">
        <v>2.6</v>
      </c>
      <c r="AA1146" s="17" t="s">
        <v>73</v>
      </c>
      <c r="AB1146" s="26">
        <v>2283</v>
      </c>
      <c r="AC1146" s="26">
        <v>1033</v>
      </c>
      <c r="AD1146" s="26"/>
      <c r="AE1146" s="27">
        <v>1382791</v>
      </c>
      <c r="AF1146" s="27">
        <v>18590</v>
      </c>
      <c r="AG1146" s="28"/>
      <c r="AH1146" s="28"/>
      <c r="AI1146" s="17">
        <v>2014</v>
      </c>
      <c r="AJ1146" s="17">
        <v>0</v>
      </c>
      <c r="AK1146" s="17">
        <v>1</v>
      </c>
      <c r="AL1146" s="17" t="s">
        <v>1302</v>
      </c>
    </row>
    <row r="1147" spans="1:38" ht="15.75" customHeight="1">
      <c r="A1147" s="32" t="s">
        <v>1326</v>
      </c>
      <c r="B1147" s="19" t="s">
        <v>1324</v>
      </c>
      <c r="C1147" s="17">
        <v>137</v>
      </c>
      <c r="D1147" s="142" t="s">
        <v>196</v>
      </c>
      <c r="E1147" s="135">
        <v>0</v>
      </c>
      <c r="F1147" s="135" t="s">
        <v>1297</v>
      </c>
      <c r="G1147" s="135" t="s">
        <v>1298</v>
      </c>
      <c r="H1147" s="19" t="s">
        <v>1142</v>
      </c>
      <c r="I1147" s="17" t="b">
        <v>0</v>
      </c>
      <c r="J1147" s="17" t="s">
        <v>128</v>
      </c>
      <c r="K1147" s="21" t="s">
        <v>1327</v>
      </c>
      <c r="L1147" s="32" t="s">
        <v>1292</v>
      </c>
      <c r="M1147" s="155"/>
      <c r="O1147" s="28" t="s">
        <v>1300</v>
      </c>
      <c r="P1147" s="22">
        <v>-83.291089999999997</v>
      </c>
      <c r="Q1147" s="22">
        <v>-58.100279999999998</v>
      </c>
      <c r="R1147" s="22"/>
      <c r="S1147" s="22">
        <v>353.55794689999999</v>
      </c>
      <c r="T1147" s="22">
        <v>250</v>
      </c>
      <c r="U1147" s="23">
        <v>385</v>
      </c>
      <c r="V1147" s="24" t="s">
        <v>1959</v>
      </c>
      <c r="W1147" s="44" t="s">
        <v>2446</v>
      </c>
      <c r="X1147" s="22"/>
      <c r="Y1147" s="22">
        <v>5</v>
      </c>
      <c r="Z1147" s="22">
        <v>2.6</v>
      </c>
      <c r="AA1147" s="17" t="s">
        <v>73</v>
      </c>
      <c r="AB1147" s="26">
        <v>3407</v>
      </c>
      <c r="AC1147" s="26">
        <v>695</v>
      </c>
      <c r="AD1147" s="26"/>
      <c r="AE1147" s="27">
        <v>1382791</v>
      </c>
      <c r="AF1147" s="27">
        <v>18590</v>
      </c>
      <c r="AG1147" s="28"/>
      <c r="AH1147" s="28"/>
      <c r="AI1147" s="17">
        <v>2014</v>
      </c>
      <c r="AJ1147" s="17">
        <v>0</v>
      </c>
      <c r="AK1147" s="17">
        <v>1</v>
      </c>
      <c r="AL1147" s="17" t="s">
        <v>1302</v>
      </c>
    </row>
    <row r="1148" spans="1:38" ht="15.75" customHeight="1">
      <c r="A1148" s="32" t="s">
        <v>1326</v>
      </c>
      <c r="B1148" s="19" t="s">
        <v>1324</v>
      </c>
      <c r="C1148" s="17">
        <v>137</v>
      </c>
      <c r="D1148" s="142" t="s">
        <v>196</v>
      </c>
      <c r="E1148" s="135">
        <v>0</v>
      </c>
      <c r="F1148" s="135" t="s">
        <v>1297</v>
      </c>
      <c r="G1148" s="135" t="s">
        <v>1298</v>
      </c>
      <c r="H1148" s="19" t="s">
        <v>1142</v>
      </c>
      <c r="I1148" s="17" t="b">
        <v>0</v>
      </c>
      <c r="J1148" s="17" t="s">
        <v>128</v>
      </c>
      <c r="K1148" s="21" t="s">
        <v>1327</v>
      </c>
      <c r="L1148" s="32" t="s">
        <v>1292</v>
      </c>
      <c r="M1148" s="155"/>
      <c r="O1148" s="28" t="s">
        <v>1300</v>
      </c>
      <c r="P1148" s="22">
        <v>-83.291089999999997</v>
      </c>
      <c r="Q1148" s="22">
        <v>-58.100279999999998</v>
      </c>
      <c r="R1148" s="22"/>
      <c r="S1148" s="22">
        <v>353.55794689999999</v>
      </c>
      <c r="T1148" s="22">
        <v>250</v>
      </c>
      <c r="U1148" s="23">
        <v>385</v>
      </c>
      <c r="V1148" s="24" t="s">
        <v>1960</v>
      </c>
      <c r="W1148" s="44" t="s">
        <v>2446</v>
      </c>
      <c r="X1148" s="22"/>
      <c r="Y1148" s="22">
        <v>5</v>
      </c>
      <c r="Z1148" s="22">
        <v>2.6</v>
      </c>
      <c r="AA1148" s="17" t="s">
        <v>73</v>
      </c>
      <c r="AB1148" s="26">
        <v>3790</v>
      </c>
      <c r="AC1148" s="26">
        <v>658</v>
      </c>
      <c r="AD1148" s="26"/>
      <c r="AE1148" s="27">
        <v>1382791</v>
      </c>
      <c r="AF1148" s="27">
        <v>18590</v>
      </c>
      <c r="AG1148" s="28"/>
      <c r="AH1148" s="28"/>
      <c r="AI1148" s="17">
        <v>2014</v>
      </c>
      <c r="AJ1148" s="17">
        <v>0</v>
      </c>
      <c r="AK1148" s="17">
        <v>1</v>
      </c>
      <c r="AL1148" s="17" t="s">
        <v>1302</v>
      </c>
    </row>
    <row r="1149" spans="1:38" ht="15.75" customHeight="1">
      <c r="A1149" s="32" t="s">
        <v>1326</v>
      </c>
      <c r="B1149" s="19" t="s">
        <v>1324</v>
      </c>
      <c r="C1149" s="17">
        <v>137</v>
      </c>
      <c r="D1149" s="142" t="s">
        <v>196</v>
      </c>
      <c r="E1149" s="135">
        <v>0</v>
      </c>
      <c r="F1149" s="135" t="s">
        <v>1297</v>
      </c>
      <c r="G1149" s="135" t="s">
        <v>1298</v>
      </c>
      <c r="H1149" s="19" t="s">
        <v>1142</v>
      </c>
      <c r="I1149" s="17" t="b">
        <v>0</v>
      </c>
      <c r="J1149" s="17" t="s">
        <v>247</v>
      </c>
      <c r="K1149" s="21" t="s">
        <v>1327</v>
      </c>
      <c r="L1149" s="32" t="s">
        <v>1292</v>
      </c>
      <c r="M1149" s="155"/>
      <c r="O1149" s="28" t="s">
        <v>1300</v>
      </c>
      <c r="P1149" s="22">
        <v>-83.291089999999997</v>
      </c>
      <c r="Q1149" s="22">
        <v>-58.100279999999998</v>
      </c>
      <c r="R1149" s="22"/>
      <c r="S1149" s="22">
        <v>353.55794689999999</v>
      </c>
      <c r="T1149" s="22">
        <v>250</v>
      </c>
      <c r="U1149" s="23">
        <v>385</v>
      </c>
      <c r="V1149" s="24" t="s">
        <v>1961</v>
      </c>
      <c r="W1149" s="44" t="s">
        <v>2446</v>
      </c>
      <c r="X1149" s="22">
        <f>S1149-T1149</f>
        <v>103.55794689999999</v>
      </c>
      <c r="Y1149" s="22">
        <v>5</v>
      </c>
      <c r="Z1149" s="22">
        <v>2.6</v>
      </c>
      <c r="AA1149" s="17" t="s">
        <v>73</v>
      </c>
      <c r="AB1149" s="26">
        <v>5758</v>
      </c>
      <c r="AC1149" s="26">
        <v>147</v>
      </c>
      <c r="AD1149" s="26">
        <v>441</v>
      </c>
      <c r="AE1149" s="27">
        <v>1382791</v>
      </c>
      <c r="AF1149" s="27">
        <v>18590</v>
      </c>
      <c r="AG1149" s="28"/>
      <c r="AH1149" s="28"/>
      <c r="AI1149" s="17">
        <v>2014</v>
      </c>
      <c r="AJ1149" s="17">
        <v>0</v>
      </c>
      <c r="AK1149" s="17">
        <v>0</v>
      </c>
      <c r="AL1149" s="17" t="s">
        <v>1306</v>
      </c>
    </row>
    <row r="1150" spans="1:38" ht="15.75" customHeight="1">
      <c r="A1150" s="32" t="s">
        <v>1328</v>
      </c>
      <c r="B1150" s="19" t="s">
        <v>1324</v>
      </c>
      <c r="C1150" s="17">
        <v>137</v>
      </c>
      <c r="D1150" s="142" t="s">
        <v>196</v>
      </c>
      <c r="E1150" s="135">
        <v>0</v>
      </c>
      <c r="F1150" s="19" t="s">
        <v>1140</v>
      </c>
      <c r="G1150" s="19" t="s">
        <v>1308</v>
      </c>
      <c r="H1150" s="19" t="s">
        <v>1142</v>
      </c>
      <c r="I1150" s="17" t="b">
        <v>0</v>
      </c>
      <c r="J1150" s="17" t="s">
        <v>128</v>
      </c>
      <c r="K1150" s="21" t="s">
        <v>1329</v>
      </c>
      <c r="L1150" s="32" t="s">
        <v>1292</v>
      </c>
      <c r="M1150" s="155"/>
      <c r="O1150" s="17" t="s">
        <v>1310</v>
      </c>
      <c r="P1150" s="22">
        <v>-83.293760000000006</v>
      </c>
      <c r="Q1150" s="22">
        <v>-58.109259999999999</v>
      </c>
      <c r="R1150" s="22"/>
      <c r="S1150" s="22">
        <v>295.88551740000003</v>
      </c>
      <c r="T1150" s="22">
        <v>250</v>
      </c>
      <c r="U1150" s="23">
        <v>385</v>
      </c>
      <c r="V1150" s="24" t="s">
        <v>1962</v>
      </c>
      <c r="W1150" s="44" t="s">
        <v>2446</v>
      </c>
      <c r="X1150" s="22"/>
      <c r="Y1150" s="22">
        <v>4</v>
      </c>
      <c r="Z1150" s="22">
        <v>2.5</v>
      </c>
      <c r="AA1150" s="17" t="s">
        <v>73</v>
      </c>
      <c r="AB1150" s="26">
        <v>562</v>
      </c>
      <c r="AC1150" s="26">
        <v>1413</v>
      </c>
      <c r="AD1150" s="26"/>
      <c r="AE1150" s="27">
        <v>898613</v>
      </c>
      <c r="AF1150" s="27">
        <v>15057</v>
      </c>
      <c r="AG1150" s="28"/>
      <c r="AH1150" s="28"/>
      <c r="AI1150" s="17">
        <v>2014</v>
      </c>
      <c r="AJ1150" s="17">
        <v>0</v>
      </c>
      <c r="AK1150" s="17">
        <v>1</v>
      </c>
      <c r="AL1150" s="17" t="s">
        <v>1302</v>
      </c>
    </row>
    <row r="1151" spans="1:38" ht="15.75" customHeight="1">
      <c r="A1151" s="32" t="s">
        <v>1328</v>
      </c>
      <c r="B1151" s="19" t="s">
        <v>1324</v>
      </c>
      <c r="C1151" s="17">
        <v>137</v>
      </c>
      <c r="D1151" s="142" t="s">
        <v>196</v>
      </c>
      <c r="E1151" s="135">
        <v>0</v>
      </c>
      <c r="F1151" s="19" t="s">
        <v>1140</v>
      </c>
      <c r="G1151" s="19" t="s">
        <v>1308</v>
      </c>
      <c r="H1151" s="19" t="s">
        <v>1142</v>
      </c>
      <c r="I1151" s="17" t="b">
        <v>0</v>
      </c>
      <c r="J1151" s="17" t="s">
        <v>128</v>
      </c>
      <c r="K1151" s="21" t="s">
        <v>1329</v>
      </c>
      <c r="L1151" s="32" t="s">
        <v>1292</v>
      </c>
      <c r="M1151" s="155"/>
      <c r="O1151" s="17" t="s">
        <v>1310</v>
      </c>
      <c r="P1151" s="22">
        <v>-83.293760000000006</v>
      </c>
      <c r="Q1151" s="22">
        <v>-58.109259999999999</v>
      </c>
      <c r="R1151" s="22"/>
      <c r="S1151" s="22">
        <v>295.88551740000003</v>
      </c>
      <c r="T1151" s="22">
        <v>250</v>
      </c>
      <c r="U1151" s="23">
        <v>385</v>
      </c>
      <c r="V1151" s="24" t="s">
        <v>1963</v>
      </c>
      <c r="W1151" s="44" t="s">
        <v>2446</v>
      </c>
      <c r="X1151" s="22"/>
      <c r="Y1151" s="22">
        <v>4</v>
      </c>
      <c r="Z1151" s="22">
        <v>2.5</v>
      </c>
      <c r="AA1151" s="17" t="s">
        <v>73</v>
      </c>
      <c r="AB1151" s="26">
        <v>1090</v>
      </c>
      <c r="AC1151" s="26">
        <v>1552</v>
      </c>
      <c r="AD1151" s="26"/>
      <c r="AE1151" s="27">
        <v>898613</v>
      </c>
      <c r="AF1151" s="27">
        <v>15057</v>
      </c>
      <c r="AG1151" s="28"/>
      <c r="AH1151" s="28"/>
      <c r="AI1151" s="17">
        <v>2014</v>
      </c>
      <c r="AJ1151" s="17">
        <v>0</v>
      </c>
      <c r="AK1151" s="17">
        <v>1</v>
      </c>
      <c r="AL1151" s="17" t="s">
        <v>1302</v>
      </c>
    </row>
    <row r="1152" spans="1:38" ht="15.75" customHeight="1">
      <c r="A1152" s="32" t="s">
        <v>1328</v>
      </c>
      <c r="B1152" s="19" t="s">
        <v>1324</v>
      </c>
      <c r="C1152" s="17">
        <v>137</v>
      </c>
      <c r="D1152" s="142" t="s">
        <v>196</v>
      </c>
      <c r="E1152" s="135">
        <v>0</v>
      </c>
      <c r="F1152" s="19" t="s">
        <v>1140</v>
      </c>
      <c r="G1152" s="19" t="s">
        <v>1308</v>
      </c>
      <c r="H1152" s="19" t="s">
        <v>1142</v>
      </c>
      <c r="I1152" s="17" t="b">
        <v>0</v>
      </c>
      <c r="J1152" s="17" t="s">
        <v>128</v>
      </c>
      <c r="K1152" s="21" t="s">
        <v>1329</v>
      </c>
      <c r="L1152" s="32" t="s">
        <v>1292</v>
      </c>
      <c r="M1152" s="155"/>
      <c r="O1152" s="17" t="s">
        <v>1310</v>
      </c>
      <c r="P1152" s="22">
        <v>-83.293760000000006</v>
      </c>
      <c r="Q1152" s="22">
        <v>-58.109259999999999</v>
      </c>
      <c r="R1152" s="22"/>
      <c r="S1152" s="22">
        <v>295.88551740000003</v>
      </c>
      <c r="T1152" s="22">
        <v>250</v>
      </c>
      <c r="U1152" s="23">
        <v>385</v>
      </c>
      <c r="V1152" s="24" t="s">
        <v>1964</v>
      </c>
      <c r="W1152" s="44" t="s">
        <v>2446</v>
      </c>
      <c r="X1152" s="22"/>
      <c r="Y1152" s="22">
        <v>4</v>
      </c>
      <c r="Z1152" s="22">
        <v>2.5</v>
      </c>
      <c r="AA1152" s="17" t="s">
        <v>73</v>
      </c>
      <c r="AB1152" s="26">
        <v>1259</v>
      </c>
      <c r="AC1152" s="26">
        <v>574</v>
      </c>
      <c r="AD1152" s="26"/>
      <c r="AE1152" s="27">
        <v>898613</v>
      </c>
      <c r="AF1152" s="27">
        <v>15057</v>
      </c>
      <c r="AG1152" s="28"/>
      <c r="AH1152" s="28"/>
      <c r="AI1152" s="17">
        <v>2014</v>
      </c>
      <c r="AJ1152" s="17">
        <v>0</v>
      </c>
      <c r="AK1152" s="17">
        <v>1</v>
      </c>
      <c r="AL1152" s="17" t="s">
        <v>1302</v>
      </c>
    </row>
    <row r="1153" spans="1:38" ht="15.75" customHeight="1">
      <c r="A1153" s="32" t="s">
        <v>1328</v>
      </c>
      <c r="B1153" s="19" t="s">
        <v>1324</v>
      </c>
      <c r="C1153" s="17">
        <v>137</v>
      </c>
      <c r="D1153" s="142" t="s">
        <v>196</v>
      </c>
      <c r="E1153" s="135">
        <v>0</v>
      </c>
      <c r="F1153" s="19" t="s">
        <v>1140</v>
      </c>
      <c r="G1153" s="19" t="s">
        <v>1308</v>
      </c>
      <c r="H1153" s="19" t="s">
        <v>1142</v>
      </c>
      <c r="I1153" s="17" t="b">
        <v>0</v>
      </c>
      <c r="J1153" s="17" t="s">
        <v>128</v>
      </c>
      <c r="K1153" s="21" t="s">
        <v>1329</v>
      </c>
      <c r="L1153" s="32" t="s">
        <v>1292</v>
      </c>
      <c r="M1153" s="155"/>
      <c r="O1153" s="17" t="s">
        <v>1310</v>
      </c>
      <c r="P1153" s="22">
        <v>-83.293760000000006</v>
      </c>
      <c r="Q1153" s="22">
        <v>-58.109259999999999</v>
      </c>
      <c r="R1153" s="22"/>
      <c r="S1153" s="22">
        <v>295.88551740000003</v>
      </c>
      <c r="T1153" s="22">
        <v>250</v>
      </c>
      <c r="U1153" s="23">
        <v>385</v>
      </c>
      <c r="V1153" s="24" t="s">
        <v>1965</v>
      </c>
      <c r="W1153" s="44" t="s">
        <v>2446</v>
      </c>
      <c r="X1153" s="22"/>
      <c r="Y1153" s="22">
        <v>4</v>
      </c>
      <c r="Z1153" s="22">
        <v>2.5</v>
      </c>
      <c r="AA1153" s="17" t="s">
        <v>73</v>
      </c>
      <c r="AB1153" s="26">
        <v>1799</v>
      </c>
      <c r="AC1153" s="26">
        <v>739</v>
      </c>
      <c r="AD1153" s="26"/>
      <c r="AE1153" s="27">
        <v>898613</v>
      </c>
      <c r="AF1153" s="27">
        <v>15057</v>
      </c>
      <c r="AG1153" s="28"/>
      <c r="AH1153" s="28"/>
      <c r="AI1153" s="17">
        <v>2014</v>
      </c>
      <c r="AJ1153" s="17">
        <v>0</v>
      </c>
      <c r="AK1153" s="17">
        <v>1</v>
      </c>
      <c r="AL1153" s="17" t="s">
        <v>1302</v>
      </c>
    </row>
    <row r="1154" spans="1:38" ht="15.75" customHeight="1">
      <c r="A1154" s="32" t="s">
        <v>1330</v>
      </c>
      <c r="B1154" s="19" t="s">
        <v>1324</v>
      </c>
      <c r="C1154" s="17">
        <v>137</v>
      </c>
      <c r="D1154" s="142" t="s">
        <v>196</v>
      </c>
      <c r="E1154" s="135">
        <v>0</v>
      </c>
      <c r="F1154" s="135" t="s">
        <v>1297</v>
      </c>
      <c r="G1154" s="135" t="s">
        <v>1298</v>
      </c>
      <c r="H1154" s="19" t="s">
        <v>1142</v>
      </c>
      <c r="I1154" s="17" t="b">
        <v>0</v>
      </c>
      <c r="J1154" s="17" t="s">
        <v>128</v>
      </c>
      <c r="K1154" s="21" t="s">
        <v>1331</v>
      </c>
      <c r="L1154" s="32" t="s">
        <v>1292</v>
      </c>
      <c r="M1154" s="155"/>
      <c r="O1154" s="28" t="s">
        <v>1300</v>
      </c>
      <c r="P1154" s="22">
        <v>-83.296419999999998</v>
      </c>
      <c r="Q1154" s="22">
        <v>-58.129069999999999</v>
      </c>
      <c r="R1154" s="22"/>
      <c r="S1154" s="22">
        <v>256.07104820000001</v>
      </c>
      <c r="T1154" s="22">
        <v>250</v>
      </c>
      <c r="U1154" s="23">
        <v>385</v>
      </c>
      <c r="V1154" s="24" t="s">
        <v>1966</v>
      </c>
      <c r="W1154" s="44" t="s">
        <v>2446</v>
      </c>
      <c r="X1154" s="22"/>
      <c r="Y1154" s="22">
        <v>7</v>
      </c>
      <c r="Z1154" s="22">
        <v>2.6</v>
      </c>
      <c r="AA1154" s="17" t="s">
        <v>73</v>
      </c>
      <c r="AB1154" s="26">
        <v>6691</v>
      </c>
      <c r="AC1154" s="26">
        <v>1261</v>
      </c>
      <c r="AD1154" s="26"/>
      <c r="AE1154" s="27">
        <v>2207229</v>
      </c>
      <c r="AF1154" s="27">
        <v>29597</v>
      </c>
      <c r="AG1154" s="28"/>
      <c r="AH1154" s="28"/>
      <c r="AI1154" s="17">
        <v>2014</v>
      </c>
      <c r="AJ1154" s="17">
        <v>0</v>
      </c>
      <c r="AK1154" s="17">
        <v>1</v>
      </c>
      <c r="AL1154" s="17" t="s">
        <v>1302</v>
      </c>
    </row>
    <row r="1155" spans="1:38" ht="15.75" customHeight="1">
      <c r="A1155" s="32" t="s">
        <v>1332</v>
      </c>
      <c r="B1155" s="19" t="s">
        <v>1324</v>
      </c>
      <c r="C1155" s="17">
        <v>137</v>
      </c>
      <c r="D1155" s="142" t="s">
        <v>196</v>
      </c>
      <c r="E1155" s="135">
        <v>0</v>
      </c>
      <c r="F1155" s="135" t="s">
        <v>1297</v>
      </c>
      <c r="G1155" s="135" t="s">
        <v>1298</v>
      </c>
      <c r="H1155" s="19" t="s">
        <v>1142</v>
      </c>
      <c r="I1155" s="17" t="b">
        <v>0</v>
      </c>
      <c r="J1155" s="17" t="s">
        <v>247</v>
      </c>
      <c r="K1155" s="21" t="s">
        <v>1333</v>
      </c>
      <c r="L1155" s="32" t="s">
        <v>1292</v>
      </c>
      <c r="M1155" s="155"/>
      <c r="O1155" s="28" t="s">
        <v>1300</v>
      </c>
      <c r="P1155" s="22">
        <v>-83.296419999999998</v>
      </c>
      <c r="Q1155" s="22">
        <v>-58.129069999999999</v>
      </c>
      <c r="R1155" s="22"/>
      <c r="S1155" s="22">
        <v>256.07104820000001</v>
      </c>
      <c r="T1155" s="22">
        <v>250</v>
      </c>
      <c r="U1155" s="23">
        <v>385</v>
      </c>
      <c r="V1155" s="24" t="s">
        <v>1967</v>
      </c>
      <c r="W1155" s="44" t="s">
        <v>2446</v>
      </c>
      <c r="X1155" s="22">
        <f>S1155-T1155</f>
        <v>6.071048200000007</v>
      </c>
      <c r="Y1155" s="22">
        <v>5</v>
      </c>
      <c r="Z1155" s="22">
        <v>2.5</v>
      </c>
      <c r="AA1155" s="17" t="s">
        <v>51</v>
      </c>
      <c r="AB1155" s="26">
        <v>1082</v>
      </c>
      <c r="AC1155" s="26">
        <v>54</v>
      </c>
      <c r="AD1155" s="26">
        <v>79</v>
      </c>
      <c r="AE1155" s="27">
        <v>1442069</v>
      </c>
      <c r="AF1155" s="27">
        <v>19405</v>
      </c>
      <c r="AG1155" s="28"/>
      <c r="AH1155" s="28"/>
      <c r="AI1155" s="17">
        <v>2014</v>
      </c>
      <c r="AJ1155" s="17">
        <v>0</v>
      </c>
      <c r="AK1155" s="17">
        <v>0</v>
      </c>
      <c r="AL1155" s="17" t="s">
        <v>1306</v>
      </c>
    </row>
    <row r="1156" spans="1:38" ht="15.75" customHeight="1">
      <c r="A1156" s="32" t="s">
        <v>1332</v>
      </c>
      <c r="B1156" s="19" t="s">
        <v>1324</v>
      </c>
      <c r="C1156" s="17">
        <v>137</v>
      </c>
      <c r="D1156" s="142" t="s">
        <v>196</v>
      </c>
      <c r="E1156" s="135">
        <v>0</v>
      </c>
      <c r="F1156" s="135" t="s">
        <v>1297</v>
      </c>
      <c r="G1156" s="135" t="s">
        <v>1298</v>
      </c>
      <c r="H1156" s="19" t="s">
        <v>1142</v>
      </c>
      <c r="I1156" s="17" t="b">
        <v>0</v>
      </c>
      <c r="J1156" s="17" t="s">
        <v>128</v>
      </c>
      <c r="K1156" s="21" t="s">
        <v>1333</v>
      </c>
      <c r="L1156" s="32" t="s">
        <v>1292</v>
      </c>
      <c r="M1156" s="155"/>
      <c r="O1156" s="28" t="s">
        <v>1300</v>
      </c>
      <c r="P1156" s="22">
        <v>-83.296419999999998</v>
      </c>
      <c r="Q1156" s="22">
        <v>-58.129069999999999</v>
      </c>
      <c r="R1156" s="22"/>
      <c r="S1156" s="22">
        <v>256.07104820000001</v>
      </c>
      <c r="T1156" s="22">
        <v>250</v>
      </c>
      <c r="U1156" s="23">
        <v>385</v>
      </c>
      <c r="V1156" s="24" t="s">
        <v>1968</v>
      </c>
      <c r="W1156" s="44" t="s">
        <v>2446</v>
      </c>
      <c r="X1156" s="22"/>
      <c r="Y1156" s="22">
        <v>5</v>
      </c>
      <c r="Z1156" s="22">
        <v>2.5</v>
      </c>
      <c r="AA1156" s="17" t="s">
        <v>51</v>
      </c>
      <c r="AB1156" s="26">
        <v>5236</v>
      </c>
      <c r="AC1156" s="26">
        <v>938</v>
      </c>
      <c r="AD1156" s="26"/>
      <c r="AE1156" s="27">
        <v>1442069</v>
      </c>
      <c r="AF1156" s="27">
        <v>19405</v>
      </c>
      <c r="AG1156" s="28"/>
      <c r="AH1156" s="28"/>
      <c r="AI1156" s="17">
        <v>2014</v>
      </c>
      <c r="AJ1156" s="17">
        <v>0</v>
      </c>
      <c r="AK1156" s="17">
        <v>1</v>
      </c>
      <c r="AL1156" s="17" t="s">
        <v>1302</v>
      </c>
    </row>
    <row r="1157" spans="1:38" ht="15.75" customHeight="1">
      <c r="A1157" s="32" t="s">
        <v>1332</v>
      </c>
      <c r="B1157" s="19" t="s">
        <v>1324</v>
      </c>
      <c r="C1157" s="17">
        <v>137</v>
      </c>
      <c r="D1157" s="142" t="s">
        <v>196</v>
      </c>
      <c r="E1157" s="135">
        <v>0</v>
      </c>
      <c r="F1157" s="135" t="s">
        <v>1297</v>
      </c>
      <c r="G1157" s="135" t="s">
        <v>1298</v>
      </c>
      <c r="H1157" s="19" t="s">
        <v>1142</v>
      </c>
      <c r="I1157" s="17" t="b">
        <v>0</v>
      </c>
      <c r="J1157" s="17" t="s">
        <v>128</v>
      </c>
      <c r="K1157" s="21" t="s">
        <v>1333</v>
      </c>
      <c r="L1157" s="32" t="s">
        <v>1292</v>
      </c>
      <c r="M1157" s="155"/>
      <c r="O1157" s="28" t="s">
        <v>1300</v>
      </c>
      <c r="P1157" s="22">
        <v>-83.296419999999998</v>
      </c>
      <c r="Q1157" s="22">
        <v>-58.129069999999999</v>
      </c>
      <c r="R1157" s="22"/>
      <c r="S1157" s="22">
        <v>256.07104820000001</v>
      </c>
      <c r="T1157" s="22">
        <v>250</v>
      </c>
      <c r="U1157" s="23">
        <v>385</v>
      </c>
      <c r="V1157" s="24" t="s">
        <v>1969</v>
      </c>
      <c r="W1157" s="44" t="s">
        <v>2446</v>
      </c>
      <c r="X1157" s="22"/>
      <c r="Y1157" s="22">
        <v>5</v>
      </c>
      <c r="Z1157" s="22">
        <v>2.5</v>
      </c>
      <c r="AA1157" s="17" t="s">
        <v>51</v>
      </c>
      <c r="AB1157" s="26">
        <v>5333</v>
      </c>
      <c r="AC1157" s="26">
        <v>1411</v>
      </c>
      <c r="AD1157" s="26"/>
      <c r="AE1157" s="27">
        <v>1442069</v>
      </c>
      <c r="AF1157" s="27">
        <v>19405</v>
      </c>
      <c r="AG1157" s="28"/>
      <c r="AH1157" s="28"/>
      <c r="AI1157" s="17">
        <v>2014</v>
      </c>
      <c r="AJ1157" s="17">
        <v>0</v>
      </c>
      <c r="AK1157" s="17">
        <v>1</v>
      </c>
      <c r="AL1157" s="17" t="s">
        <v>1302</v>
      </c>
    </row>
    <row r="1158" spans="1:38" ht="12.75" customHeight="1">
      <c r="A1158" s="49" t="s">
        <v>1334</v>
      </c>
      <c r="B1158" s="33" t="s">
        <v>1335</v>
      </c>
      <c r="C1158" s="27">
        <v>138</v>
      </c>
      <c r="D1158" s="142" t="s">
        <v>196</v>
      </c>
      <c r="E1158" s="33">
        <v>0</v>
      </c>
      <c r="F1158" s="33" t="s">
        <v>1336</v>
      </c>
      <c r="G1158" s="33" t="s">
        <v>1337</v>
      </c>
      <c r="H1158" s="33" t="s">
        <v>1142</v>
      </c>
      <c r="I1158" s="17" t="b">
        <v>1</v>
      </c>
      <c r="K1158" s="21" t="str">
        <f t="shared" ref="K1158:K1311" si="28">CONCATENATE("https://version2.ice-d.org/antarctica/sample/", A1158, "/")</f>
        <v>https://version2.ice-d.org/antarctica/sample/OBN-05-122/</v>
      </c>
      <c r="L1158" s="49" t="s">
        <v>39</v>
      </c>
      <c r="M1158" s="49" t="s">
        <v>44</v>
      </c>
      <c r="O1158" s="17" t="s">
        <v>1338</v>
      </c>
      <c r="P1158" s="22">
        <v>-84.788416670000004</v>
      </c>
      <c r="Q1158" s="22">
        <v>-116.38995</v>
      </c>
      <c r="R1158" s="22"/>
      <c r="S1158" s="22">
        <v>1410</v>
      </c>
      <c r="T1158" s="22"/>
      <c r="U1158" s="23">
        <v>190</v>
      </c>
      <c r="V1158" s="151" t="s">
        <v>2437</v>
      </c>
      <c r="W1158" s="44" t="s">
        <v>2438</v>
      </c>
      <c r="X1158" s="22"/>
      <c r="Y1158" s="22">
        <v>2</v>
      </c>
      <c r="Z1158" s="22">
        <v>2.7</v>
      </c>
      <c r="AA1158" s="17" t="s">
        <v>73</v>
      </c>
      <c r="AB1158" s="26">
        <v>18566</v>
      </c>
      <c r="AC1158" s="26">
        <v>472</v>
      </c>
      <c r="AD1158" s="26"/>
      <c r="AE1158" s="27">
        <v>1820000</v>
      </c>
      <c r="AF1158" s="27">
        <v>90000</v>
      </c>
      <c r="AG1158" s="28"/>
      <c r="AH1158" s="28"/>
      <c r="AI1158" s="17">
        <v>2005</v>
      </c>
      <c r="AJ1158" s="17">
        <v>0</v>
      </c>
      <c r="AK1158" s="34">
        <v>1</v>
      </c>
      <c r="AL1158" s="17" t="s">
        <v>1339</v>
      </c>
    </row>
    <row r="1159" spans="1:38" ht="12.75" customHeight="1">
      <c r="A1159" s="52" t="s">
        <v>1340</v>
      </c>
      <c r="B1159" s="33" t="s">
        <v>1341</v>
      </c>
      <c r="C1159" s="27">
        <v>138</v>
      </c>
      <c r="D1159" s="142" t="s">
        <v>196</v>
      </c>
      <c r="E1159" s="33">
        <v>0</v>
      </c>
      <c r="F1159" s="33" t="s">
        <v>1336</v>
      </c>
      <c r="G1159" s="33" t="s">
        <v>1337</v>
      </c>
      <c r="H1159" s="33" t="s">
        <v>1142</v>
      </c>
      <c r="I1159" s="17" t="b">
        <v>1</v>
      </c>
      <c r="K1159" s="21" t="str">
        <f t="shared" si="28"/>
        <v>https://version2.ice-d.org/antarctica/sample/ODR-05-030A/</v>
      </c>
      <c r="L1159" s="52" t="s">
        <v>39</v>
      </c>
      <c r="M1159" s="167" t="s">
        <v>44</v>
      </c>
      <c r="O1159" s="17" t="s">
        <v>1338</v>
      </c>
      <c r="P1159" s="22">
        <v>-84.751549999999995</v>
      </c>
      <c r="Q1159" s="22">
        <v>-115.79445</v>
      </c>
      <c r="R1159" s="22"/>
      <c r="S1159" s="22">
        <v>1665</v>
      </c>
      <c r="T1159" s="22"/>
      <c r="U1159" s="23">
        <v>190</v>
      </c>
      <c r="V1159" s="151" t="s">
        <v>2437</v>
      </c>
      <c r="W1159" s="44" t="s">
        <v>2438</v>
      </c>
      <c r="X1159" s="22"/>
      <c r="Y1159" s="22">
        <v>2.5</v>
      </c>
      <c r="Z1159" s="22">
        <v>2.7</v>
      </c>
      <c r="AA1159" s="17" t="s">
        <v>73</v>
      </c>
      <c r="AB1159" s="26">
        <v>14217</v>
      </c>
      <c r="AC1159" s="26">
        <v>333</v>
      </c>
      <c r="AD1159" s="26"/>
      <c r="AE1159" s="27">
        <v>800000</v>
      </c>
      <c r="AF1159" s="27">
        <v>30000</v>
      </c>
      <c r="AG1159" s="28"/>
      <c r="AH1159" s="28"/>
      <c r="AI1159" s="17">
        <v>2005</v>
      </c>
      <c r="AJ1159" s="17">
        <v>0</v>
      </c>
      <c r="AK1159" s="34">
        <v>1</v>
      </c>
      <c r="AL1159" s="17" t="s">
        <v>1339</v>
      </c>
    </row>
    <row r="1160" spans="1:38" ht="12.75" customHeight="1">
      <c r="A1160" s="52" t="s">
        <v>1342</v>
      </c>
      <c r="B1160" s="33" t="s">
        <v>1341</v>
      </c>
      <c r="C1160" s="27">
        <v>138</v>
      </c>
      <c r="D1160" s="142" t="s">
        <v>196</v>
      </c>
      <c r="E1160" s="33">
        <v>0</v>
      </c>
      <c r="F1160" s="33" t="s">
        <v>1336</v>
      </c>
      <c r="G1160" s="33" t="s">
        <v>1337</v>
      </c>
      <c r="H1160" s="33" t="s">
        <v>1142</v>
      </c>
      <c r="I1160" s="17" t="b">
        <v>1</v>
      </c>
      <c r="K1160" s="21" t="str">
        <f t="shared" si="28"/>
        <v>https://version2.ice-d.org/antarctica/sample/ODR-05-030B/</v>
      </c>
      <c r="L1160" s="52" t="s">
        <v>39</v>
      </c>
      <c r="M1160" s="155"/>
      <c r="O1160" s="28" t="s">
        <v>1343</v>
      </c>
      <c r="P1160" s="22">
        <v>-84.751549999999995</v>
      </c>
      <c r="Q1160" s="22">
        <v>-115.79445</v>
      </c>
      <c r="R1160" s="22"/>
      <c r="S1160" s="22">
        <v>1665</v>
      </c>
      <c r="T1160" s="22"/>
      <c r="U1160" s="23">
        <v>190</v>
      </c>
      <c r="V1160" s="151" t="s">
        <v>2437</v>
      </c>
      <c r="W1160" s="44" t="s">
        <v>2438</v>
      </c>
      <c r="X1160" s="22"/>
      <c r="Y1160" s="22">
        <v>2.5</v>
      </c>
      <c r="Z1160" s="22">
        <v>2.7</v>
      </c>
      <c r="AA1160" s="17" t="s">
        <v>73</v>
      </c>
      <c r="AB1160" s="26">
        <v>10299</v>
      </c>
      <c r="AC1160" s="26">
        <v>305</v>
      </c>
      <c r="AD1160" s="26"/>
      <c r="AE1160" s="27">
        <v>300000</v>
      </c>
      <c r="AF1160" s="27">
        <v>10000</v>
      </c>
      <c r="AG1160" s="28"/>
      <c r="AH1160" s="28"/>
      <c r="AI1160" s="17">
        <v>2005</v>
      </c>
      <c r="AJ1160" s="17">
        <v>0</v>
      </c>
      <c r="AK1160" s="34">
        <v>1</v>
      </c>
      <c r="AL1160" s="17" t="s">
        <v>1339</v>
      </c>
    </row>
    <row r="1161" spans="1:38" ht="12.75" customHeight="1">
      <c r="A1161" s="52" t="s">
        <v>1342</v>
      </c>
      <c r="B1161" s="33" t="s">
        <v>1341</v>
      </c>
      <c r="C1161" s="27">
        <v>138</v>
      </c>
      <c r="D1161" s="142" t="s">
        <v>196</v>
      </c>
      <c r="E1161" s="33">
        <v>0</v>
      </c>
      <c r="F1161" s="33" t="s">
        <v>1336</v>
      </c>
      <c r="G1161" s="33" t="s">
        <v>1337</v>
      </c>
      <c r="H1161" s="33" t="s">
        <v>1142</v>
      </c>
      <c r="I1161" s="17" t="b">
        <v>1</v>
      </c>
      <c r="K1161" s="21" t="str">
        <f t="shared" si="28"/>
        <v>https://version2.ice-d.org/antarctica/sample/ODR-05-030B/</v>
      </c>
      <c r="L1161" s="52" t="s">
        <v>39</v>
      </c>
      <c r="M1161" s="155"/>
      <c r="O1161" s="28" t="s">
        <v>1343</v>
      </c>
      <c r="P1161" s="22">
        <v>-84.751549999999995</v>
      </c>
      <c r="Q1161" s="22">
        <v>-115.79445</v>
      </c>
      <c r="R1161" s="22"/>
      <c r="S1161" s="22">
        <v>1665</v>
      </c>
      <c r="T1161" s="22"/>
      <c r="U1161" s="23">
        <v>190</v>
      </c>
      <c r="V1161" s="151" t="s">
        <v>2437</v>
      </c>
      <c r="W1161" s="44" t="s">
        <v>2438</v>
      </c>
      <c r="X1161" s="22"/>
      <c r="Y1161" s="22">
        <v>2.5</v>
      </c>
      <c r="Z1161" s="22">
        <v>2.7</v>
      </c>
      <c r="AA1161" s="17" t="s">
        <v>73</v>
      </c>
      <c r="AB1161" s="26">
        <v>11713</v>
      </c>
      <c r="AC1161" s="26">
        <v>392</v>
      </c>
      <c r="AD1161" s="26"/>
      <c r="AE1161" s="27">
        <v>300000</v>
      </c>
      <c r="AF1161" s="27">
        <v>10000</v>
      </c>
      <c r="AG1161" s="28"/>
      <c r="AH1161" s="28"/>
      <c r="AI1161" s="17">
        <v>2005</v>
      </c>
      <c r="AJ1161" s="17">
        <v>0</v>
      </c>
      <c r="AK1161" s="34">
        <v>1</v>
      </c>
      <c r="AL1161" s="17" t="s">
        <v>1339</v>
      </c>
    </row>
    <row r="1162" spans="1:38" ht="12.75" customHeight="1">
      <c r="A1162" s="52" t="s">
        <v>1342</v>
      </c>
      <c r="B1162" s="33" t="s">
        <v>1341</v>
      </c>
      <c r="C1162" s="27">
        <v>138</v>
      </c>
      <c r="D1162" s="142" t="s">
        <v>196</v>
      </c>
      <c r="E1162" s="33">
        <v>0</v>
      </c>
      <c r="F1162" s="33" t="s">
        <v>1336</v>
      </c>
      <c r="G1162" s="33" t="s">
        <v>1337</v>
      </c>
      <c r="H1162" s="33" t="s">
        <v>1142</v>
      </c>
      <c r="I1162" s="17" t="b">
        <v>1</v>
      </c>
      <c r="K1162" s="21" t="str">
        <f t="shared" si="28"/>
        <v>https://version2.ice-d.org/antarctica/sample/ODR-05-030B/</v>
      </c>
      <c r="L1162" s="52" t="s">
        <v>39</v>
      </c>
      <c r="M1162" s="155"/>
      <c r="O1162" s="28" t="s">
        <v>1343</v>
      </c>
      <c r="P1162" s="22">
        <v>-84.751549999999995</v>
      </c>
      <c r="Q1162" s="22">
        <v>-115.79445</v>
      </c>
      <c r="R1162" s="22"/>
      <c r="S1162" s="22">
        <v>1665</v>
      </c>
      <c r="T1162" s="22"/>
      <c r="U1162" s="23">
        <v>190</v>
      </c>
      <c r="V1162" s="151" t="s">
        <v>2437</v>
      </c>
      <c r="W1162" s="44" t="s">
        <v>2438</v>
      </c>
      <c r="X1162" s="22"/>
      <c r="Y1162" s="22">
        <v>2.5</v>
      </c>
      <c r="Z1162" s="22">
        <v>2.7</v>
      </c>
      <c r="AA1162" s="17" t="s">
        <v>73</v>
      </c>
      <c r="AB1162" s="26">
        <v>11756</v>
      </c>
      <c r="AC1162" s="26">
        <v>393</v>
      </c>
      <c r="AD1162" s="26"/>
      <c r="AE1162" s="27">
        <v>300000</v>
      </c>
      <c r="AF1162" s="27">
        <v>10000</v>
      </c>
      <c r="AG1162" s="28"/>
      <c r="AH1162" s="28"/>
      <c r="AI1162" s="17">
        <v>2005</v>
      </c>
      <c r="AJ1162" s="17">
        <v>0</v>
      </c>
      <c r="AK1162" s="34">
        <v>1</v>
      </c>
      <c r="AL1162" s="17" t="s">
        <v>1339</v>
      </c>
    </row>
    <row r="1163" spans="1:38" ht="12.75" customHeight="1">
      <c r="A1163" s="54" t="s">
        <v>1344</v>
      </c>
      <c r="B1163" s="33" t="s">
        <v>1345</v>
      </c>
      <c r="C1163" s="27">
        <v>138</v>
      </c>
      <c r="D1163" s="142" t="s">
        <v>196</v>
      </c>
      <c r="E1163" s="33">
        <v>0</v>
      </c>
      <c r="F1163" s="33" t="s">
        <v>1336</v>
      </c>
      <c r="G1163" s="33" t="s">
        <v>1337</v>
      </c>
      <c r="H1163" s="33" t="s">
        <v>1142</v>
      </c>
      <c r="I1163" s="17" t="b">
        <v>1</v>
      </c>
      <c r="K1163" s="21" t="str">
        <f t="shared" si="28"/>
        <v>https://version2.ice-d.org/antarctica/sample/ODY-05-016/</v>
      </c>
      <c r="L1163" s="54" t="s">
        <v>39</v>
      </c>
      <c r="M1163" s="168" t="s">
        <v>44</v>
      </c>
      <c r="O1163" s="28" t="s">
        <v>1343</v>
      </c>
      <c r="P1163" s="22">
        <v>-84.727433329999997</v>
      </c>
      <c r="Q1163" s="22">
        <v>-114.2277833</v>
      </c>
      <c r="R1163" s="22"/>
      <c r="S1163" s="22">
        <v>1682</v>
      </c>
      <c r="T1163" s="22"/>
      <c r="U1163" s="23">
        <v>190</v>
      </c>
      <c r="V1163" s="151" t="s">
        <v>2437</v>
      </c>
      <c r="W1163" s="44" t="s">
        <v>2438</v>
      </c>
      <c r="X1163" s="22"/>
      <c r="Y1163" s="22">
        <v>3</v>
      </c>
      <c r="Z1163" s="22">
        <v>2.7</v>
      </c>
      <c r="AA1163" s="17" t="s">
        <v>73</v>
      </c>
      <c r="AB1163" s="26">
        <v>9380</v>
      </c>
      <c r="AC1163" s="26">
        <v>362</v>
      </c>
      <c r="AD1163" s="26"/>
      <c r="AE1163" s="27">
        <v>260000</v>
      </c>
      <c r="AF1163" s="27">
        <v>10000</v>
      </c>
      <c r="AG1163" s="28"/>
      <c r="AH1163" s="28"/>
      <c r="AI1163" s="17">
        <v>2005</v>
      </c>
      <c r="AJ1163" s="17">
        <v>0</v>
      </c>
      <c r="AK1163" s="34">
        <v>1</v>
      </c>
      <c r="AL1163" s="17" t="s">
        <v>1339</v>
      </c>
    </row>
    <row r="1164" spans="1:38" ht="12.75" customHeight="1">
      <c r="A1164" s="54" t="s">
        <v>1344</v>
      </c>
      <c r="B1164" s="33" t="s">
        <v>1345</v>
      </c>
      <c r="C1164" s="27">
        <v>138</v>
      </c>
      <c r="D1164" s="142" t="s">
        <v>196</v>
      </c>
      <c r="E1164" s="33">
        <v>0</v>
      </c>
      <c r="F1164" s="33" t="s">
        <v>1336</v>
      </c>
      <c r="G1164" s="33" t="s">
        <v>1337</v>
      </c>
      <c r="H1164" s="33" t="s">
        <v>1142</v>
      </c>
      <c r="I1164" s="17" t="b">
        <v>1</v>
      </c>
      <c r="K1164" s="21" t="str">
        <f t="shared" si="28"/>
        <v>https://version2.ice-d.org/antarctica/sample/ODY-05-016/</v>
      </c>
      <c r="L1164" s="54" t="s">
        <v>39</v>
      </c>
      <c r="M1164" s="155"/>
      <c r="O1164" s="28" t="s">
        <v>1343</v>
      </c>
      <c r="P1164" s="22">
        <v>-84.727433329999997</v>
      </c>
      <c r="Q1164" s="22">
        <v>-114.2277833</v>
      </c>
      <c r="R1164" s="22"/>
      <c r="S1164" s="22">
        <v>1682</v>
      </c>
      <c r="T1164" s="22"/>
      <c r="U1164" s="23">
        <v>190</v>
      </c>
      <c r="V1164" s="151" t="s">
        <v>2437</v>
      </c>
      <c r="W1164" s="44" t="s">
        <v>2438</v>
      </c>
      <c r="X1164" s="22"/>
      <c r="Y1164" s="22">
        <v>3</v>
      </c>
      <c r="Z1164" s="22">
        <v>2.7</v>
      </c>
      <c r="AA1164" s="17" t="s">
        <v>73</v>
      </c>
      <c r="AB1164" s="26">
        <v>10612</v>
      </c>
      <c r="AC1164" s="26">
        <v>251</v>
      </c>
      <c r="AD1164" s="26"/>
      <c r="AE1164" s="27">
        <v>260000</v>
      </c>
      <c r="AF1164" s="27">
        <v>10000</v>
      </c>
      <c r="AG1164" s="28"/>
      <c r="AH1164" s="28"/>
      <c r="AI1164" s="17">
        <v>2005</v>
      </c>
      <c r="AJ1164" s="17">
        <v>0</v>
      </c>
      <c r="AK1164" s="34">
        <v>1</v>
      </c>
      <c r="AL1164" s="17" t="s">
        <v>1339</v>
      </c>
    </row>
    <row r="1165" spans="1:38" ht="12.75" customHeight="1">
      <c r="A1165" s="54" t="s">
        <v>1344</v>
      </c>
      <c r="B1165" s="33" t="s">
        <v>1345</v>
      </c>
      <c r="C1165" s="27">
        <v>138</v>
      </c>
      <c r="D1165" s="142" t="s">
        <v>196</v>
      </c>
      <c r="E1165" s="33">
        <v>0</v>
      </c>
      <c r="F1165" s="33" t="s">
        <v>1336</v>
      </c>
      <c r="G1165" s="33" t="s">
        <v>1337</v>
      </c>
      <c r="H1165" s="33" t="s">
        <v>1142</v>
      </c>
      <c r="I1165" s="17" t="b">
        <v>1</v>
      </c>
      <c r="K1165" s="21" t="str">
        <f t="shared" si="28"/>
        <v>https://version2.ice-d.org/antarctica/sample/ODY-05-016/</v>
      </c>
      <c r="L1165" s="54" t="s">
        <v>39</v>
      </c>
      <c r="M1165" s="155"/>
      <c r="O1165" s="28" t="s">
        <v>1343</v>
      </c>
      <c r="P1165" s="22">
        <v>-84.727433329999997</v>
      </c>
      <c r="Q1165" s="22">
        <v>-114.2277833</v>
      </c>
      <c r="R1165" s="22"/>
      <c r="S1165" s="22">
        <v>1682</v>
      </c>
      <c r="T1165" s="22"/>
      <c r="U1165" s="23">
        <v>190</v>
      </c>
      <c r="V1165" s="151" t="s">
        <v>2437</v>
      </c>
      <c r="W1165" s="44" t="s">
        <v>2438</v>
      </c>
      <c r="X1165" s="22"/>
      <c r="Y1165" s="22">
        <v>3</v>
      </c>
      <c r="Z1165" s="22">
        <v>2.7</v>
      </c>
      <c r="AA1165" s="17" t="s">
        <v>73</v>
      </c>
      <c r="AB1165" s="26">
        <v>11441</v>
      </c>
      <c r="AC1165" s="26">
        <v>299</v>
      </c>
      <c r="AD1165" s="26"/>
      <c r="AE1165" s="27">
        <v>260000</v>
      </c>
      <c r="AF1165" s="27">
        <v>10000</v>
      </c>
      <c r="AG1165" s="28"/>
      <c r="AH1165" s="28"/>
      <c r="AI1165" s="17">
        <v>2005</v>
      </c>
      <c r="AJ1165" s="17">
        <v>0</v>
      </c>
      <c r="AK1165" s="34">
        <v>1</v>
      </c>
      <c r="AL1165" s="17" t="s">
        <v>1339</v>
      </c>
    </row>
    <row r="1166" spans="1:38" ht="12.75" customHeight="1">
      <c r="A1166" s="121" t="s">
        <v>1346</v>
      </c>
      <c r="B1166" s="33" t="s">
        <v>1347</v>
      </c>
      <c r="C1166" s="27">
        <v>139</v>
      </c>
      <c r="D1166" s="142" t="s">
        <v>196</v>
      </c>
      <c r="E1166" s="33">
        <v>0</v>
      </c>
      <c r="F1166" s="33" t="s">
        <v>1336</v>
      </c>
      <c r="G1166" s="33" t="s">
        <v>1337</v>
      </c>
      <c r="H1166" s="33" t="s">
        <v>1142</v>
      </c>
      <c r="I1166" s="17" t="b">
        <v>1</v>
      </c>
      <c r="K1166" s="21" t="str">
        <f t="shared" si="28"/>
        <v>https://version2.ice-d.org/antarctica/sample/CF_182_08/</v>
      </c>
      <c r="L1166" s="121" t="s">
        <v>39</v>
      </c>
      <c r="M1166" s="169" t="s">
        <v>44</v>
      </c>
      <c r="O1166" s="28" t="s">
        <v>1348</v>
      </c>
      <c r="P1166" s="22">
        <v>-80.384550000000004</v>
      </c>
      <c r="Q1166" s="22">
        <v>-30.067889999999998</v>
      </c>
      <c r="R1166" s="22"/>
      <c r="S1166" s="22">
        <v>239</v>
      </c>
      <c r="T1166" s="22">
        <v>239</v>
      </c>
      <c r="U1166" s="23">
        <v>190</v>
      </c>
      <c r="V1166" s="151" t="s">
        <v>2437</v>
      </c>
      <c r="W1166" s="44" t="s">
        <v>2438</v>
      </c>
      <c r="X1166" s="22">
        <f t="shared" ref="X1166:X1183" si="29">S1166-T1166</f>
        <v>0</v>
      </c>
      <c r="Y1166" s="22">
        <v>2.5</v>
      </c>
      <c r="Z1166" s="22">
        <v>2.65</v>
      </c>
      <c r="AA1166" s="17" t="s">
        <v>73</v>
      </c>
      <c r="AB1166" s="26">
        <v>2913</v>
      </c>
      <c r="AC1166" s="26">
        <v>504</v>
      </c>
      <c r="AD1166" s="26"/>
      <c r="AE1166" s="27">
        <v>20310</v>
      </c>
      <c r="AF1166" s="27">
        <v>3510</v>
      </c>
      <c r="AG1166" s="27">
        <v>214300</v>
      </c>
      <c r="AH1166" s="27">
        <v>39000</v>
      </c>
      <c r="AI1166" s="27">
        <v>2009</v>
      </c>
      <c r="AJ1166" s="17">
        <v>0</v>
      </c>
      <c r="AK1166" s="34">
        <v>1</v>
      </c>
      <c r="AL1166" s="17" t="s">
        <v>1339</v>
      </c>
    </row>
    <row r="1167" spans="1:38" ht="12.75" customHeight="1">
      <c r="A1167" s="121" t="s">
        <v>1346</v>
      </c>
      <c r="B1167" s="33" t="s">
        <v>1347</v>
      </c>
      <c r="C1167" s="27">
        <v>139</v>
      </c>
      <c r="D1167" s="142" t="s">
        <v>196</v>
      </c>
      <c r="E1167" s="33">
        <v>0</v>
      </c>
      <c r="F1167" s="33" t="s">
        <v>1336</v>
      </c>
      <c r="G1167" s="33" t="s">
        <v>1337</v>
      </c>
      <c r="H1167" s="33" t="s">
        <v>1142</v>
      </c>
      <c r="I1167" s="17" t="b">
        <v>1</v>
      </c>
      <c r="K1167" s="21" t="str">
        <f t="shared" si="28"/>
        <v>https://version2.ice-d.org/antarctica/sample/CF_182_08/</v>
      </c>
      <c r="L1167" s="121" t="s">
        <v>39</v>
      </c>
      <c r="M1167" s="155"/>
      <c r="O1167" s="28" t="s">
        <v>1348</v>
      </c>
      <c r="P1167" s="22">
        <v>-80.384550000000004</v>
      </c>
      <c r="Q1167" s="22">
        <v>-30.067889999999998</v>
      </c>
      <c r="R1167" s="22"/>
      <c r="S1167" s="22">
        <v>239</v>
      </c>
      <c r="T1167" s="22">
        <v>239</v>
      </c>
      <c r="U1167" s="23">
        <v>190</v>
      </c>
      <c r="V1167" s="151" t="s">
        <v>2437</v>
      </c>
      <c r="W1167" s="44" t="s">
        <v>2438</v>
      </c>
      <c r="X1167" s="22">
        <f t="shared" si="29"/>
        <v>0</v>
      </c>
      <c r="Y1167" s="22">
        <v>2.5</v>
      </c>
      <c r="Z1167" s="22">
        <v>2.65</v>
      </c>
      <c r="AA1167" s="17" t="s">
        <v>73</v>
      </c>
      <c r="AB1167" s="26">
        <v>4400</v>
      </c>
      <c r="AC1167" s="26">
        <v>802</v>
      </c>
      <c r="AD1167" s="26"/>
      <c r="AE1167" s="27">
        <v>20310</v>
      </c>
      <c r="AF1167" s="27">
        <v>3510</v>
      </c>
      <c r="AG1167" s="27">
        <v>214300</v>
      </c>
      <c r="AH1167" s="27">
        <v>39000</v>
      </c>
      <c r="AI1167" s="27">
        <v>2009</v>
      </c>
      <c r="AJ1167" s="17">
        <v>0</v>
      </c>
      <c r="AK1167" s="34">
        <v>1</v>
      </c>
      <c r="AL1167" s="17" t="s">
        <v>1339</v>
      </c>
    </row>
    <row r="1168" spans="1:38" ht="12.75" customHeight="1">
      <c r="A1168" s="121" t="s">
        <v>1349</v>
      </c>
      <c r="B1168" s="33" t="s">
        <v>1347</v>
      </c>
      <c r="C1168" s="27">
        <v>139</v>
      </c>
      <c r="D1168" s="142" t="s">
        <v>196</v>
      </c>
      <c r="E1168" s="33">
        <v>0</v>
      </c>
      <c r="F1168" s="33" t="s">
        <v>1336</v>
      </c>
      <c r="G1168" s="33" t="s">
        <v>1337</v>
      </c>
      <c r="H1168" s="33" t="s">
        <v>1142</v>
      </c>
      <c r="I1168" s="17" t="b">
        <v>1</v>
      </c>
      <c r="K1168" s="21" t="str">
        <f t="shared" si="28"/>
        <v>https://version2.ice-d.org/antarctica/sample/CF_185_08/</v>
      </c>
      <c r="L1168" s="121" t="s">
        <v>39</v>
      </c>
      <c r="M1168" s="155"/>
      <c r="O1168" s="28" t="s">
        <v>1348</v>
      </c>
      <c r="P1168" s="22">
        <v>-80.384550000000004</v>
      </c>
      <c r="Q1168" s="22">
        <v>-30.067889999999998</v>
      </c>
      <c r="R1168" s="22"/>
      <c r="S1168" s="22">
        <v>239</v>
      </c>
      <c r="T1168" s="22">
        <v>239</v>
      </c>
      <c r="U1168" s="23">
        <v>190</v>
      </c>
      <c r="V1168" s="151" t="s">
        <v>2437</v>
      </c>
      <c r="W1168" s="44" t="s">
        <v>2438</v>
      </c>
      <c r="X1168" s="22">
        <f t="shared" si="29"/>
        <v>0</v>
      </c>
      <c r="Y1168" s="22">
        <v>3.5</v>
      </c>
      <c r="Z1168" s="22">
        <v>2.65</v>
      </c>
      <c r="AA1168" s="17" t="s">
        <v>58</v>
      </c>
      <c r="AB1168" s="26">
        <v>9853</v>
      </c>
      <c r="AC1168" s="26">
        <v>706</v>
      </c>
      <c r="AD1168" s="26"/>
      <c r="AE1168" s="27">
        <v>78460</v>
      </c>
      <c r="AF1168" s="27">
        <v>3160</v>
      </c>
      <c r="AG1168" s="27">
        <v>477000</v>
      </c>
      <c r="AH1168" s="27">
        <v>34000</v>
      </c>
      <c r="AI1168" s="27">
        <v>2009</v>
      </c>
      <c r="AJ1168" s="17">
        <v>0</v>
      </c>
      <c r="AK1168" s="34">
        <v>1</v>
      </c>
      <c r="AL1168" s="17" t="s">
        <v>1339</v>
      </c>
    </row>
    <row r="1169" spans="1:38" ht="12.75" customHeight="1">
      <c r="A1169" s="121" t="s">
        <v>1349</v>
      </c>
      <c r="B1169" s="33" t="s">
        <v>1347</v>
      </c>
      <c r="C1169" s="27">
        <v>139</v>
      </c>
      <c r="D1169" s="142" t="s">
        <v>196</v>
      </c>
      <c r="E1169" s="33">
        <v>0</v>
      </c>
      <c r="F1169" s="33" t="s">
        <v>1336</v>
      </c>
      <c r="G1169" s="33" t="s">
        <v>1337</v>
      </c>
      <c r="H1169" s="33" t="s">
        <v>1142</v>
      </c>
      <c r="I1169" s="17" t="b">
        <v>1</v>
      </c>
      <c r="K1169" s="21" t="str">
        <f t="shared" si="28"/>
        <v>https://version2.ice-d.org/antarctica/sample/CF_185_08/</v>
      </c>
      <c r="L1169" s="121" t="s">
        <v>39</v>
      </c>
      <c r="M1169" s="155"/>
      <c r="O1169" s="28" t="s">
        <v>1348</v>
      </c>
      <c r="P1169" s="22">
        <v>-80.384550000000004</v>
      </c>
      <c r="Q1169" s="22">
        <v>-30.067889999999998</v>
      </c>
      <c r="R1169" s="22"/>
      <c r="S1169" s="22">
        <v>239</v>
      </c>
      <c r="T1169" s="22">
        <v>239</v>
      </c>
      <c r="U1169" s="23">
        <v>190</v>
      </c>
      <c r="V1169" s="151" t="s">
        <v>2437</v>
      </c>
      <c r="W1169" s="44" t="s">
        <v>2438</v>
      </c>
      <c r="X1169" s="22">
        <f t="shared" si="29"/>
        <v>0</v>
      </c>
      <c r="Y1169" s="22">
        <v>3.5</v>
      </c>
      <c r="Z1169" s="22">
        <v>2.65</v>
      </c>
      <c r="AA1169" s="17" t="s">
        <v>58</v>
      </c>
      <c r="AB1169" s="26">
        <v>11556</v>
      </c>
      <c r="AC1169" s="26">
        <v>467</v>
      </c>
      <c r="AD1169" s="26"/>
      <c r="AE1169" s="27">
        <v>78460</v>
      </c>
      <c r="AF1169" s="27">
        <v>3160</v>
      </c>
      <c r="AG1169" s="27">
        <v>477000</v>
      </c>
      <c r="AH1169" s="27">
        <v>34000</v>
      </c>
      <c r="AI1169" s="27">
        <v>2009</v>
      </c>
      <c r="AJ1169" s="17">
        <v>0</v>
      </c>
      <c r="AK1169" s="34">
        <v>1</v>
      </c>
      <c r="AL1169" s="17" t="s">
        <v>1339</v>
      </c>
    </row>
    <row r="1170" spans="1:38" ht="12.75" customHeight="1">
      <c r="A1170" s="121" t="s">
        <v>1350</v>
      </c>
      <c r="B1170" s="33" t="s">
        <v>1347</v>
      </c>
      <c r="C1170" s="27">
        <v>139</v>
      </c>
      <c r="D1170" s="142" t="s">
        <v>196</v>
      </c>
      <c r="E1170" s="33">
        <v>0</v>
      </c>
      <c r="F1170" s="33" t="s">
        <v>1336</v>
      </c>
      <c r="G1170" s="33" t="s">
        <v>1337</v>
      </c>
      <c r="H1170" s="33" t="s">
        <v>1142</v>
      </c>
      <c r="I1170" s="17" t="b">
        <v>1</v>
      </c>
      <c r="K1170" s="21" t="str">
        <f t="shared" si="28"/>
        <v>https://version2.ice-d.org/antarctica/sample/CF_184_08/</v>
      </c>
      <c r="L1170" s="121" t="s">
        <v>39</v>
      </c>
      <c r="M1170" s="155"/>
      <c r="O1170" s="28" t="s">
        <v>1351</v>
      </c>
      <c r="P1170" s="22">
        <v>-80.384550000000004</v>
      </c>
      <c r="Q1170" s="22">
        <v>-30.067889999999998</v>
      </c>
      <c r="R1170" s="22"/>
      <c r="S1170" s="22">
        <v>239</v>
      </c>
      <c r="T1170" s="22">
        <v>239</v>
      </c>
      <c r="U1170" s="23">
        <v>190</v>
      </c>
      <c r="V1170" s="151" t="s">
        <v>2437</v>
      </c>
      <c r="W1170" s="44" t="s">
        <v>2438</v>
      </c>
      <c r="X1170" s="22">
        <f t="shared" si="29"/>
        <v>0</v>
      </c>
      <c r="Y1170" s="22">
        <v>4.5</v>
      </c>
      <c r="Z1170" s="22">
        <v>2.65</v>
      </c>
      <c r="AA1170" s="17" t="s">
        <v>73</v>
      </c>
      <c r="AB1170" s="26">
        <v>4750</v>
      </c>
      <c r="AC1170" s="26">
        <v>169</v>
      </c>
      <c r="AD1170" s="26"/>
      <c r="AE1170" s="27">
        <v>271400</v>
      </c>
      <c r="AF1170" s="27">
        <v>9150</v>
      </c>
      <c r="AG1170" s="27">
        <v>902000</v>
      </c>
      <c r="AH1170" s="27">
        <v>73000</v>
      </c>
      <c r="AI1170" s="27">
        <v>2009</v>
      </c>
      <c r="AJ1170" s="17">
        <v>0</v>
      </c>
      <c r="AK1170" s="34">
        <v>1</v>
      </c>
      <c r="AL1170" s="17" t="s">
        <v>1339</v>
      </c>
    </row>
    <row r="1171" spans="1:38" ht="12.75" customHeight="1">
      <c r="A1171" s="121" t="s">
        <v>1352</v>
      </c>
      <c r="B1171" s="33" t="s">
        <v>1353</v>
      </c>
      <c r="C1171" s="27">
        <v>140</v>
      </c>
      <c r="D1171" s="142" t="s">
        <v>196</v>
      </c>
      <c r="E1171" s="33">
        <v>0</v>
      </c>
      <c r="F1171" s="33" t="s">
        <v>1336</v>
      </c>
      <c r="G1171" s="33" t="s">
        <v>1337</v>
      </c>
      <c r="H1171" s="33" t="s">
        <v>1142</v>
      </c>
      <c r="I1171" s="17" t="b">
        <v>1</v>
      </c>
      <c r="K1171" s="21" t="str">
        <f t="shared" si="28"/>
        <v>https://version2.ice-d.org/antarctica/sample/CF_215A_08/</v>
      </c>
      <c r="L1171" s="121" t="s">
        <v>39</v>
      </c>
      <c r="M1171" s="155"/>
      <c r="O1171" s="28" t="s">
        <v>1348</v>
      </c>
      <c r="P1171" s="22">
        <v>-80.113519999999994</v>
      </c>
      <c r="Q1171" s="22">
        <v>-25.78313</v>
      </c>
      <c r="R1171" s="22"/>
      <c r="S1171" s="22">
        <v>309</v>
      </c>
      <c r="T1171" s="22">
        <v>309</v>
      </c>
      <c r="U1171" s="23">
        <v>190</v>
      </c>
      <c r="V1171" s="151" t="s">
        <v>2437</v>
      </c>
      <c r="W1171" s="44" t="s">
        <v>2438</v>
      </c>
      <c r="X1171" s="22">
        <f t="shared" si="29"/>
        <v>0</v>
      </c>
      <c r="Y1171" s="22">
        <v>3</v>
      </c>
      <c r="Z1171" s="22">
        <v>2.65</v>
      </c>
      <c r="AA1171" s="17" t="s">
        <v>73</v>
      </c>
      <c r="AB1171" s="26">
        <v>14686</v>
      </c>
      <c r="AC1171" s="26">
        <v>1024</v>
      </c>
      <c r="AD1171" s="26"/>
      <c r="AE1171" s="27">
        <v>165300</v>
      </c>
      <c r="AF1171" s="27">
        <v>56400</v>
      </c>
      <c r="AG1171" s="27">
        <v>751000</v>
      </c>
      <c r="AH1171" s="27">
        <v>52000</v>
      </c>
      <c r="AI1171" s="27">
        <v>2009</v>
      </c>
      <c r="AJ1171" s="17">
        <v>0</v>
      </c>
      <c r="AK1171" s="34">
        <v>1</v>
      </c>
      <c r="AL1171" s="17" t="s">
        <v>1339</v>
      </c>
    </row>
    <row r="1172" spans="1:38" ht="12.75" customHeight="1">
      <c r="A1172" s="121" t="s">
        <v>1354</v>
      </c>
      <c r="B1172" s="33" t="s">
        <v>1353</v>
      </c>
      <c r="C1172" s="27">
        <v>140</v>
      </c>
      <c r="D1172" s="142" t="s">
        <v>196</v>
      </c>
      <c r="E1172" s="33">
        <v>0</v>
      </c>
      <c r="F1172" s="33" t="s">
        <v>1336</v>
      </c>
      <c r="G1172" s="33" t="s">
        <v>1337</v>
      </c>
      <c r="H1172" s="33" t="s">
        <v>1142</v>
      </c>
      <c r="I1172" s="17" t="b">
        <v>1</v>
      </c>
      <c r="K1172" s="21" t="str">
        <f t="shared" si="28"/>
        <v>https://version2.ice-d.org/antarctica/sample/CF_216_08/</v>
      </c>
      <c r="L1172" s="121" t="s">
        <v>39</v>
      </c>
      <c r="M1172" s="155"/>
      <c r="O1172" s="28" t="s">
        <v>1348</v>
      </c>
      <c r="P1172" s="22">
        <v>-80.113519999999994</v>
      </c>
      <c r="Q1172" s="22">
        <v>-25.78313</v>
      </c>
      <c r="R1172" s="22"/>
      <c r="S1172" s="22">
        <v>309</v>
      </c>
      <c r="T1172" s="22">
        <v>309</v>
      </c>
      <c r="U1172" s="23">
        <v>190</v>
      </c>
      <c r="V1172" s="151" t="s">
        <v>2437</v>
      </c>
      <c r="W1172" s="44" t="s">
        <v>2438</v>
      </c>
      <c r="X1172" s="22">
        <f t="shared" si="29"/>
        <v>0</v>
      </c>
      <c r="Y1172" s="22">
        <v>3</v>
      </c>
      <c r="Z1172" s="22">
        <v>2.65</v>
      </c>
      <c r="AA1172" s="17" t="s">
        <v>73</v>
      </c>
      <c r="AB1172" s="26">
        <v>3064</v>
      </c>
      <c r="AC1172" s="26">
        <v>289</v>
      </c>
      <c r="AD1172" s="26"/>
      <c r="AE1172" s="27">
        <v>22500</v>
      </c>
      <c r="AF1172" s="27">
        <v>2120</v>
      </c>
      <c r="AG1172" s="27">
        <v>253000</v>
      </c>
      <c r="AH1172" s="27">
        <v>21000</v>
      </c>
      <c r="AI1172" s="27">
        <v>2009</v>
      </c>
      <c r="AJ1172" s="17">
        <v>0</v>
      </c>
      <c r="AK1172" s="34">
        <v>1</v>
      </c>
      <c r="AL1172" s="17" t="s">
        <v>1339</v>
      </c>
    </row>
    <row r="1173" spans="1:38" ht="12.75" customHeight="1">
      <c r="A1173" s="121" t="s">
        <v>1354</v>
      </c>
      <c r="B1173" s="33" t="s">
        <v>1353</v>
      </c>
      <c r="C1173" s="27">
        <v>140</v>
      </c>
      <c r="D1173" s="142" t="s">
        <v>196</v>
      </c>
      <c r="E1173" s="33">
        <v>0</v>
      </c>
      <c r="F1173" s="33" t="s">
        <v>1336</v>
      </c>
      <c r="G1173" s="33" t="s">
        <v>1337</v>
      </c>
      <c r="H1173" s="33" t="s">
        <v>1142</v>
      </c>
      <c r="I1173" s="17" t="b">
        <v>1</v>
      </c>
      <c r="K1173" s="21" t="str">
        <f t="shared" si="28"/>
        <v>https://version2.ice-d.org/antarctica/sample/CF_216_08/</v>
      </c>
      <c r="L1173" s="121" t="s">
        <v>39</v>
      </c>
      <c r="M1173" s="155"/>
      <c r="O1173" s="28" t="s">
        <v>1348</v>
      </c>
      <c r="P1173" s="22">
        <v>-80.113519999999994</v>
      </c>
      <c r="Q1173" s="22">
        <v>-25.78313</v>
      </c>
      <c r="R1173" s="22"/>
      <c r="S1173" s="22">
        <v>309</v>
      </c>
      <c r="T1173" s="22">
        <v>309</v>
      </c>
      <c r="U1173" s="23">
        <v>190</v>
      </c>
      <c r="V1173" s="151" t="s">
        <v>2437</v>
      </c>
      <c r="W1173" s="44" t="s">
        <v>2438</v>
      </c>
      <c r="X1173" s="22">
        <f t="shared" si="29"/>
        <v>0</v>
      </c>
      <c r="Y1173" s="22">
        <v>3</v>
      </c>
      <c r="Z1173" s="22">
        <v>2.65</v>
      </c>
      <c r="AA1173" s="17" t="s">
        <v>73</v>
      </c>
      <c r="AB1173" s="26">
        <v>4938</v>
      </c>
      <c r="AC1173" s="26">
        <v>411</v>
      </c>
      <c r="AD1173" s="26"/>
      <c r="AE1173" s="27">
        <v>22500</v>
      </c>
      <c r="AF1173" s="27">
        <v>2120</v>
      </c>
      <c r="AG1173" s="27">
        <v>253000</v>
      </c>
      <c r="AH1173" s="27">
        <v>21000</v>
      </c>
      <c r="AI1173" s="27">
        <v>2009</v>
      </c>
      <c r="AJ1173" s="17">
        <v>0</v>
      </c>
      <c r="AK1173" s="34">
        <v>1</v>
      </c>
      <c r="AL1173" s="17" t="s">
        <v>1339</v>
      </c>
    </row>
    <row r="1174" spans="1:38" ht="12.75" customHeight="1">
      <c r="A1174" s="121" t="s">
        <v>1355</v>
      </c>
      <c r="B1174" s="33" t="s">
        <v>1356</v>
      </c>
      <c r="C1174" s="27">
        <v>141</v>
      </c>
      <c r="D1174" s="142" t="s">
        <v>196</v>
      </c>
      <c r="E1174" s="33">
        <v>0</v>
      </c>
      <c r="F1174" s="33" t="s">
        <v>1336</v>
      </c>
      <c r="G1174" s="33" t="s">
        <v>1337</v>
      </c>
      <c r="H1174" s="33" t="s">
        <v>1142</v>
      </c>
      <c r="I1174" s="17" t="b">
        <v>1</v>
      </c>
      <c r="K1174" s="21" t="str">
        <f t="shared" si="28"/>
        <v>https://version2.ice-d.org/antarctica/sample/CF_104_08/</v>
      </c>
      <c r="L1174" s="121" t="s">
        <v>39</v>
      </c>
      <c r="M1174" s="155"/>
      <c r="O1174" s="28" t="s">
        <v>1351</v>
      </c>
      <c r="P1174" s="22">
        <v>-80.278120000000001</v>
      </c>
      <c r="Q1174" s="22">
        <v>-28.71819</v>
      </c>
      <c r="R1174" s="22"/>
      <c r="S1174" s="22">
        <v>380</v>
      </c>
      <c r="T1174" s="17">
        <v>268</v>
      </c>
      <c r="U1174" s="23">
        <v>190</v>
      </c>
      <c r="V1174" s="151" t="s">
        <v>2437</v>
      </c>
      <c r="W1174" s="44" t="s">
        <v>2438</v>
      </c>
      <c r="X1174" s="22">
        <f t="shared" si="29"/>
        <v>112</v>
      </c>
      <c r="Y1174" s="22">
        <v>5</v>
      </c>
      <c r="Z1174" s="22">
        <v>2.2999999999999998</v>
      </c>
      <c r="AA1174" s="17" t="s">
        <v>73</v>
      </c>
      <c r="AB1174" s="26">
        <v>14114</v>
      </c>
      <c r="AC1174" s="26">
        <v>596</v>
      </c>
      <c r="AD1174" s="26"/>
      <c r="AE1174" s="27">
        <v>6200000</v>
      </c>
      <c r="AF1174" s="27">
        <v>137000</v>
      </c>
      <c r="AG1174" s="27">
        <v>32580000</v>
      </c>
      <c r="AH1174" s="27">
        <v>1100000</v>
      </c>
      <c r="AI1174" s="27">
        <v>2009</v>
      </c>
      <c r="AJ1174" s="17">
        <v>0</v>
      </c>
      <c r="AK1174" s="34">
        <v>1</v>
      </c>
      <c r="AL1174" s="17" t="s">
        <v>1339</v>
      </c>
    </row>
    <row r="1175" spans="1:38" ht="12.75" customHeight="1">
      <c r="A1175" s="121" t="s">
        <v>1357</v>
      </c>
      <c r="B1175" s="33" t="s">
        <v>1356</v>
      </c>
      <c r="C1175" s="27">
        <v>141</v>
      </c>
      <c r="D1175" s="142" t="s">
        <v>196</v>
      </c>
      <c r="E1175" s="33">
        <v>0</v>
      </c>
      <c r="F1175" s="33" t="s">
        <v>1336</v>
      </c>
      <c r="G1175" s="33" t="s">
        <v>1337</v>
      </c>
      <c r="H1175" s="33" t="s">
        <v>1142</v>
      </c>
      <c r="I1175" s="17" t="b">
        <v>1</v>
      </c>
      <c r="K1175" s="21" t="str">
        <f t="shared" si="28"/>
        <v>https://version2.ice-d.org/antarctica/sample/CF_108_08/</v>
      </c>
      <c r="L1175" s="121" t="s">
        <v>39</v>
      </c>
      <c r="M1175" s="155"/>
      <c r="O1175" s="28" t="s">
        <v>1351</v>
      </c>
      <c r="P1175" s="22">
        <v>-80.273859999999999</v>
      </c>
      <c r="Q1175" s="22">
        <v>-28.73442</v>
      </c>
      <c r="R1175" s="22"/>
      <c r="S1175" s="22">
        <v>339</v>
      </c>
      <c r="T1175" s="17">
        <v>268</v>
      </c>
      <c r="U1175" s="23">
        <v>190</v>
      </c>
      <c r="V1175" s="151" t="s">
        <v>2437</v>
      </c>
      <c r="W1175" s="44" t="s">
        <v>2438</v>
      </c>
      <c r="X1175" s="22">
        <f t="shared" si="29"/>
        <v>71</v>
      </c>
      <c r="Y1175" s="22">
        <v>5</v>
      </c>
      <c r="Z1175" s="22">
        <v>2.65</v>
      </c>
      <c r="AA1175" s="17" t="s">
        <v>73</v>
      </c>
      <c r="AB1175" s="26">
        <v>17692</v>
      </c>
      <c r="AC1175" s="26">
        <v>977</v>
      </c>
      <c r="AD1175" s="26"/>
      <c r="AE1175" s="27">
        <v>3886000</v>
      </c>
      <c r="AF1175" s="27">
        <v>88900</v>
      </c>
      <c r="AG1175" s="27">
        <v>24320000</v>
      </c>
      <c r="AH1175" s="27">
        <v>815000</v>
      </c>
      <c r="AI1175" s="27">
        <v>2009</v>
      </c>
      <c r="AJ1175" s="17">
        <v>0</v>
      </c>
      <c r="AK1175" s="34">
        <v>1</v>
      </c>
      <c r="AL1175" s="17" t="s">
        <v>1339</v>
      </c>
    </row>
    <row r="1176" spans="1:38" ht="12.75" customHeight="1">
      <c r="A1176" s="121" t="s">
        <v>1358</v>
      </c>
      <c r="B1176" s="33" t="s">
        <v>1356</v>
      </c>
      <c r="C1176" s="27">
        <v>141</v>
      </c>
      <c r="D1176" s="142" t="s">
        <v>196</v>
      </c>
      <c r="E1176" s="33">
        <v>0</v>
      </c>
      <c r="F1176" s="33" t="s">
        <v>1336</v>
      </c>
      <c r="G1176" s="33" t="s">
        <v>1337</v>
      </c>
      <c r="H1176" s="33" t="s">
        <v>1142</v>
      </c>
      <c r="I1176" s="17" t="b">
        <v>1</v>
      </c>
      <c r="K1176" s="21" t="str">
        <f t="shared" si="28"/>
        <v>https://version2.ice-d.org/antarctica/sample/CF_119_08/</v>
      </c>
      <c r="L1176" s="121" t="s">
        <v>39</v>
      </c>
      <c r="M1176" s="155"/>
      <c r="O1176" s="28" t="s">
        <v>1351</v>
      </c>
      <c r="P1176" s="22">
        <v>-80.325450000000004</v>
      </c>
      <c r="Q1176" s="22">
        <v>-28.83897</v>
      </c>
      <c r="R1176" s="22"/>
      <c r="S1176" s="22">
        <v>825</v>
      </c>
      <c r="T1176" s="17">
        <v>268</v>
      </c>
      <c r="U1176" s="23">
        <v>190</v>
      </c>
      <c r="V1176" s="151" t="s">
        <v>2437</v>
      </c>
      <c r="W1176" s="44" t="s">
        <v>2438</v>
      </c>
      <c r="X1176" s="22">
        <f t="shared" si="29"/>
        <v>557</v>
      </c>
      <c r="Y1176" s="22">
        <v>5</v>
      </c>
      <c r="Z1176" s="22">
        <v>2.65</v>
      </c>
      <c r="AA1176" s="17" t="s">
        <v>58</v>
      </c>
      <c r="AB1176" s="26">
        <v>8822</v>
      </c>
      <c r="AC1176" s="26">
        <v>241</v>
      </c>
      <c r="AD1176" s="26"/>
      <c r="AE1176" s="27">
        <v>12500000</v>
      </c>
      <c r="AF1176" s="27">
        <v>273000</v>
      </c>
      <c r="AG1176" s="27">
        <v>55050000</v>
      </c>
      <c r="AH1176" s="27">
        <v>2810000</v>
      </c>
      <c r="AI1176" s="27">
        <v>2009</v>
      </c>
      <c r="AJ1176" s="17">
        <v>0</v>
      </c>
      <c r="AK1176" s="34">
        <v>1</v>
      </c>
      <c r="AL1176" s="17" t="s">
        <v>1339</v>
      </c>
    </row>
    <row r="1177" spans="1:38" ht="12.75" customHeight="1">
      <c r="A1177" s="121" t="s">
        <v>1359</v>
      </c>
      <c r="B1177" s="33" t="s">
        <v>1356</v>
      </c>
      <c r="C1177" s="27">
        <v>141</v>
      </c>
      <c r="D1177" s="142" t="s">
        <v>196</v>
      </c>
      <c r="E1177" s="33">
        <v>0</v>
      </c>
      <c r="F1177" s="33" t="s">
        <v>1336</v>
      </c>
      <c r="G1177" s="33" t="s">
        <v>1337</v>
      </c>
      <c r="H1177" s="33" t="s">
        <v>1142</v>
      </c>
      <c r="I1177" s="17" t="b">
        <v>1</v>
      </c>
      <c r="K1177" s="21" t="str">
        <f t="shared" si="28"/>
        <v>https://version2.ice-d.org/antarctica/sample/CF_120_08/</v>
      </c>
      <c r="L1177" s="121" t="s">
        <v>39</v>
      </c>
      <c r="M1177" s="155"/>
      <c r="O1177" s="28" t="s">
        <v>1351</v>
      </c>
      <c r="P1177" s="22">
        <v>-80.324359999999999</v>
      </c>
      <c r="Q1177" s="22">
        <v>-28.855219999999999</v>
      </c>
      <c r="R1177" s="22"/>
      <c r="S1177" s="22">
        <v>808</v>
      </c>
      <c r="T1177" s="17">
        <v>268</v>
      </c>
      <c r="U1177" s="23">
        <v>190</v>
      </c>
      <c r="V1177" s="151" t="s">
        <v>2437</v>
      </c>
      <c r="W1177" s="44" t="s">
        <v>2438</v>
      </c>
      <c r="X1177" s="22">
        <f t="shared" si="29"/>
        <v>540</v>
      </c>
      <c r="Y1177" s="22">
        <v>4</v>
      </c>
      <c r="Z1177" s="22">
        <v>2.65</v>
      </c>
      <c r="AA1177" s="17" t="s">
        <v>73</v>
      </c>
      <c r="AB1177" s="26">
        <v>8367</v>
      </c>
      <c r="AC1177" s="26">
        <v>270</v>
      </c>
      <c r="AD1177" s="26"/>
      <c r="AE1177" s="27">
        <v>6014000</v>
      </c>
      <c r="AF1177" s="27">
        <v>134000</v>
      </c>
      <c r="AG1177" s="27">
        <v>27610000</v>
      </c>
      <c r="AH1177" s="27">
        <v>1400000</v>
      </c>
      <c r="AI1177" s="27">
        <v>2009</v>
      </c>
      <c r="AJ1177" s="17">
        <v>0</v>
      </c>
      <c r="AK1177" s="34">
        <v>1</v>
      </c>
      <c r="AL1177" s="17" t="s">
        <v>1339</v>
      </c>
    </row>
    <row r="1178" spans="1:38" ht="12.75" customHeight="1">
      <c r="A1178" s="121" t="s">
        <v>1360</v>
      </c>
      <c r="B1178" s="33" t="s">
        <v>1356</v>
      </c>
      <c r="C1178" s="27">
        <v>141</v>
      </c>
      <c r="D1178" s="142" t="s">
        <v>196</v>
      </c>
      <c r="E1178" s="33">
        <v>0</v>
      </c>
      <c r="F1178" s="33" t="s">
        <v>1336</v>
      </c>
      <c r="G1178" s="33" t="s">
        <v>1337</v>
      </c>
      <c r="H1178" s="33" t="s">
        <v>1142</v>
      </c>
      <c r="I1178" s="17" t="b">
        <v>1</v>
      </c>
      <c r="K1178" s="21" t="str">
        <f t="shared" si="28"/>
        <v>https://version2.ice-d.org/antarctica/sample/CF_143_08/</v>
      </c>
      <c r="L1178" s="121" t="s">
        <v>39</v>
      </c>
      <c r="M1178" s="155"/>
      <c r="O1178" s="28" t="s">
        <v>1351</v>
      </c>
      <c r="P1178" s="22">
        <v>-80.273830000000004</v>
      </c>
      <c r="Q1178" s="22">
        <v>-28.776800000000001</v>
      </c>
      <c r="R1178" s="22"/>
      <c r="S1178" s="22">
        <v>308</v>
      </c>
      <c r="T1178" s="17">
        <v>268</v>
      </c>
      <c r="U1178" s="23">
        <v>190</v>
      </c>
      <c r="V1178" s="151" t="s">
        <v>2437</v>
      </c>
      <c r="W1178" s="44" t="s">
        <v>2438</v>
      </c>
      <c r="X1178" s="22">
        <f t="shared" si="29"/>
        <v>40</v>
      </c>
      <c r="Y1178" s="22">
        <v>4.5</v>
      </c>
      <c r="Z1178" s="22">
        <v>2.65</v>
      </c>
      <c r="AA1178" s="17" t="s">
        <v>73</v>
      </c>
      <c r="AB1178" s="26">
        <v>13262</v>
      </c>
      <c r="AC1178" s="26">
        <v>536</v>
      </c>
      <c r="AD1178" s="26"/>
      <c r="AE1178" s="27">
        <v>4646000</v>
      </c>
      <c r="AF1178" s="27">
        <v>135000</v>
      </c>
      <c r="AG1178" s="27">
        <v>22360000</v>
      </c>
      <c r="AH1178" s="27">
        <v>1150000</v>
      </c>
      <c r="AI1178" s="27">
        <v>2009</v>
      </c>
      <c r="AJ1178" s="17">
        <v>0</v>
      </c>
      <c r="AK1178" s="34">
        <v>1</v>
      </c>
      <c r="AL1178" s="17" t="s">
        <v>1339</v>
      </c>
    </row>
    <row r="1179" spans="1:38" ht="12.75" customHeight="1">
      <c r="A1179" s="121" t="s">
        <v>1361</v>
      </c>
      <c r="B1179" s="33" t="s">
        <v>1356</v>
      </c>
      <c r="C1179" s="27">
        <v>141</v>
      </c>
      <c r="D1179" s="142" t="s">
        <v>196</v>
      </c>
      <c r="E1179" s="33">
        <v>0</v>
      </c>
      <c r="F1179" s="33" t="s">
        <v>1336</v>
      </c>
      <c r="G1179" s="33" t="s">
        <v>1337</v>
      </c>
      <c r="H1179" s="33" t="s">
        <v>1142</v>
      </c>
      <c r="I1179" s="17" t="b">
        <v>1</v>
      </c>
      <c r="K1179" s="21" t="str">
        <f t="shared" si="28"/>
        <v>https://version2.ice-d.org/antarctica/sample/CF_36_08/</v>
      </c>
      <c r="L1179" s="121" t="s">
        <v>39</v>
      </c>
      <c r="M1179" s="155"/>
      <c r="O1179" s="28" t="s">
        <v>1351</v>
      </c>
      <c r="P1179" s="22">
        <v>-80.290199999999999</v>
      </c>
      <c r="Q1179" s="22">
        <v>-28.670290000000001</v>
      </c>
      <c r="R1179" s="22"/>
      <c r="S1179" s="22">
        <v>576</v>
      </c>
      <c r="T1179" s="17">
        <v>268</v>
      </c>
      <c r="U1179" s="23">
        <v>190</v>
      </c>
      <c r="V1179" s="151" t="s">
        <v>2437</v>
      </c>
      <c r="W1179" s="44" t="s">
        <v>2438</v>
      </c>
      <c r="X1179" s="22">
        <f t="shared" si="29"/>
        <v>308</v>
      </c>
      <c r="Y1179" s="22">
        <v>3</v>
      </c>
      <c r="Z1179" s="22">
        <v>2.65</v>
      </c>
      <c r="AA1179" s="17" t="s">
        <v>73</v>
      </c>
      <c r="AB1179" s="26">
        <v>11929</v>
      </c>
      <c r="AC1179" s="26">
        <v>413</v>
      </c>
      <c r="AD1179" s="26"/>
      <c r="AE1179" s="27">
        <v>5669000</v>
      </c>
      <c r="AF1179" s="27">
        <v>121000</v>
      </c>
      <c r="AG1179" s="27">
        <v>34080000</v>
      </c>
      <c r="AH1179" s="27">
        <v>1740000</v>
      </c>
      <c r="AI1179" s="27">
        <v>2009</v>
      </c>
      <c r="AJ1179" s="17">
        <v>0</v>
      </c>
      <c r="AK1179" s="34">
        <v>1</v>
      </c>
      <c r="AL1179" s="17" t="s">
        <v>1339</v>
      </c>
    </row>
    <row r="1180" spans="1:38" ht="12.75" customHeight="1">
      <c r="A1180" s="121" t="s">
        <v>1362</v>
      </c>
      <c r="B1180" s="33" t="s">
        <v>1356</v>
      </c>
      <c r="C1180" s="27">
        <v>141</v>
      </c>
      <c r="D1180" s="142" t="s">
        <v>196</v>
      </c>
      <c r="E1180" s="33">
        <v>0</v>
      </c>
      <c r="F1180" s="33" t="s">
        <v>1336</v>
      </c>
      <c r="G1180" s="33" t="s">
        <v>1337</v>
      </c>
      <c r="H1180" s="33" t="s">
        <v>1142</v>
      </c>
      <c r="I1180" s="17" t="b">
        <v>1</v>
      </c>
      <c r="K1180" s="21" t="str">
        <f t="shared" si="28"/>
        <v>https://version2.ice-d.org/antarctica/sample/CF_44_08/</v>
      </c>
      <c r="L1180" s="121" t="s">
        <v>39</v>
      </c>
      <c r="M1180" s="155"/>
      <c r="O1180" s="28" t="s">
        <v>1351</v>
      </c>
      <c r="P1180" s="22">
        <v>-80.284970000000001</v>
      </c>
      <c r="Q1180" s="22">
        <v>-28.688490000000002</v>
      </c>
      <c r="R1180" s="22"/>
      <c r="S1180" s="22">
        <v>474</v>
      </c>
      <c r="T1180" s="17">
        <v>268</v>
      </c>
      <c r="U1180" s="23">
        <v>190</v>
      </c>
      <c r="V1180" s="151" t="s">
        <v>2437</v>
      </c>
      <c r="W1180" s="44" t="s">
        <v>2438</v>
      </c>
      <c r="X1180" s="22">
        <f t="shared" si="29"/>
        <v>206</v>
      </c>
      <c r="Y1180" s="22">
        <v>3.5</v>
      </c>
      <c r="Z1180" s="22">
        <v>2.65</v>
      </c>
      <c r="AA1180" s="17" t="s">
        <v>73</v>
      </c>
      <c r="AB1180" s="26">
        <v>9250</v>
      </c>
      <c r="AC1180" s="26">
        <v>282</v>
      </c>
      <c r="AD1180" s="26"/>
      <c r="AE1180" s="27">
        <v>8623000</v>
      </c>
      <c r="AF1180" s="27">
        <v>191000</v>
      </c>
      <c r="AG1180" s="27">
        <v>35660000</v>
      </c>
      <c r="AH1180" s="27">
        <v>1830000</v>
      </c>
      <c r="AI1180" s="27">
        <v>2009</v>
      </c>
      <c r="AJ1180" s="17">
        <v>0</v>
      </c>
      <c r="AK1180" s="34">
        <v>1</v>
      </c>
      <c r="AL1180" s="17" t="s">
        <v>1339</v>
      </c>
    </row>
    <row r="1181" spans="1:38" ht="12.75" customHeight="1">
      <c r="A1181" s="121" t="s">
        <v>1363</v>
      </c>
      <c r="B1181" s="33" t="s">
        <v>1356</v>
      </c>
      <c r="C1181" s="27">
        <v>141</v>
      </c>
      <c r="D1181" s="142" t="s">
        <v>196</v>
      </c>
      <c r="E1181" s="33">
        <v>0</v>
      </c>
      <c r="F1181" s="33" t="s">
        <v>1336</v>
      </c>
      <c r="G1181" s="33" t="s">
        <v>1337</v>
      </c>
      <c r="H1181" s="33" t="s">
        <v>1142</v>
      </c>
      <c r="I1181" s="17" t="b">
        <v>1</v>
      </c>
      <c r="K1181" s="21" t="str">
        <f t="shared" si="28"/>
        <v>https://version2.ice-d.org/antarctica/sample/CF_58A_08/</v>
      </c>
      <c r="L1181" s="121" t="s">
        <v>39</v>
      </c>
      <c r="M1181" s="155"/>
      <c r="O1181" s="28" t="s">
        <v>1348</v>
      </c>
      <c r="P1181" s="22">
        <v>-80.260120000000001</v>
      </c>
      <c r="Q1181" s="22">
        <v>-28.852</v>
      </c>
      <c r="R1181" s="22"/>
      <c r="S1181" s="22">
        <v>278</v>
      </c>
      <c r="T1181" s="17">
        <v>268</v>
      </c>
      <c r="U1181" s="23">
        <v>190</v>
      </c>
      <c r="V1181" s="151" t="s">
        <v>2437</v>
      </c>
      <c r="W1181" s="44" t="s">
        <v>2438</v>
      </c>
      <c r="X1181" s="22">
        <f t="shared" si="29"/>
        <v>10</v>
      </c>
      <c r="Y1181" s="22">
        <v>3.5</v>
      </c>
      <c r="Z1181" s="22">
        <v>2.65</v>
      </c>
      <c r="AA1181" s="17" t="s">
        <v>73</v>
      </c>
      <c r="AB1181" s="26">
        <v>17043</v>
      </c>
      <c r="AC1181" s="26">
        <v>833</v>
      </c>
      <c r="AD1181" s="26"/>
      <c r="AE1181" s="27">
        <v>191100</v>
      </c>
      <c r="AF1181" s="27">
        <v>6420</v>
      </c>
      <c r="AG1181" s="27">
        <v>846000</v>
      </c>
      <c r="AH1181" s="27">
        <v>41000</v>
      </c>
      <c r="AI1181" s="27">
        <v>2009</v>
      </c>
      <c r="AJ1181" s="17">
        <v>0</v>
      </c>
      <c r="AK1181" s="34">
        <v>1</v>
      </c>
      <c r="AL1181" s="17" t="s">
        <v>1339</v>
      </c>
    </row>
    <row r="1182" spans="1:38" ht="12.75" customHeight="1">
      <c r="A1182" s="121" t="s">
        <v>1364</v>
      </c>
      <c r="B1182" s="33" t="s">
        <v>1356</v>
      </c>
      <c r="C1182" s="27">
        <v>141</v>
      </c>
      <c r="D1182" s="142" t="s">
        <v>196</v>
      </c>
      <c r="E1182" s="33">
        <v>0</v>
      </c>
      <c r="F1182" s="33" t="s">
        <v>1336</v>
      </c>
      <c r="G1182" s="33" t="s">
        <v>1337</v>
      </c>
      <c r="H1182" s="33" t="s">
        <v>1142</v>
      </c>
      <c r="I1182" s="17" t="b">
        <v>1</v>
      </c>
      <c r="K1182" s="21" t="str">
        <f t="shared" si="28"/>
        <v>https://version2.ice-d.org/antarctica/sample/CF_58B_08/</v>
      </c>
      <c r="L1182" s="121" t="s">
        <v>39</v>
      </c>
      <c r="M1182" s="155"/>
      <c r="O1182" s="28" t="s">
        <v>1348</v>
      </c>
      <c r="P1182" s="22">
        <v>-80.260120000000001</v>
      </c>
      <c r="Q1182" s="22">
        <v>-28.852</v>
      </c>
      <c r="R1182" s="22"/>
      <c r="S1182" s="22">
        <v>278</v>
      </c>
      <c r="T1182" s="17">
        <v>268</v>
      </c>
      <c r="U1182" s="23">
        <v>190</v>
      </c>
      <c r="V1182" s="151" t="s">
        <v>2437</v>
      </c>
      <c r="W1182" s="44" t="s">
        <v>2438</v>
      </c>
      <c r="X1182" s="22">
        <f t="shared" si="29"/>
        <v>10</v>
      </c>
      <c r="Y1182" s="22">
        <v>3.5</v>
      </c>
      <c r="Z1182" s="22">
        <v>2.65</v>
      </c>
      <c r="AA1182" s="17" t="s">
        <v>73</v>
      </c>
      <c r="AB1182" s="26">
        <v>16676</v>
      </c>
      <c r="AC1182" s="26">
        <v>1259</v>
      </c>
      <c r="AD1182" s="26"/>
      <c r="AE1182" s="27">
        <v>186800</v>
      </c>
      <c r="AF1182" s="27">
        <v>7190</v>
      </c>
      <c r="AG1182" s="27">
        <v>828000</v>
      </c>
      <c r="AH1182" s="27">
        <v>62000</v>
      </c>
      <c r="AI1182" s="27">
        <v>2009</v>
      </c>
      <c r="AJ1182" s="17">
        <v>0</v>
      </c>
      <c r="AK1182" s="34">
        <v>1</v>
      </c>
      <c r="AL1182" s="17" t="s">
        <v>1339</v>
      </c>
    </row>
    <row r="1183" spans="1:38" ht="12.75" customHeight="1">
      <c r="A1183" s="121" t="s">
        <v>1365</v>
      </c>
      <c r="B1183" s="33" t="s">
        <v>1356</v>
      </c>
      <c r="C1183" s="27">
        <v>141</v>
      </c>
      <c r="D1183" s="142" t="s">
        <v>196</v>
      </c>
      <c r="E1183" s="33">
        <v>0</v>
      </c>
      <c r="F1183" s="33" t="s">
        <v>1336</v>
      </c>
      <c r="G1183" s="33" t="s">
        <v>1337</v>
      </c>
      <c r="H1183" s="33" t="s">
        <v>1142</v>
      </c>
      <c r="I1183" s="17" t="b">
        <v>1</v>
      </c>
      <c r="K1183" s="21" t="str">
        <f t="shared" si="28"/>
        <v>https://version2.ice-d.org/antarctica/sample/CF_60_08/</v>
      </c>
      <c r="L1183" s="121" t="s">
        <v>39</v>
      </c>
      <c r="M1183" s="155"/>
      <c r="O1183" s="28" t="s">
        <v>1351</v>
      </c>
      <c r="P1183" s="22">
        <v>-80.261880000000005</v>
      </c>
      <c r="Q1183" s="22">
        <v>-28.843170000000001</v>
      </c>
      <c r="R1183" s="22"/>
      <c r="S1183" s="22">
        <v>268</v>
      </c>
      <c r="T1183" s="17">
        <v>268</v>
      </c>
      <c r="U1183" s="23">
        <v>190</v>
      </c>
      <c r="V1183" s="151" t="s">
        <v>2437</v>
      </c>
      <c r="W1183" s="44" t="s">
        <v>2438</v>
      </c>
      <c r="X1183" s="22">
        <f t="shared" si="29"/>
        <v>0</v>
      </c>
      <c r="Y1183" s="22">
        <v>5</v>
      </c>
      <c r="Z1183" s="22">
        <v>2.65</v>
      </c>
      <c r="AA1183" s="17" t="s">
        <v>73</v>
      </c>
      <c r="AB1183" s="26">
        <v>1931</v>
      </c>
      <c r="AC1183" s="26">
        <v>83</v>
      </c>
      <c r="AD1183" s="26"/>
      <c r="AE1183" s="27">
        <v>5495000</v>
      </c>
      <c r="AF1183" s="27">
        <v>122000</v>
      </c>
      <c r="AG1183" s="27">
        <v>26710000</v>
      </c>
      <c r="AH1183" s="27">
        <v>1360000</v>
      </c>
      <c r="AI1183" s="27">
        <v>2009</v>
      </c>
      <c r="AJ1183" s="17">
        <v>0</v>
      </c>
      <c r="AK1183" s="34">
        <v>1</v>
      </c>
      <c r="AL1183" s="17" t="s">
        <v>1339</v>
      </c>
    </row>
    <row r="1184" spans="1:38" ht="15.75" customHeight="1">
      <c r="A1184" s="130" t="s">
        <v>1366</v>
      </c>
      <c r="B1184" s="33" t="s">
        <v>1367</v>
      </c>
      <c r="C1184" s="17">
        <v>142</v>
      </c>
      <c r="D1184" s="142" t="s">
        <v>196</v>
      </c>
      <c r="E1184" s="19">
        <v>0</v>
      </c>
      <c r="F1184" s="33" t="s">
        <v>1368</v>
      </c>
      <c r="G1184" s="19" t="s">
        <v>1308</v>
      </c>
      <c r="H1184" s="19" t="s">
        <v>1142</v>
      </c>
      <c r="I1184" s="17" t="b">
        <v>0</v>
      </c>
      <c r="K1184" s="21" t="str">
        <f t="shared" si="28"/>
        <v>https://version2.ice-d.org/antarctica/sample/10-MPS-073-CRK/</v>
      </c>
      <c r="L1184" s="130" t="s">
        <v>1292</v>
      </c>
      <c r="M1184" s="154" t="s">
        <v>2414</v>
      </c>
      <c r="O1184" s="17" t="s">
        <v>1310</v>
      </c>
      <c r="P1184" s="22">
        <v>-83.654120000000006</v>
      </c>
      <c r="Q1184" s="22">
        <v>-58.910730000000001</v>
      </c>
      <c r="R1184" s="22"/>
      <c r="S1184" s="22">
        <v>739.9705166</v>
      </c>
      <c r="T1184" s="22"/>
      <c r="U1184" s="23">
        <v>500</v>
      </c>
      <c r="V1184" s="23" t="s">
        <v>1942</v>
      </c>
      <c r="W1184" s="44" t="s">
        <v>2446</v>
      </c>
      <c r="X1184" s="22"/>
      <c r="Y1184" s="22">
        <v>3</v>
      </c>
      <c r="Z1184" s="22">
        <v>2.5</v>
      </c>
      <c r="AA1184" s="17" t="s">
        <v>73</v>
      </c>
      <c r="AB1184" s="26">
        <v>1091</v>
      </c>
      <c r="AC1184" s="26">
        <v>1014</v>
      </c>
      <c r="AD1184" s="26"/>
      <c r="AE1184" s="27">
        <v>82777</v>
      </c>
      <c r="AF1184" s="27">
        <v>2321</v>
      </c>
      <c r="AG1184" s="28"/>
      <c r="AH1184" s="28"/>
      <c r="AI1184" s="17">
        <v>2014</v>
      </c>
      <c r="AJ1184" s="17">
        <v>0</v>
      </c>
      <c r="AK1184" s="17">
        <v>1</v>
      </c>
      <c r="AL1184" s="17" t="s">
        <v>1302</v>
      </c>
    </row>
    <row r="1185" spans="1:38" ht="15.75" customHeight="1">
      <c r="A1185" s="130" t="s">
        <v>1369</v>
      </c>
      <c r="B1185" s="33" t="s">
        <v>1367</v>
      </c>
      <c r="C1185" s="17">
        <v>142</v>
      </c>
      <c r="D1185" s="142" t="s">
        <v>196</v>
      </c>
      <c r="E1185" s="19">
        <v>0</v>
      </c>
      <c r="F1185" s="33" t="s">
        <v>1368</v>
      </c>
      <c r="G1185" s="19" t="s">
        <v>1308</v>
      </c>
      <c r="H1185" s="19" t="s">
        <v>1142</v>
      </c>
      <c r="I1185" s="17" t="b">
        <v>0</v>
      </c>
      <c r="K1185" s="21" t="str">
        <f t="shared" si="28"/>
        <v>https://version2.ice-d.org/antarctica/sample/10-MPS-075-CRK/</v>
      </c>
      <c r="L1185" s="130" t="s">
        <v>1292</v>
      </c>
      <c r="M1185" s="155"/>
      <c r="O1185" s="17" t="s">
        <v>1310</v>
      </c>
      <c r="P1185" s="22">
        <v>-83.648660000000007</v>
      </c>
      <c r="Q1185" s="22">
        <v>-58.89922</v>
      </c>
      <c r="R1185" s="22"/>
      <c r="S1185" s="22">
        <v>683.66130280000004</v>
      </c>
      <c r="T1185" s="22"/>
      <c r="U1185" s="23">
        <v>500</v>
      </c>
      <c r="V1185" s="23" t="s">
        <v>1942</v>
      </c>
      <c r="W1185" s="44" t="s">
        <v>2446</v>
      </c>
      <c r="X1185" s="22"/>
      <c r="Y1185" s="22">
        <v>3</v>
      </c>
      <c r="Z1185" s="22">
        <v>2.5</v>
      </c>
      <c r="AA1185" s="17" t="s">
        <v>73</v>
      </c>
      <c r="AB1185" s="26">
        <v>1854</v>
      </c>
      <c r="AC1185" s="26">
        <v>879</v>
      </c>
      <c r="AD1185" s="26"/>
      <c r="AE1185" s="27">
        <v>65463</v>
      </c>
      <c r="AF1185" s="27">
        <v>2190</v>
      </c>
      <c r="AG1185" s="28"/>
      <c r="AH1185" s="28"/>
      <c r="AI1185" s="17">
        <v>2014</v>
      </c>
      <c r="AJ1185" s="17">
        <v>0</v>
      </c>
      <c r="AK1185" s="17">
        <v>1</v>
      </c>
      <c r="AL1185" s="17" t="s">
        <v>1302</v>
      </c>
    </row>
    <row r="1186" spans="1:38" ht="12.75" customHeight="1">
      <c r="A1186" s="130" t="s">
        <v>1370</v>
      </c>
      <c r="B1186" s="33" t="s">
        <v>1367</v>
      </c>
      <c r="C1186" s="17">
        <v>142</v>
      </c>
      <c r="D1186" s="142" t="s">
        <v>196</v>
      </c>
      <c r="E1186" s="19">
        <v>0</v>
      </c>
      <c r="F1186" s="33" t="s">
        <v>1368</v>
      </c>
      <c r="G1186" s="19" t="s">
        <v>1308</v>
      </c>
      <c r="H1186" s="19" t="s">
        <v>1142</v>
      </c>
      <c r="I1186" s="17" t="b">
        <v>0</v>
      </c>
      <c r="K1186" s="21" t="str">
        <f t="shared" si="28"/>
        <v>https://version2.ice-d.org/antarctica/sample/10-MPS-077-CRK/</v>
      </c>
      <c r="L1186" s="130" t="s">
        <v>1292</v>
      </c>
      <c r="M1186" s="155"/>
      <c r="O1186" s="28" t="s">
        <v>1371</v>
      </c>
      <c r="P1186" s="22">
        <v>-83.636769999999999</v>
      </c>
      <c r="Q1186" s="22">
        <v>-59.011690000000002</v>
      </c>
      <c r="R1186" s="22"/>
      <c r="S1186" s="22">
        <v>487.95360599999998</v>
      </c>
      <c r="T1186" s="22"/>
      <c r="U1186" s="23">
        <v>500</v>
      </c>
      <c r="V1186" s="23" t="s">
        <v>1942</v>
      </c>
      <c r="W1186" s="44" t="s">
        <v>2446</v>
      </c>
      <c r="X1186" s="22"/>
      <c r="Y1186" s="22">
        <v>2.5</v>
      </c>
      <c r="Z1186" s="22">
        <v>2.5</v>
      </c>
      <c r="AA1186" s="17" t="s">
        <v>73</v>
      </c>
      <c r="AB1186" s="26">
        <v>2265</v>
      </c>
      <c r="AC1186" s="26">
        <v>507</v>
      </c>
      <c r="AD1186" s="26"/>
      <c r="AE1186" s="27">
        <v>39231</v>
      </c>
      <c r="AF1186" s="27">
        <v>1164</v>
      </c>
      <c r="AG1186" s="28"/>
      <c r="AH1186" s="28"/>
      <c r="AI1186" s="17">
        <v>2014</v>
      </c>
      <c r="AJ1186" s="17">
        <v>0</v>
      </c>
      <c r="AK1186" s="17">
        <v>1</v>
      </c>
      <c r="AL1186" s="17" t="s">
        <v>1372</v>
      </c>
    </row>
    <row r="1187" spans="1:38" ht="12.75" customHeight="1">
      <c r="A1187" s="130" t="s">
        <v>1370</v>
      </c>
      <c r="B1187" s="33" t="s">
        <v>1367</v>
      </c>
      <c r="C1187" s="17">
        <v>142</v>
      </c>
      <c r="D1187" s="142" t="s">
        <v>196</v>
      </c>
      <c r="E1187" s="19">
        <v>0</v>
      </c>
      <c r="F1187" s="33" t="s">
        <v>1368</v>
      </c>
      <c r="G1187" s="19" t="s">
        <v>1308</v>
      </c>
      <c r="H1187" s="19" t="s">
        <v>1142</v>
      </c>
      <c r="I1187" s="17" t="b">
        <v>0</v>
      </c>
      <c r="K1187" s="21" t="str">
        <f t="shared" si="28"/>
        <v>https://version2.ice-d.org/antarctica/sample/10-MPS-077-CRK/</v>
      </c>
      <c r="L1187" s="130" t="s">
        <v>1292</v>
      </c>
      <c r="M1187" s="155"/>
      <c r="O1187" s="28" t="s">
        <v>1373</v>
      </c>
      <c r="P1187" s="17">
        <v>-83.636769999999999</v>
      </c>
      <c r="Q1187" s="17">
        <v>-59.011690000000002</v>
      </c>
      <c r="S1187" s="17">
        <v>487.95360599999998</v>
      </c>
      <c r="U1187" s="23">
        <v>500</v>
      </c>
      <c r="V1187" s="23" t="s">
        <v>1942</v>
      </c>
      <c r="W1187" s="44" t="s">
        <v>2446</v>
      </c>
      <c r="Y1187" s="17">
        <v>2.5</v>
      </c>
      <c r="Z1187" s="17">
        <v>2.5</v>
      </c>
      <c r="AA1187" s="17" t="s">
        <v>73</v>
      </c>
      <c r="AB1187" s="56">
        <v>3438</v>
      </c>
      <c r="AC1187" s="56">
        <v>1110</v>
      </c>
      <c r="AD1187" s="56"/>
      <c r="AE1187" s="28">
        <v>39231</v>
      </c>
      <c r="AF1187" s="28">
        <v>1164</v>
      </c>
      <c r="AG1187" s="28"/>
      <c r="AH1187" s="28"/>
      <c r="AI1187" s="17">
        <v>2014</v>
      </c>
      <c r="AJ1187" s="17">
        <v>0</v>
      </c>
      <c r="AK1187" s="17">
        <v>1</v>
      </c>
      <c r="AL1187" s="17" t="s">
        <v>1372</v>
      </c>
    </row>
    <row r="1188" spans="1:38" ht="12.75" customHeight="1">
      <c r="A1188" s="130" t="s">
        <v>1374</v>
      </c>
      <c r="B1188" s="33" t="s">
        <v>1367</v>
      </c>
      <c r="C1188" s="17">
        <v>142</v>
      </c>
      <c r="D1188" s="142" t="s">
        <v>196</v>
      </c>
      <c r="E1188" s="19">
        <v>0</v>
      </c>
      <c r="F1188" s="33" t="s">
        <v>1368</v>
      </c>
      <c r="G1188" s="19" t="s">
        <v>1308</v>
      </c>
      <c r="H1188" s="19" t="s">
        <v>1142</v>
      </c>
      <c r="I1188" s="17" t="b">
        <v>0</v>
      </c>
      <c r="K1188" s="21" t="str">
        <f t="shared" si="28"/>
        <v>https://version2.ice-d.org/antarctica/sample/10-MPS-090-CRK/</v>
      </c>
      <c r="L1188" s="130" t="s">
        <v>1292</v>
      </c>
      <c r="M1188" s="155"/>
      <c r="O1188" s="17" t="s">
        <v>1310</v>
      </c>
      <c r="P1188" s="22">
        <v>-83.641279999999995</v>
      </c>
      <c r="Q1188" s="22">
        <v>-58.943129999999996</v>
      </c>
      <c r="R1188" s="22"/>
      <c r="S1188" s="22">
        <v>594.17325930000004</v>
      </c>
      <c r="T1188" s="22"/>
      <c r="U1188" s="23">
        <v>500</v>
      </c>
      <c r="V1188" s="23" t="s">
        <v>1942</v>
      </c>
      <c r="W1188" s="44" t="s">
        <v>2446</v>
      </c>
      <c r="X1188" s="22"/>
      <c r="Y1188" s="22">
        <v>5</v>
      </c>
      <c r="Z1188" s="22">
        <v>2.5</v>
      </c>
      <c r="AA1188" s="17" t="s">
        <v>73</v>
      </c>
      <c r="AB1188" s="26">
        <v>1114</v>
      </c>
      <c r="AC1188" s="26">
        <v>852</v>
      </c>
      <c r="AD1188" s="26"/>
      <c r="AE1188" s="27">
        <v>58523</v>
      </c>
      <c r="AF1188" s="27">
        <v>1767</v>
      </c>
      <c r="AG1188" s="28"/>
      <c r="AH1188" s="28"/>
      <c r="AI1188" s="17">
        <v>2014</v>
      </c>
      <c r="AJ1188" s="17">
        <v>0</v>
      </c>
      <c r="AK1188" s="17">
        <v>1</v>
      </c>
      <c r="AL1188" s="17" t="s">
        <v>1302</v>
      </c>
    </row>
    <row r="1189" spans="1:38" ht="12.75" customHeight="1">
      <c r="A1189" s="130" t="s">
        <v>1375</v>
      </c>
      <c r="B1189" s="33" t="s">
        <v>1367</v>
      </c>
      <c r="C1189" s="17">
        <v>142</v>
      </c>
      <c r="D1189" s="142" t="s">
        <v>196</v>
      </c>
      <c r="E1189" s="19">
        <v>0</v>
      </c>
      <c r="F1189" s="33" t="s">
        <v>1368</v>
      </c>
      <c r="G1189" s="19" t="s">
        <v>1308</v>
      </c>
      <c r="H1189" s="19" t="s">
        <v>1142</v>
      </c>
      <c r="I1189" s="17" t="b">
        <v>0</v>
      </c>
      <c r="K1189" s="21" t="str">
        <f t="shared" si="28"/>
        <v>https://version2.ice-d.org/antarctica/sample/10-MPS-095-CRK/</v>
      </c>
      <c r="L1189" s="130" t="s">
        <v>1292</v>
      </c>
      <c r="M1189" s="155"/>
      <c r="O1189" s="28" t="s">
        <v>1373</v>
      </c>
      <c r="P1189" s="22">
        <v>-83.641949999999994</v>
      </c>
      <c r="Q1189" s="22">
        <v>-58.95523</v>
      </c>
      <c r="R1189" s="22"/>
      <c r="S1189" s="22">
        <v>576.25669130000006</v>
      </c>
      <c r="T1189" s="22"/>
      <c r="U1189" s="23">
        <v>500</v>
      </c>
      <c r="V1189" s="23" t="s">
        <v>1942</v>
      </c>
      <c r="W1189" s="44" t="s">
        <v>2446</v>
      </c>
      <c r="X1189" s="22"/>
      <c r="Y1189" s="22">
        <v>3</v>
      </c>
      <c r="Z1189" s="22">
        <v>2.6</v>
      </c>
      <c r="AA1189" s="17" t="s">
        <v>73</v>
      </c>
      <c r="AB1189" s="26">
        <v>1935</v>
      </c>
      <c r="AC1189" s="26">
        <v>495</v>
      </c>
      <c r="AD1189" s="26"/>
      <c r="AE1189" s="27">
        <v>50475</v>
      </c>
      <c r="AF1189" s="27">
        <v>2462</v>
      </c>
      <c r="AG1189" s="28"/>
      <c r="AH1189" s="28"/>
      <c r="AI1189" s="17">
        <v>2014</v>
      </c>
      <c r="AJ1189" s="17">
        <v>0</v>
      </c>
      <c r="AK1189" s="17">
        <v>1</v>
      </c>
      <c r="AL1189" s="17" t="s">
        <v>1372</v>
      </c>
    </row>
    <row r="1190" spans="1:38" ht="12.75" customHeight="1">
      <c r="A1190" s="130" t="s">
        <v>1375</v>
      </c>
      <c r="B1190" s="33" t="s">
        <v>1367</v>
      </c>
      <c r="C1190" s="17">
        <v>142</v>
      </c>
      <c r="D1190" s="142" t="s">
        <v>196</v>
      </c>
      <c r="E1190" s="19">
        <v>0</v>
      </c>
      <c r="F1190" s="33" t="s">
        <v>1368</v>
      </c>
      <c r="G1190" s="19" t="s">
        <v>1308</v>
      </c>
      <c r="H1190" s="19" t="s">
        <v>1142</v>
      </c>
      <c r="I1190" s="17" t="b">
        <v>0</v>
      </c>
      <c r="K1190" s="21" t="str">
        <f t="shared" si="28"/>
        <v>https://version2.ice-d.org/antarctica/sample/10-MPS-095-CRK/</v>
      </c>
      <c r="L1190" s="130" t="s">
        <v>1292</v>
      </c>
      <c r="M1190" s="155"/>
      <c r="O1190" s="28" t="s">
        <v>1376</v>
      </c>
      <c r="P1190" s="22">
        <v>-83.641949999999994</v>
      </c>
      <c r="Q1190" s="22">
        <v>-58.95523</v>
      </c>
      <c r="R1190" s="22"/>
      <c r="S1190" s="22">
        <v>576.25669130000006</v>
      </c>
      <c r="T1190" s="22"/>
      <c r="U1190" s="23">
        <v>500</v>
      </c>
      <c r="V1190" s="23" t="s">
        <v>1942</v>
      </c>
      <c r="W1190" s="44" t="s">
        <v>2446</v>
      </c>
      <c r="X1190" s="22"/>
      <c r="Y1190" s="22">
        <v>3</v>
      </c>
      <c r="Z1190" s="22">
        <v>2.6</v>
      </c>
      <c r="AA1190" s="17" t="s">
        <v>73</v>
      </c>
      <c r="AB1190" s="26">
        <v>2372</v>
      </c>
      <c r="AC1190" s="26">
        <v>1252</v>
      </c>
      <c r="AD1190" s="26"/>
      <c r="AE1190" s="27">
        <v>50475</v>
      </c>
      <c r="AF1190" s="27">
        <v>2462</v>
      </c>
      <c r="AG1190" s="28"/>
      <c r="AH1190" s="28"/>
      <c r="AI1190" s="17">
        <v>2014</v>
      </c>
      <c r="AJ1190" s="17">
        <v>0</v>
      </c>
      <c r="AK1190" s="17">
        <v>1</v>
      </c>
      <c r="AL1190" s="17" t="s">
        <v>1372</v>
      </c>
    </row>
    <row r="1191" spans="1:38" ht="12.75" customHeight="1">
      <c r="A1191" s="130" t="s">
        <v>1377</v>
      </c>
      <c r="B1191" s="33" t="s">
        <v>1367</v>
      </c>
      <c r="C1191" s="17">
        <v>142</v>
      </c>
      <c r="D1191" s="142" t="s">
        <v>196</v>
      </c>
      <c r="E1191" s="19">
        <v>0</v>
      </c>
      <c r="F1191" s="33" t="s">
        <v>1368</v>
      </c>
      <c r="G1191" s="19" t="s">
        <v>1308</v>
      </c>
      <c r="H1191" s="19" t="s">
        <v>1142</v>
      </c>
      <c r="I1191" s="17" t="b">
        <v>0</v>
      </c>
      <c r="K1191" s="21" t="str">
        <f t="shared" si="28"/>
        <v>https://version2.ice-d.org/antarctica/sample/10-MPS-099-CRK/</v>
      </c>
      <c r="L1191" s="130" t="s">
        <v>1292</v>
      </c>
      <c r="M1191" s="155"/>
      <c r="O1191" s="28" t="s">
        <v>1378</v>
      </c>
      <c r="P1191" s="22">
        <v>-83.639349999999993</v>
      </c>
      <c r="Q1191" s="22">
        <v>-58.978540000000002</v>
      </c>
      <c r="R1191" s="22"/>
      <c r="S1191" s="22">
        <v>565.26027920000001</v>
      </c>
      <c r="T1191" s="22"/>
      <c r="U1191" s="23">
        <v>500</v>
      </c>
      <c r="V1191" s="23" t="s">
        <v>1942</v>
      </c>
      <c r="W1191" s="44" t="s">
        <v>2446</v>
      </c>
      <c r="X1191" s="22"/>
      <c r="Y1191" s="22">
        <v>4</v>
      </c>
      <c r="Z1191" s="22">
        <v>2.6</v>
      </c>
      <c r="AA1191" s="17" t="s">
        <v>73</v>
      </c>
      <c r="AB1191" s="26">
        <v>1003</v>
      </c>
      <c r="AC1191" s="26">
        <v>538</v>
      </c>
      <c r="AD1191" s="26"/>
      <c r="AE1191" s="27">
        <v>56116</v>
      </c>
      <c r="AF1191" s="27">
        <v>1513</v>
      </c>
      <c r="AG1191" s="28"/>
      <c r="AH1191" s="28"/>
      <c r="AI1191" s="17">
        <v>2014</v>
      </c>
      <c r="AJ1191" s="17">
        <v>0</v>
      </c>
      <c r="AK1191" s="17">
        <v>1</v>
      </c>
      <c r="AL1191" s="17" t="s">
        <v>1372</v>
      </c>
    </row>
    <row r="1192" spans="1:38" ht="12.75" customHeight="1">
      <c r="A1192" s="130" t="s">
        <v>1377</v>
      </c>
      <c r="B1192" s="33" t="s">
        <v>1367</v>
      </c>
      <c r="C1192" s="17">
        <v>142</v>
      </c>
      <c r="D1192" s="142" t="s">
        <v>196</v>
      </c>
      <c r="E1192" s="19">
        <v>0</v>
      </c>
      <c r="F1192" s="33" t="s">
        <v>1368</v>
      </c>
      <c r="G1192" s="19" t="s">
        <v>1308</v>
      </c>
      <c r="H1192" s="19" t="s">
        <v>1142</v>
      </c>
      <c r="I1192" s="17" t="b">
        <v>0</v>
      </c>
      <c r="K1192" s="21" t="str">
        <f t="shared" si="28"/>
        <v>https://version2.ice-d.org/antarctica/sample/10-MPS-099-CRK/</v>
      </c>
      <c r="L1192" s="130" t="s">
        <v>1292</v>
      </c>
      <c r="M1192" s="155"/>
      <c r="O1192" s="28" t="s">
        <v>1379</v>
      </c>
      <c r="P1192" s="22">
        <v>-83.639349999999993</v>
      </c>
      <c r="Q1192" s="22">
        <v>-58.978540000000002</v>
      </c>
      <c r="R1192" s="22"/>
      <c r="S1192" s="22">
        <v>565.26027920000001</v>
      </c>
      <c r="T1192" s="22"/>
      <c r="U1192" s="23">
        <v>500</v>
      </c>
      <c r="V1192" s="23" t="s">
        <v>1942</v>
      </c>
      <c r="W1192" s="44" t="s">
        <v>2446</v>
      </c>
      <c r="X1192" s="22"/>
      <c r="Y1192" s="22">
        <v>4</v>
      </c>
      <c r="Z1192" s="22">
        <v>2.6</v>
      </c>
      <c r="AA1192" s="17" t="s">
        <v>73</v>
      </c>
      <c r="AB1192" s="26">
        <v>2269</v>
      </c>
      <c r="AC1192" s="26">
        <v>747</v>
      </c>
      <c r="AD1192" s="26"/>
      <c r="AE1192" s="27">
        <v>56116</v>
      </c>
      <c r="AF1192" s="27">
        <v>1513</v>
      </c>
      <c r="AG1192" s="28"/>
      <c r="AH1192" s="28"/>
      <c r="AI1192" s="17">
        <v>2014</v>
      </c>
      <c r="AJ1192" s="17">
        <v>0</v>
      </c>
      <c r="AK1192" s="17">
        <v>1</v>
      </c>
      <c r="AL1192" s="17" t="s">
        <v>1372</v>
      </c>
    </row>
    <row r="1193" spans="1:38" ht="12.75" customHeight="1">
      <c r="A1193" s="130" t="s">
        <v>1377</v>
      </c>
      <c r="B1193" s="33" t="s">
        <v>1367</v>
      </c>
      <c r="C1193" s="17">
        <v>142</v>
      </c>
      <c r="D1193" s="142" t="s">
        <v>196</v>
      </c>
      <c r="E1193" s="19">
        <v>0</v>
      </c>
      <c r="F1193" s="33" t="s">
        <v>1368</v>
      </c>
      <c r="G1193" s="19" t="s">
        <v>1308</v>
      </c>
      <c r="H1193" s="19" t="s">
        <v>1142</v>
      </c>
      <c r="I1193" s="17" t="b">
        <v>0</v>
      </c>
      <c r="K1193" s="21" t="str">
        <f t="shared" si="28"/>
        <v>https://version2.ice-d.org/antarctica/sample/10-MPS-099-CRK/</v>
      </c>
      <c r="L1193" s="130" t="s">
        <v>1292</v>
      </c>
      <c r="M1193" s="155"/>
      <c r="O1193" s="28" t="s">
        <v>1380</v>
      </c>
      <c r="P1193" s="22">
        <v>-83.639349999999993</v>
      </c>
      <c r="Q1193" s="22">
        <v>-58.978540000000002</v>
      </c>
      <c r="R1193" s="22"/>
      <c r="S1193" s="22">
        <v>565.26027920000001</v>
      </c>
      <c r="T1193" s="22"/>
      <c r="U1193" s="23">
        <v>500</v>
      </c>
      <c r="V1193" s="23" t="s">
        <v>1942</v>
      </c>
      <c r="W1193" s="44" t="s">
        <v>2446</v>
      </c>
      <c r="X1193" s="22"/>
      <c r="Y1193" s="22">
        <v>4</v>
      </c>
      <c r="Z1193" s="22">
        <v>2.6</v>
      </c>
      <c r="AA1193" s="17" t="s">
        <v>73</v>
      </c>
      <c r="AB1193" s="26">
        <v>3359</v>
      </c>
      <c r="AC1193" s="26">
        <v>633</v>
      </c>
      <c r="AD1193" s="26"/>
      <c r="AE1193" s="27">
        <v>56116</v>
      </c>
      <c r="AF1193" s="27">
        <v>1513</v>
      </c>
      <c r="AG1193" s="28"/>
      <c r="AH1193" s="28"/>
      <c r="AI1193" s="17">
        <v>2014</v>
      </c>
      <c r="AJ1193" s="17">
        <v>0</v>
      </c>
      <c r="AK1193" s="17">
        <v>1</v>
      </c>
      <c r="AL1193" s="17" t="s">
        <v>1372</v>
      </c>
    </row>
    <row r="1194" spans="1:38" ht="12.75" customHeight="1">
      <c r="A1194" s="102" t="s">
        <v>1381</v>
      </c>
      <c r="B1194" s="144" t="s">
        <v>1382</v>
      </c>
      <c r="C1194" s="17">
        <v>142</v>
      </c>
      <c r="D1194" s="142" t="s">
        <v>196</v>
      </c>
      <c r="E1194" s="19">
        <v>0</v>
      </c>
      <c r="F1194" s="33" t="s">
        <v>1368</v>
      </c>
      <c r="G1194" s="19" t="s">
        <v>1308</v>
      </c>
      <c r="H1194" s="19" t="s">
        <v>1142</v>
      </c>
      <c r="I1194" s="17" t="b">
        <v>0</v>
      </c>
      <c r="K1194" s="21" t="str">
        <f t="shared" si="28"/>
        <v>https://version2.ice-d.org/antarctica/sample/10-MPS-120-IBR/</v>
      </c>
      <c r="L1194" s="102" t="s">
        <v>39</v>
      </c>
      <c r="M1194" s="156" t="s">
        <v>44</v>
      </c>
      <c r="O1194" s="28" t="s">
        <v>1383</v>
      </c>
      <c r="P1194" s="22">
        <v>-83.809370000000001</v>
      </c>
      <c r="Q1194" s="22">
        <v>-58.8613</v>
      </c>
      <c r="R1194" s="22"/>
      <c r="S1194" s="22">
        <v>631.85493020000001</v>
      </c>
      <c r="T1194" s="22"/>
      <c r="U1194" s="23">
        <v>500</v>
      </c>
      <c r="V1194" s="23" t="s">
        <v>1942</v>
      </c>
      <c r="W1194" s="44" t="s">
        <v>2446</v>
      </c>
      <c r="X1194" s="22"/>
      <c r="Y1194" s="22">
        <v>5.5</v>
      </c>
      <c r="Z1194" s="22">
        <v>2.5</v>
      </c>
      <c r="AA1194" s="17" t="s">
        <v>73</v>
      </c>
      <c r="AB1194" s="26">
        <v>2224</v>
      </c>
      <c r="AC1194" s="26">
        <v>559</v>
      </c>
      <c r="AD1194" s="26"/>
      <c r="AE1194" s="27">
        <v>37285</v>
      </c>
      <c r="AF1194" s="27">
        <v>1193</v>
      </c>
      <c r="AG1194" s="28"/>
      <c r="AH1194" s="28"/>
      <c r="AI1194" s="17">
        <v>2014</v>
      </c>
      <c r="AJ1194" s="17">
        <v>0</v>
      </c>
      <c r="AK1194" s="17">
        <v>1</v>
      </c>
      <c r="AL1194" s="17" t="s">
        <v>1372</v>
      </c>
    </row>
    <row r="1195" spans="1:38" ht="12.75" customHeight="1">
      <c r="A1195" s="102" t="s">
        <v>1381</v>
      </c>
      <c r="B1195" s="144" t="s">
        <v>1382</v>
      </c>
      <c r="C1195" s="17">
        <v>142</v>
      </c>
      <c r="D1195" s="142" t="s">
        <v>196</v>
      </c>
      <c r="E1195" s="19">
        <v>0</v>
      </c>
      <c r="F1195" s="33" t="s">
        <v>1368</v>
      </c>
      <c r="G1195" s="19" t="s">
        <v>1308</v>
      </c>
      <c r="H1195" s="19" t="s">
        <v>1142</v>
      </c>
      <c r="I1195" s="17" t="b">
        <v>0</v>
      </c>
      <c r="K1195" s="21" t="str">
        <f t="shared" si="28"/>
        <v>https://version2.ice-d.org/antarctica/sample/10-MPS-120-IBR/</v>
      </c>
      <c r="L1195" s="102" t="s">
        <v>39</v>
      </c>
      <c r="M1195" s="155"/>
      <c r="O1195" s="28" t="s">
        <v>1384</v>
      </c>
      <c r="P1195" s="22">
        <v>-83.809370000000001</v>
      </c>
      <c r="Q1195" s="22">
        <v>-58.8613</v>
      </c>
      <c r="R1195" s="22"/>
      <c r="S1195" s="22">
        <v>631.85493020000001</v>
      </c>
      <c r="T1195" s="22"/>
      <c r="U1195" s="23">
        <v>500</v>
      </c>
      <c r="V1195" s="23" t="s">
        <v>1942</v>
      </c>
      <c r="W1195" s="44" t="s">
        <v>2446</v>
      </c>
      <c r="X1195" s="22"/>
      <c r="Y1195" s="22">
        <v>5.5</v>
      </c>
      <c r="Z1195" s="22">
        <v>2.5</v>
      </c>
      <c r="AA1195" s="17" t="s">
        <v>73</v>
      </c>
      <c r="AB1195" s="26">
        <v>2614</v>
      </c>
      <c r="AC1195" s="26">
        <v>871</v>
      </c>
      <c r="AD1195" s="26"/>
      <c r="AE1195" s="27">
        <v>37285</v>
      </c>
      <c r="AF1195" s="27">
        <v>1193</v>
      </c>
      <c r="AG1195" s="28"/>
      <c r="AH1195" s="28"/>
      <c r="AI1195" s="17">
        <v>2014</v>
      </c>
      <c r="AJ1195" s="17">
        <v>0</v>
      </c>
      <c r="AK1195" s="17">
        <v>1</v>
      </c>
      <c r="AL1195" s="17" t="s">
        <v>1372</v>
      </c>
    </row>
    <row r="1196" spans="1:38" ht="12.75" customHeight="1">
      <c r="A1196" s="102" t="s">
        <v>1381</v>
      </c>
      <c r="B1196" s="144" t="s">
        <v>1382</v>
      </c>
      <c r="C1196" s="17">
        <v>142</v>
      </c>
      <c r="D1196" s="142" t="s">
        <v>196</v>
      </c>
      <c r="E1196" s="19">
        <v>0</v>
      </c>
      <c r="F1196" s="33" t="s">
        <v>1368</v>
      </c>
      <c r="G1196" s="19" t="s">
        <v>1308</v>
      </c>
      <c r="H1196" s="19" t="s">
        <v>1142</v>
      </c>
      <c r="I1196" s="17" t="b">
        <v>0</v>
      </c>
      <c r="K1196" s="21" t="str">
        <f t="shared" si="28"/>
        <v>https://version2.ice-d.org/antarctica/sample/10-MPS-120-IBR/</v>
      </c>
      <c r="L1196" s="102" t="s">
        <v>39</v>
      </c>
      <c r="M1196" s="155"/>
      <c r="O1196" s="28" t="s">
        <v>1385</v>
      </c>
      <c r="P1196" s="22">
        <v>-83.809370000000001</v>
      </c>
      <c r="Q1196" s="22">
        <v>-58.8613</v>
      </c>
      <c r="R1196" s="22"/>
      <c r="S1196" s="22">
        <v>631.85493020000001</v>
      </c>
      <c r="T1196" s="22"/>
      <c r="U1196" s="23">
        <v>500</v>
      </c>
      <c r="V1196" s="23" t="s">
        <v>1942</v>
      </c>
      <c r="W1196" s="44" t="s">
        <v>2446</v>
      </c>
      <c r="X1196" s="22"/>
      <c r="Y1196" s="22">
        <v>5.5</v>
      </c>
      <c r="Z1196" s="22">
        <v>2.5</v>
      </c>
      <c r="AA1196" s="17" t="s">
        <v>73</v>
      </c>
      <c r="AB1196" s="26">
        <v>3181</v>
      </c>
      <c r="AC1196" s="26">
        <v>1381</v>
      </c>
      <c r="AD1196" s="26"/>
      <c r="AE1196" s="27">
        <v>37285</v>
      </c>
      <c r="AF1196" s="27">
        <v>1193</v>
      </c>
      <c r="AG1196" s="28"/>
      <c r="AH1196" s="28"/>
      <c r="AI1196" s="17">
        <v>2014</v>
      </c>
      <c r="AJ1196" s="17">
        <v>0</v>
      </c>
      <c r="AK1196" s="17">
        <v>1</v>
      </c>
      <c r="AL1196" s="17" t="s">
        <v>1372</v>
      </c>
    </row>
    <row r="1197" spans="1:38" ht="14.25" customHeight="1">
      <c r="A1197" s="32" t="s">
        <v>1386</v>
      </c>
      <c r="B1197" s="33" t="s">
        <v>1387</v>
      </c>
      <c r="C1197" s="17">
        <v>142</v>
      </c>
      <c r="D1197" s="142" t="s">
        <v>196</v>
      </c>
      <c r="E1197" s="19">
        <v>0</v>
      </c>
      <c r="F1197" s="33" t="s">
        <v>1368</v>
      </c>
      <c r="G1197" s="19" t="s">
        <v>1308</v>
      </c>
      <c r="H1197" s="19" t="s">
        <v>1142</v>
      </c>
      <c r="I1197" s="17" t="b">
        <v>0</v>
      </c>
      <c r="K1197" s="21" t="str">
        <f t="shared" si="28"/>
        <v>https://version2.ice-d.org/antarctica/sample/10-MPS-123-HBS/</v>
      </c>
      <c r="L1197" s="32" t="s">
        <v>39</v>
      </c>
      <c r="M1197" s="157" t="s">
        <v>44</v>
      </c>
      <c r="O1197" s="28" t="s">
        <v>1388</v>
      </c>
      <c r="P1197" s="22">
        <v>-83.745509999999996</v>
      </c>
      <c r="Q1197" s="22">
        <v>-58.830880000000001</v>
      </c>
      <c r="R1197" s="22"/>
      <c r="S1197" s="22">
        <v>995.58970020000004</v>
      </c>
      <c r="T1197" s="22"/>
      <c r="U1197" s="23">
        <v>500</v>
      </c>
      <c r="V1197" s="23" t="s">
        <v>1942</v>
      </c>
      <c r="W1197" s="44" t="s">
        <v>2446</v>
      </c>
      <c r="X1197" s="22"/>
      <c r="Y1197" s="22">
        <v>5</v>
      </c>
      <c r="Z1197" s="22">
        <v>2.5</v>
      </c>
      <c r="AA1197" s="17" t="s">
        <v>73</v>
      </c>
      <c r="AB1197" s="26">
        <v>4201</v>
      </c>
      <c r="AC1197" s="26">
        <v>439</v>
      </c>
      <c r="AD1197" s="26"/>
      <c r="AE1197" s="27">
        <v>132380</v>
      </c>
      <c r="AF1197" s="27">
        <v>2817</v>
      </c>
      <c r="AG1197" s="28"/>
      <c r="AH1197" s="28"/>
      <c r="AI1197" s="17">
        <v>2014</v>
      </c>
      <c r="AJ1197" s="17">
        <v>0</v>
      </c>
      <c r="AK1197" s="17">
        <v>1</v>
      </c>
      <c r="AL1197" s="17" t="s">
        <v>1372</v>
      </c>
    </row>
    <row r="1198" spans="1:38" ht="12.75" customHeight="1">
      <c r="A1198" s="32" t="s">
        <v>1386</v>
      </c>
      <c r="B1198" s="33" t="s">
        <v>1387</v>
      </c>
      <c r="C1198" s="17">
        <v>142</v>
      </c>
      <c r="D1198" s="142" t="s">
        <v>196</v>
      </c>
      <c r="E1198" s="19">
        <v>0</v>
      </c>
      <c r="F1198" s="33" t="s">
        <v>1368</v>
      </c>
      <c r="G1198" s="19" t="s">
        <v>1308</v>
      </c>
      <c r="H1198" s="19" t="s">
        <v>1142</v>
      </c>
      <c r="I1198" s="17" t="b">
        <v>0</v>
      </c>
      <c r="K1198" s="21" t="str">
        <f t="shared" si="28"/>
        <v>https://version2.ice-d.org/antarctica/sample/10-MPS-123-HBS/</v>
      </c>
      <c r="L1198" s="32" t="s">
        <v>39</v>
      </c>
      <c r="M1198" s="155"/>
      <c r="O1198" s="28" t="s">
        <v>1389</v>
      </c>
      <c r="P1198" s="22">
        <v>-83.745509999999996</v>
      </c>
      <c r="Q1198" s="22">
        <v>-58.830880000000001</v>
      </c>
      <c r="R1198" s="22"/>
      <c r="S1198" s="22">
        <v>995.58970020000004</v>
      </c>
      <c r="T1198" s="22"/>
      <c r="U1198" s="23">
        <v>500</v>
      </c>
      <c r="V1198" s="23" t="s">
        <v>1942</v>
      </c>
      <c r="W1198" s="44" t="s">
        <v>2446</v>
      </c>
      <c r="X1198" s="22"/>
      <c r="Y1198" s="22">
        <v>5</v>
      </c>
      <c r="Z1198" s="22">
        <v>2.5</v>
      </c>
      <c r="AA1198" s="17" t="s">
        <v>73</v>
      </c>
      <c r="AB1198" s="26">
        <v>4802</v>
      </c>
      <c r="AC1198" s="26">
        <v>698</v>
      </c>
      <c r="AD1198" s="26"/>
      <c r="AE1198" s="27">
        <v>132380</v>
      </c>
      <c r="AF1198" s="27">
        <v>2817</v>
      </c>
      <c r="AG1198" s="28"/>
      <c r="AH1198" s="28"/>
      <c r="AI1198" s="17">
        <v>2014</v>
      </c>
      <c r="AJ1198" s="17">
        <v>0</v>
      </c>
      <c r="AK1198" s="17">
        <v>1</v>
      </c>
      <c r="AL1198" s="17" t="s">
        <v>1372</v>
      </c>
    </row>
    <row r="1199" spans="1:38" ht="12.75" customHeight="1">
      <c r="A1199" s="37" t="s">
        <v>1390</v>
      </c>
      <c r="B1199" s="33" t="s">
        <v>1391</v>
      </c>
      <c r="C1199" s="17">
        <v>142</v>
      </c>
      <c r="D1199" s="142" t="s">
        <v>196</v>
      </c>
      <c r="E1199" s="19">
        <v>0</v>
      </c>
      <c r="F1199" s="33" t="s">
        <v>1368</v>
      </c>
      <c r="G1199" s="19" t="s">
        <v>1308</v>
      </c>
      <c r="H1199" s="19" t="s">
        <v>1142</v>
      </c>
      <c r="I1199" s="17" t="b">
        <v>0</v>
      </c>
      <c r="K1199" s="21" t="str">
        <f t="shared" si="28"/>
        <v>https://version2.ice-d.org/antarctica/sample/10-MPS-124-LNK/</v>
      </c>
      <c r="L1199" s="37" t="s">
        <v>1392</v>
      </c>
      <c r="M1199" s="158" t="s">
        <v>2415</v>
      </c>
      <c r="O1199" s="28" t="s">
        <v>1393</v>
      </c>
      <c r="P1199" s="22">
        <v>-83.759569999999997</v>
      </c>
      <c r="Q1199" s="22">
        <v>-59.075859999999999</v>
      </c>
      <c r="R1199" s="22"/>
      <c r="S1199" s="22">
        <v>812.15817040000002</v>
      </c>
      <c r="T1199" s="22"/>
      <c r="U1199" s="23">
        <v>500</v>
      </c>
      <c r="V1199" s="23" t="s">
        <v>1942</v>
      </c>
      <c r="W1199" s="44" t="s">
        <v>2446</v>
      </c>
      <c r="X1199" s="22"/>
      <c r="Y1199" s="22">
        <v>7</v>
      </c>
      <c r="Z1199" s="22">
        <v>2.5</v>
      </c>
      <c r="AA1199" s="17" t="s">
        <v>73</v>
      </c>
      <c r="AB1199" s="26">
        <v>2743</v>
      </c>
      <c r="AC1199" s="26">
        <v>512</v>
      </c>
      <c r="AD1199" s="26"/>
      <c r="AE1199" s="27">
        <v>87254</v>
      </c>
      <c r="AF1199" s="27">
        <v>2209</v>
      </c>
      <c r="AG1199" s="28"/>
      <c r="AH1199" s="28"/>
      <c r="AI1199" s="17">
        <v>2014</v>
      </c>
      <c r="AJ1199" s="17">
        <v>0</v>
      </c>
      <c r="AK1199" s="17">
        <v>1</v>
      </c>
      <c r="AL1199" s="17" t="s">
        <v>1372</v>
      </c>
    </row>
    <row r="1200" spans="1:38" ht="12.75" customHeight="1">
      <c r="A1200" s="37" t="s">
        <v>1390</v>
      </c>
      <c r="B1200" s="33" t="s">
        <v>1391</v>
      </c>
      <c r="C1200" s="17">
        <v>142</v>
      </c>
      <c r="D1200" s="142" t="s">
        <v>196</v>
      </c>
      <c r="E1200" s="19">
        <v>0</v>
      </c>
      <c r="F1200" s="33" t="s">
        <v>1368</v>
      </c>
      <c r="G1200" s="19" t="s">
        <v>1308</v>
      </c>
      <c r="H1200" s="19" t="s">
        <v>1142</v>
      </c>
      <c r="I1200" s="17" t="b">
        <v>0</v>
      </c>
      <c r="K1200" s="21" t="str">
        <f t="shared" si="28"/>
        <v>https://version2.ice-d.org/antarctica/sample/10-MPS-124-LNK/</v>
      </c>
      <c r="L1200" s="37" t="s">
        <v>1392</v>
      </c>
      <c r="M1200" s="155"/>
      <c r="O1200" s="28" t="s">
        <v>1394</v>
      </c>
      <c r="P1200" s="22">
        <v>-83.759569999999997</v>
      </c>
      <c r="Q1200" s="22">
        <v>-59.075859999999999</v>
      </c>
      <c r="R1200" s="22"/>
      <c r="S1200" s="22">
        <v>812.15817040000002</v>
      </c>
      <c r="T1200" s="22"/>
      <c r="U1200" s="23">
        <v>500</v>
      </c>
      <c r="V1200" s="23" t="s">
        <v>1942</v>
      </c>
      <c r="W1200" s="44" t="s">
        <v>2446</v>
      </c>
      <c r="X1200" s="22"/>
      <c r="Y1200" s="22">
        <v>7</v>
      </c>
      <c r="Z1200" s="22">
        <v>2.5</v>
      </c>
      <c r="AA1200" s="17" t="s">
        <v>73</v>
      </c>
      <c r="AB1200" s="26">
        <v>3534</v>
      </c>
      <c r="AC1200" s="26">
        <v>892</v>
      </c>
      <c r="AD1200" s="26"/>
      <c r="AE1200" s="27">
        <v>87254</v>
      </c>
      <c r="AF1200" s="27">
        <v>2209</v>
      </c>
      <c r="AG1200" s="28"/>
      <c r="AH1200" s="28"/>
      <c r="AI1200" s="17">
        <v>2014</v>
      </c>
      <c r="AJ1200" s="17">
        <v>0</v>
      </c>
      <c r="AK1200" s="17">
        <v>1</v>
      </c>
      <c r="AL1200" s="17" t="s">
        <v>1372</v>
      </c>
    </row>
    <row r="1201" spans="1:38" ht="12.75" customHeight="1">
      <c r="A1201" s="37" t="s">
        <v>1395</v>
      </c>
      <c r="B1201" s="33" t="s">
        <v>1391</v>
      </c>
      <c r="C1201" s="17">
        <v>142</v>
      </c>
      <c r="D1201" s="142" t="s">
        <v>196</v>
      </c>
      <c r="E1201" s="19">
        <v>0</v>
      </c>
      <c r="F1201" s="33" t="s">
        <v>1368</v>
      </c>
      <c r="G1201" s="19" t="s">
        <v>1308</v>
      </c>
      <c r="H1201" s="19" t="s">
        <v>1142</v>
      </c>
      <c r="I1201" s="17" t="b">
        <v>0</v>
      </c>
      <c r="K1201" s="21" t="str">
        <f t="shared" si="28"/>
        <v>https://version2.ice-d.org/antarctica/sample/10-MPS-126-LNK/</v>
      </c>
      <c r="L1201" s="37" t="s">
        <v>1392</v>
      </c>
      <c r="M1201" s="155"/>
      <c r="O1201" s="28" t="s">
        <v>1396</v>
      </c>
      <c r="P1201" s="22">
        <v>-83.760810000000006</v>
      </c>
      <c r="Q1201" s="22">
        <v>-59.07385</v>
      </c>
      <c r="R1201" s="22"/>
      <c r="S1201" s="22">
        <v>806.18598099999997</v>
      </c>
      <c r="T1201" s="22"/>
      <c r="U1201" s="23">
        <v>500</v>
      </c>
      <c r="V1201" s="23" t="s">
        <v>1942</v>
      </c>
      <c r="W1201" s="44" t="s">
        <v>2446</v>
      </c>
      <c r="X1201" s="22"/>
      <c r="Y1201" s="22">
        <v>11</v>
      </c>
      <c r="Z1201" s="22">
        <v>2.6</v>
      </c>
      <c r="AA1201" s="17" t="s">
        <v>73</v>
      </c>
      <c r="AB1201" s="26">
        <v>2746</v>
      </c>
      <c r="AC1201" s="26">
        <v>1158</v>
      </c>
      <c r="AD1201" s="26"/>
      <c r="AE1201" s="27">
        <v>87113</v>
      </c>
      <c r="AF1201" s="27">
        <v>2158</v>
      </c>
      <c r="AG1201" s="28"/>
      <c r="AH1201" s="28"/>
      <c r="AI1201" s="17">
        <v>2014</v>
      </c>
      <c r="AJ1201" s="17">
        <v>0</v>
      </c>
      <c r="AK1201" s="17">
        <v>1</v>
      </c>
      <c r="AL1201" s="17" t="s">
        <v>1372</v>
      </c>
    </row>
    <row r="1202" spans="1:38" ht="12.75" customHeight="1">
      <c r="A1202" s="37" t="s">
        <v>1395</v>
      </c>
      <c r="B1202" s="33" t="s">
        <v>1391</v>
      </c>
      <c r="C1202" s="17">
        <v>142</v>
      </c>
      <c r="D1202" s="142" t="s">
        <v>196</v>
      </c>
      <c r="E1202" s="19">
        <v>0</v>
      </c>
      <c r="F1202" s="33" t="s">
        <v>1368</v>
      </c>
      <c r="G1202" s="19" t="s">
        <v>1308</v>
      </c>
      <c r="H1202" s="19" t="s">
        <v>1142</v>
      </c>
      <c r="I1202" s="17" t="b">
        <v>0</v>
      </c>
      <c r="K1202" s="21" t="str">
        <f t="shared" si="28"/>
        <v>https://version2.ice-d.org/antarctica/sample/10-MPS-126-LNK/</v>
      </c>
      <c r="L1202" s="37" t="s">
        <v>1392</v>
      </c>
      <c r="M1202" s="155"/>
      <c r="O1202" s="28" t="s">
        <v>1397</v>
      </c>
      <c r="P1202" s="22">
        <v>-83.760810000000006</v>
      </c>
      <c r="Q1202" s="22">
        <v>-59.07385</v>
      </c>
      <c r="R1202" s="22"/>
      <c r="S1202" s="22">
        <v>806.18598099999997</v>
      </c>
      <c r="T1202" s="22"/>
      <c r="U1202" s="23">
        <v>500</v>
      </c>
      <c r="V1202" s="23" t="s">
        <v>1942</v>
      </c>
      <c r="W1202" s="44" t="s">
        <v>2446</v>
      </c>
      <c r="X1202" s="22"/>
      <c r="Y1202" s="22">
        <v>11</v>
      </c>
      <c r="Z1202" s="22">
        <v>2.6</v>
      </c>
      <c r="AA1202" s="17" t="s">
        <v>73</v>
      </c>
      <c r="AB1202" s="26">
        <v>2965</v>
      </c>
      <c r="AC1202" s="26">
        <v>522</v>
      </c>
      <c r="AD1202" s="26"/>
      <c r="AE1202" s="27">
        <v>87113</v>
      </c>
      <c r="AF1202" s="27">
        <v>2158</v>
      </c>
      <c r="AG1202" s="28"/>
      <c r="AH1202" s="28"/>
      <c r="AI1202" s="17">
        <v>2014</v>
      </c>
      <c r="AJ1202" s="17">
        <v>0</v>
      </c>
      <c r="AK1202" s="17">
        <v>1</v>
      </c>
      <c r="AL1202" s="17" t="s">
        <v>1372</v>
      </c>
    </row>
    <row r="1203" spans="1:38" ht="12.75" customHeight="1">
      <c r="A1203" s="37" t="s">
        <v>1395</v>
      </c>
      <c r="B1203" s="33" t="s">
        <v>1391</v>
      </c>
      <c r="C1203" s="17">
        <v>142</v>
      </c>
      <c r="D1203" s="142" t="s">
        <v>196</v>
      </c>
      <c r="E1203" s="19">
        <v>0</v>
      </c>
      <c r="F1203" s="33" t="s">
        <v>1368</v>
      </c>
      <c r="G1203" s="19" t="s">
        <v>1308</v>
      </c>
      <c r="H1203" s="19" t="s">
        <v>1142</v>
      </c>
      <c r="I1203" s="17" t="b">
        <v>0</v>
      </c>
      <c r="K1203" s="21" t="str">
        <f t="shared" si="28"/>
        <v>https://version2.ice-d.org/antarctica/sample/10-MPS-126-LNK/</v>
      </c>
      <c r="L1203" s="37" t="s">
        <v>1392</v>
      </c>
      <c r="M1203" s="155"/>
      <c r="O1203" s="28" t="s">
        <v>1398</v>
      </c>
      <c r="P1203" s="22">
        <v>-83.760810000000006</v>
      </c>
      <c r="Q1203" s="22">
        <v>-59.07385</v>
      </c>
      <c r="R1203" s="22"/>
      <c r="S1203" s="22">
        <v>806.18598099999997</v>
      </c>
      <c r="T1203" s="22"/>
      <c r="U1203" s="23">
        <v>500</v>
      </c>
      <c r="V1203" s="23" t="s">
        <v>1942</v>
      </c>
      <c r="W1203" s="44" t="s">
        <v>2446</v>
      </c>
      <c r="X1203" s="22"/>
      <c r="Y1203" s="22">
        <v>11</v>
      </c>
      <c r="Z1203" s="22">
        <v>2.6</v>
      </c>
      <c r="AA1203" s="17" t="s">
        <v>73</v>
      </c>
      <c r="AB1203" s="26">
        <v>3325</v>
      </c>
      <c r="AC1203" s="26">
        <v>581</v>
      </c>
      <c r="AD1203" s="26"/>
      <c r="AE1203" s="27">
        <v>87113</v>
      </c>
      <c r="AF1203" s="27">
        <v>2158</v>
      </c>
      <c r="AG1203" s="28"/>
      <c r="AH1203" s="28"/>
      <c r="AI1203" s="17">
        <v>2014</v>
      </c>
      <c r="AJ1203" s="17">
        <v>0</v>
      </c>
      <c r="AK1203" s="17">
        <v>1</v>
      </c>
      <c r="AL1203" s="17" t="s">
        <v>1372</v>
      </c>
    </row>
    <row r="1204" spans="1:38" ht="12.75" customHeight="1">
      <c r="A1204" s="37" t="s">
        <v>1399</v>
      </c>
      <c r="B1204" s="33" t="s">
        <v>1391</v>
      </c>
      <c r="C1204" s="17">
        <v>142</v>
      </c>
      <c r="D1204" s="142" t="s">
        <v>196</v>
      </c>
      <c r="E1204" s="19">
        <v>0</v>
      </c>
      <c r="F1204" s="33" t="s">
        <v>1368</v>
      </c>
      <c r="G1204" s="19" t="s">
        <v>1308</v>
      </c>
      <c r="H1204" s="19" t="s">
        <v>1142</v>
      </c>
      <c r="I1204" s="17" t="b">
        <v>0</v>
      </c>
      <c r="K1204" s="21" t="str">
        <f t="shared" si="28"/>
        <v>https://version2.ice-d.org/antarctica/sample/10-MPS-128-LNK/</v>
      </c>
      <c r="L1204" s="37" t="s">
        <v>1392</v>
      </c>
      <c r="M1204" s="155"/>
      <c r="O1204" s="28" t="s">
        <v>1400</v>
      </c>
      <c r="P1204" s="22">
        <v>-83.75891</v>
      </c>
      <c r="Q1204" s="22">
        <v>-59.077809999999999</v>
      </c>
      <c r="R1204" s="22"/>
      <c r="S1204" s="22">
        <v>754.71139670000002</v>
      </c>
      <c r="T1204" s="22"/>
      <c r="U1204" s="23">
        <v>500</v>
      </c>
      <c r="V1204" s="23" t="s">
        <v>1942</v>
      </c>
      <c r="W1204" s="44" t="s">
        <v>2446</v>
      </c>
      <c r="X1204" s="22"/>
      <c r="Y1204" s="22">
        <v>5</v>
      </c>
      <c r="Z1204" s="22">
        <v>2.6</v>
      </c>
      <c r="AA1204" s="17" t="s">
        <v>73</v>
      </c>
      <c r="AB1204" s="26">
        <v>1627</v>
      </c>
      <c r="AC1204" s="26">
        <v>934</v>
      </c>
      <c r="AD1204" s="26"/>
      <c r="AE1204" s="27">
        <v>69223</v>
      </c>
      <c r="AF1204" s="27">
        <v>1994</v>
      </c>
      <c r="AG1204" s="28"/>
      <c r="AH1204" s="28"/>
      <c r="AI1204" s="17">
        <v>2014</v>
      </c>
      <c r="AJ1204" s="17">
        <v>0</v>
      </c>
      <c r="AK1204" s="17">
        <v>1</v>
      </c>
      <c r="AL1204" s="17" t="s">
        <v>1372</v>
      </c>
    </row>
    <row r="1205" spans="1:38" ht="12.75" customHeight="1">
      <c r="A1205" s="37" t="s">
        <v>1399</v>
      </c>
      <c r="B1205" s="33" t="s">
        <v>1391</v>
      </c>
      <c r="C1205" s="17">
        <v>142</v>
      </c>
      <c r="D1205" s="142" t="s">
        <v>196</v>
      </c>
      <c r="E1205" s="19">
        <v>0</v>
      </c>
      <c r="F1205" s="33" t="s">
        <v>1368</v>
      </c>
      <c r="G1205" s="19" t="s">
        <v>1308</v>
      </c>
      <c r="H1205" s="19" t="s">
        <v>1142</v>
      </c>
      <c r="I1205" s="17" t="b">
        <v>0</v>
      </c>
      <c r="K1205" s="21" t="str">
        <f t="shared" si="28"/>
        <v>https://version2.ice-d.org/antarctica/sample/10-MPS-128-LNK/</v>
      </c>
      <c r="L1205" s="37" t="s">
        <v>1392</v>
      </c>
      <c r="M1205" s="155"/>
      <c r="O1205" s="28" t="s">
        <v>1401</v>
      </c>
      <c r="P1205" s="22">
        <v>-83.75891</v>
      </c>
      <c r="Q1205" s="22">
        <v>-59.077809999999999</v>
      </c>
      <c r="R1205" s="22"/>
      <c r="S1205" s="22">
        <v>754.71139670000002</v>
      </c>
      <c r="T1205" s="22"/>
      <c r="U1205" s="23">
        <v>500</v>
      </c>
      <c r="V1205" s="23" t="s">
        <v>1942</v>
      </c>
      <c r="W1205" s="44" t="s">
        <v>2446</v>
      </c>
      <c r="X1205" s="22"/>
      <c r="Y1205" s="22">
        <v>5</v>
      </c>
      <c r="Z1205" s="22">
        <v>2.6</v>
      </c>
      <c r="AA1205" s="17" t="s">
        <v>73</v>
      </c>
      <c r="AB1205" s="26">
        <v>1815</v>
      </c>
      <c r="AC1205" s="26">
        <v>501</v>
      </c>
      <c r="AD1205" s="26"/>
      <c r="AE1205" s="27">
        <v>69223</v>
      </c>
      <c r="AF1205" s="27">
        <v>1994</v>
      </c>
      <c r="AG1205" s="28"/>
      <c r="AH1205" s="28"/>
      <c r="AI1205" s="17">
        <v>2014</v>
      </c>
      <c r="AJ1205" s="17">
        <v>0</v>
      </c>
      <c r="AK1205" s="17">
        <v>1</v>
      </c>
      <c r="AL1205" s="17" t="s">
        <v>1372</v>
      </c>
    </row>
    <row r="1206" spans="1:38" ht="12.75" customHeight="1">
      <c r="A1206" s="37" t="s">
        <v>1402</v>
      </c>
      <c r="B1206" s="33" t="s">
        <v>1391</v>
      </c>
      <c r="C1206" s="17">
        <v>142</v>
      </c>
      <c r="D1206" s="142" t="s">
        <v>196</v>
      </c>
      <c r="E1206" s="19">
        <v>0</v>
      </c>
      <c r="F1206" s="33" t="s">
        <v>1368</v>
      </c>
      <c r="G1206" s="19" t="s">
        <v>1308</v>
      </c>
      <c r="H1206" s="19" t="s">
        <v>1142</v>
      </c>
      <c r="I1206" s="17" t="b">
        <v>0</v>
      </c>
      <c r="K1206" s="21" t="str">
        <f t="shared" si="28"/>
        <v>https://version2.ice-d.org/antarctica/sample/10-MPS-129-LNK/</v>
      </c>
      <c r="L1206" s="37" t="s">
        <v>1392</v>
      </c>
      <c r="M1206" s="155"/>
      <c r="O1206" s="28" t="s">
        <v>1403</v>
      </c>
      <c r="P1206" s="22">
        <v>-83.75891</v>
      </c>
      <c r="Q1206" s="22">
        <v>-59.077809999999999</v>
      </c>
      <c r="R1206" s="22"/>
      <c r="S1206" s="22">
        <v>754.71139670000002</v>
      </c>
      <c r="T1206" s="22"/>
      <c r="U1206" s="23">
        <v>500</v>
      </c>
      <c r="V1206" s="23" t="s">
        <v>1942</v>
      </c>
      <c r="W1206" s="44" t="s">
        <v>2446</v>
      </c>
      <c r="X1206" s="22"/>
      <c r="Y1206" s="22">
        <v>8</v>
      </c>
      <c r="Z1206" s="22">
        <v>2.6</v>
      </c>
      <c r="AA1206" s="17" t="s">
        <v>73</v>
      </c>
      <c r="AB1206" s="26">
        <v>1813</v>
      </c>
      <c r="AC1206" s="26">
        <v>493</v>
      </c>
      <c r="AD1206" s="26"/>
      <c r="AE1206" s="27">
        <v>67742</v>
      </c>
      <c r="AF1206" s="27">
        <v>1663</v>
      </c>
      <c r="AG1206" s="28"/>
      <c r="AH1206" s="28"/>
      <c r="AI1206" s="17">
        <v>2014</v>
      </c>
      <c r="AJ1206" s="17">
        <v>0</v>
      </c>
      <c r="AK1206" s="17">
        <v>1</v>
      </c>
      <c r="AL1206" s="17" t="s">
        <v>1372</v>
      </c>
    </row>
    <row r="1207" spans="1:38" ht="12.75" customHeight="1">
      <c r="A1207" s="37" t="s">
        <v>1402</v>
      </c>
      <c r="B1207" s="33" t="s">
        <v>1391</v>
      </c>
      <c r="C1207" s="17">
        <v>142</v>
      </c>
      <c r="D1207" s="142" t="s">
        <v>196</v>
      </c>
      <c r="E1207" s="19">
        <v>0</v>
      </c>
      <c r="F1207" s="33" t="s">
        <v>1368</v>
      </c>
      <c r="G1207" s="19" t="s">
        <v>1308</v>
      </c>
      <c r="H1207" s="19" t="s">
        <v>1142</v>
      </c>
      <c r="I1207" s="17" t="b">
        <v>0</v>
      </c>
      <c r="K1207" s="21" t="str">
        <f t="shared" si="28"/>
        <v>https://version2.ice-d.org/antarctica/sample/10-MPS-129-LNK/</v>
      </c>
      <c r="L1207" s="37" t="s">
        <v>1392</v>
      </c>
      <c r="M1207" s="155"/>
      <c r="O1207" s="28" t="s">
        <v>1404</v>
      </c>
      <c r="P1207" s="22">
        <v>-83.75891</v>
      </c>
      <c r="Q1207" s="22">
        <v>-59.077809999999999</v>
      </c>
      <c r="R1207" s="22"/>
      <c r="S1207" s="22">
        <v>754.71139670000002</v>
      </c>
      <c r="T1207" s="22"/>
      <c r="U1207" s="23">
        <v>500</v>
      </c>
      <c r="V1207" s="23" t="s">
        <v>1942</v>
      </c>
      <c r="W1207" s="44" t="s">
        <v>2446</v>
      </c>
      <c r="X1207" s="22"/>
      <c r="Y1207" s="22">
        <v>8</v>
      </c>
      <c r="Z1207" s="22">
        <v>2.6</v>
      </c>
      <c r="AA1207" s="17" t="s">
        <v>73</v>
      </c>
      <c r="AB1207" s="26">
        <v>2150</v>
      </c>
      <c r="AC1207" s="26">
        <v>501</v>
      </c>
      <c r="AD1207" s="26"/>
      <c r="AE1207" s="27">
        <v>67742</v>
      </c>
      <c r="AF1207" s="27">
        <v>1663</v>
      </c>
      <c r="AG1207" s="28"/>
      <c r="AH1207" s="28"/>
      <c r="AI1207" s="17">
        <v>2014</v>
      </c>
      <c r="AJ1207" s="17">
        <v>0</v>
      </c>
      <c r="AK1207" s="17">
        <v>1</v>
      </c>
      <c r="AL1207" s="17" t="s">
        <v>1372</v>
      </c>
    </row>
    <row r="1208" spans="1:38" ht="12.75" customHeight="1">
      <c r="A1208" s="37" t="s">
        <v>1402</v>
      </c>
      <c r="B1208" s="33" t="s">
        <v>1391</v>
      </c>
      <c r="C1208" s="17">
        <v>142</v>
      </c>
      <c r="D1208" s="142" t="s">
        <v>196</v>
      </c>
      <c r="E1208" s="19">
        <v>0</v>
      </c>
      <c r="F1208" s="33" t="s">
        <v>1368</v>
      </c>
      <c r="G1208" s="19" t="s">
        <v>1308</v>
      </c>
      <c r="H1208" s="19" t="s">
        <v>1142</v>
      </c>
      <c r="I1208" s="17" t="b">
        <v>0</v>
      </c>
      <c r="K1208" s="21" t="str">
        <f t="shared" si="28"/>
        <v>https://version2.ice-d.org/antarctica/sample/10-MPS-129-LNK/</v>
      </c>
      <c r="L1208" s="37" t="s">
        <v>1392</v>
      </c>
      <c r="M1208" s="155"/>
      <c r="O1208" s="28" t="s">
        <v>1405</v>
      </c>
      <c r="P1208" s="22">
        <v>-83.75891</v>
      </c>
      <c r="Q1208" s="22">
        <v>-59.077809999999999</v>
      </c>
      <c r="R1208" s="22"/>
      <c r="S1208" s="22">
        <v>754.71139670000002</v>
      </c>
      <c r="T1208" s="22"/>
      <c r="U1208" s="23">
        <v>500</v>
      </c>
      <c r="V1208" s="23" t="s">
        <v>1942</v>
      </c>
      <c r="W1208" s="44" t="s">
        <v>2446</v>
      </c>
      <c r="X1208" s="22"/>
      <c r="Y1208" s="22">
        <v>8</v>
      </c>
      <c r="Z1208" s="22">
        <v>2.6</v>
      </c>
      <c r="AA1208" s="17" t="s">
        <v>73</v>
      </c>
      <c r="AB1208" s="26">
        <v>2304</v>
      </c>
      <c r="AC1208" s="26">
        <v>981</v>
      </c>
      <c r="AD1208" s="26"/>
      <c r="AE1208" s="27">
        <v>67742</v>
      </c>
      <c r="AF1208" s="27">
        <v>1663</v>
      </c>
      <c r="AG1208" s="28"/>
      <c r="AH1208" s="28"/>
      <c r="AI1208" s="17">
        <v>2014</v>
      </c>
      <c r="AJ1208" s="17">
        <v>0</v>
      </c>
      <c r="AK1208" s="17">
        <v>1</v>
      </c>
      <c r="AL1208" s="17" t="s">
        <v>1372</v>
      </c>
    </row>
    <row r="1209" spans="1:38" ht="15.75" customHeight="1">
      <c r="A1209" s="38" t="s">
        <v>1406</v>
      </c>
      <c r="B1209" s="19" t="s">
        <v>1407</v>
      </c>
      <c r="C1209" s="17">
        <v>142</v>
      </c>
      <c r="D1209" s="142" t="s">
        <v>196</v>
      </c>
      <c r="E1209" s="19">
        <v>0</v>
      </c>
      <c r="F1209" s="19" t="s">
        <v>1408</v>
      </c>
      <c r="G1209" s="19" t="s">
        <v>1308</v>
      </c>
      <c r="H1209" s="19" t="s">
        <v>1142</v>
      </c>
      <c r="I1209" s="17" t="b">
        <v>0</v>
      </c>
      <c r="K1209" s="21" t="str">
        <f t="shared" si="28"/>
        <v>https://version2.ice-d.org/antarctica/sample/11-ATH-204-WNR/</v>
      </c>
      <c r="L1209" s="38" t="s">
        <v>1276</v>
      </c>
      <c r="M1209" s="159" t="s">
        <v>2416</v>
      </c>
      <c r="O1209" s="17" t="s">
        <v>1310</v>
      </c>
      <c r="P1209" s="22">
        <v>-84.326813000000001</v>
      </c>
      <c r="Q1209" s="22">
        <v>-64.768540999999999</v>
      </c>
      <c r="R1209" s="22"/>
      <c r="S1209" s="22">
        <v>522.60929520000002</v>
      </c>
      <c r="T1209" s="22"/>
      <c r="U1209" s="23">
        <v>400</v>
      </c>
      <c r="V1209" s="23" t="s">
        <v>1942</v>
      </c>
      <c r="W1209" s="44" t="s">
        <v>2446</v>
      </c>
      <c r="X1209" s="22"/>
      <c r="Y1209" s="22">
        <v>6</v>
      </c>
      <c r="Z1209" s="22">
        <v>2.5</v>
      </c>
      <c r="AA1209" s="17" t="s">
        <v>73</v>
      </c>
      <c r="AB1209" s="26">
        <v>3348</v>
      </c>
      <c r="AC1209" s="26">
        <v>974</v>
      </c>
      <c r="AD1209" s="26"/>
      <c r="AE1209" s="27">
        <v>505190.86920000002</v>
      </c>
      <c r="AF1209" s="27">
        <v>17017.929260000001</v>
      </c>
      <c r="AG1209" s="28"/>
      <c r="AH1209" s="28"/>
      <c r="AI1209" s="17">
        <v>2014</v>
      </c>
      <c r="AJ1209" s="17">
        <v>0</v>
      </c>
      <c r="AK1209" s="17">
        <v>1</v>
      </c>
      <c r="AL1209" s="17" t="s">
        <v>1302</v>
      </c>
    </row>
    <row r="1210" spans="1:38" ht="12.75" customHeight="1">
      <c r="A1210" s="38" t="s">
        <v>1409</v>
      </c>
      <c r="B1210" s="19" t="s">
        <v>1407</v>
      </c>
      <c r="C1210" s="17">
        <v>142</v>
      </c>
      <c r="D1210" s="142" t="s">
        <v>196</v>
      </c>
      <c r="E1210" s="19">
        <v>0</v>
      </c>
      <c r="F1210" s="19" t="s">
        <v>1408</v>
      </c>
      <c r="G1210" s="19" t="s">
        <v>1308</v>
      </c>
      <c r="H1210" s="19" t="s">
        <v>1142</v>
      </c>
      <c r="I1210" s="17" t="b">
        <v>0</v>
      </c>
      <c r="K1210" s="21" t="str">
        <f>CONCATENATE("https://version2.ice-d.org/antarctica/sample/", A1210, "/")</f>
        <v>https://version2.ice-d.org/antarctica/sample/11-ATH-205-WNR/</v>
      </c>
      <c r="L1210" s="38" t="s">
        <v>1276</v>
      </c>
      <c r="M1210" s="155"/>
      <c r="O1210" s="17" t="s">
        <v>1310</v>
      </c>
      <c r="P1210" s="22">
        <v>-84.326813000000001</v>
      </c>
      <c r="Q1210" s="22">
        <v>-64.768540999999999</v>
      </c>
      <c r="R1210" s="22"/>
      <c r="S1210" s="22">
        <v>522.60929520000002</v>
      </c>
      <c r="T1210" s="22"/>
      <c r="U1210" s="23">
        <v>400</v>
      </c>
      <c r="V1210" s="23" t="s">
        <v>1942</v>
      </c>
      <c r="W1210" s="44" t="s">
        <v>2446</v>
      </c>
      <c r="X1210" s="22"/>
      <c r="Y1210" s="22">
        <v>4</v>
      </c>
      <c r="Z1210" s="22">
        <v>2.5</v>
      </c>
      <c r="AA1210" s="17" t="s">
        <v>73</v>
      </c>
      <c r="AB1210" s="26">
        <v>3245</v>
      </c>
      <c r="AC1210" s="26">
        <v>644</v>
      </c>
      <c r="AD1210" s="26"/>
      <c r="AE1210" s="27">
        <v>568168</v>
      </c>
      <c r="AF1210" s="27">
        <v>12067</v>
      </c>
      <c r="AG1210" s="28"/>
      <c r="AH1210" s="28"/>
      <c r="AI1210" s="17">
        <v>2014</v>
      </c>
      <c r="AJ1210" s="17">
        <v>0</v>
      </c>
      <c r="AK1210" s="17">
        <v>1</v>
      </c>
      <c r="AL1210" s="17" t="s">
        <v>1302</v>
      </c>
    </row>
    <row r="1211" spans="1:38" ht="12.75" customHeight="1">
      <c r="A1211" s="38" t="s">
        <v>1410</v>
      </c>
      <c r="B1211" s="19" t="s">
        <v>1407</v>
      </c>
      <c r="C1211" s="17">
        <v>142</v>
      </c>
      <c r="D1211" s="142" t="s">
        <v>196</v>
      </c>
      <c r="E1211" s="19">
        <v>0</v>
      </c>
      <c r="F1211" s="19" t="s">
        <v>1408</v>
      </c>
      <c r="G1211" s="19" t="s">
        <v>1308</v>
      </c>
      <c r="H1211" s="19" t="s">
        <v>1142</v>
      </c>
      <c r="I1211" s="17" t="b">
        <v>0</v>
      </c>
      <c r="K1211" s="21" t="str">
        <f t="shared" si="28"/>
        <v>https://version2.ice-d.org/antarctica/sample/11-ATH-211-WNR/</v>
      </c>
      <c r="L1211" s="38" t="s">
        <v>1276</v>
      </c>
      <c r="M1211" s="155"/>
      <c r="O1211" s="17" t="s">
        <v>1310</v>
      </c>
      <c r="P1211" s="22">
        <v>-84.326773000000003</v>
      </c>
      <c r="Q1211" s="22">
        <v>-64.735855000000001</v>
      </c>
      <c r="R1211" s="22"/>
      <c r="S1211" s="22">
        <v>655.27077029999998</v>
      </c>
      <c r="T1211" s="22"/>
      <c r="U1211" s="23">
        <v>400</v>
      </c>
      <c r="V1211" s="23" t="s">
        <v>1942</v>
      </c>
      <c r="W1211" s="44" t="s">
        <v>2446</v>
      </c>
      <c r="X1211" s="22"/>
      <c r="Y1211" s="22">
        <v>5</v>
      </c>
      <c r="Z1211" s="22">
        <v>2.5</v>
      </c>
      <c r="AA1211" s="17" t="s">
        <v>73</v>
      </c>
      <c r="AB1211" s="26">
        <v>6826</v>
      </c>
      <c r="AC1211" s="26">
        <v>831</v>
      </c>
      <c r="AD1211" s="26"/>
      <c r="AE1211" s="27">
        <v>3665323</v>
      </c>
      <c r="AF1211" s="27">
        <v>52034</v>
      </c>
      <c r="AG1211" s="28"/>
      <c r="AH1211" s="28"/>
      <c r="AI1211" s="17">
        <v>2014</v>
      </c>
      <c r="AJ1211" s="17">
        <v>0</v>
      </c>
      <c r="AK1211" s="17">
        <v>1</v>
      </c>
      <c r="AL1211" s="17" t="s">
        <v>1302</v>
      </c>
    </row>
    <row r="1212" spans="1:38" ht="12.75" customHeight="1">
      <c r="A1212" s="38" t="s">
        <v>1411</v>
      </c>
      <c r="B1212" s="19" t="s">
        <v>1407</v>
      </c>
      <c r="C1212" s="17">
        <v>142</v>
      </c>
      <c r="D1212" s="142" t="s">
        <v>196</v>
      </c>
      <c r="E1212" s="19">
        <v>0</v>
      </c>
      <c r="F1212" s="19" t="s">
        <v>1408</v>
      </c>
      <c r="G1212" s="19" t="s">
        <v>1308</v>
      </c>
      <c r="H1212" s="19" t="s">
        <v>1142</v>
      </c>
      <c r="I1212" s="17" t="b">
        <v>0</v>
      </c>
      <c r="K1212" s="21" t="str">
        <f t="shared" si="28"/>
        <v>https://version2.ice-d.org/antarctica/sample/11-ATH-214-WNR/</v>
      </c>
      <c r="L1212" s="38" t="s">
        <v>1276</v>
      </c>
      <c r="M1212" s="155"/>
      <c r="O1212" s="17" t="s">
        <v>1310</v>
      </c>
      <c r="P1212" s="22">
        <v>-84.329975000000005</v>
      </c>
      <c r="Q1212" s="22">
        <v>-64.718963000000002</v>
      </c>
      <c r="R1212" s="22"/>
      <c r="S1212" s="22">
        <v>742.14121460000001</v>
      </c>
      <c r="T1212" s="22"/>
      <c r="U1212" s="23">
        <v>400</v>
      </c>
      <c r="V1212" s="23" t="s">
        <v>1942</v>
      </c>
      <c r="W1212" s="44" t="s">
        <v>2446</v>
      </c>
      <c r="X1212" s="22"/>
      <c r="Y1212" s="22">
        <v>4.5</v>
      </c>
      <c r="Z1212" s="22">
        <v>2.5</v>
      </c>
      <c r="AA1212" s="17" t="s">
        <v>73</v>
      </c>
      <c r="AB1212" s="26">
        <v>9729</v>
      </c>
      <c r="AC1212" s="26">
        <v>948</v>
      </c>
      <c r="AD1212" s="26"/>
      <c r="AE1212" s="27">
        <v>6008975</v>
      </c>
      <c r="AF1212" s="27">
        <v>99054</v>
      </c>
      <c r="AG1212" s="28"/>
      <c r="AH1212" s="28"/>
      <c r="AI1212" s="17">
        <v>2014</v>
      </c>
      <c r="AJ1212" s="17">
        <v>0</v>
      </c>
      <c r="AK1212" s="17">
        <v>1</v>
      </c>
      <c r="AL1212" s="17" t="s">
        <v>1302</v>
      </c>
    </row>
    <row r="1213" spans="1:38" ht="12.75" customHeight="1">
      <c r="A1213" s="39" t="s">
        <v>1412</v>
      </c>
      <c r="B1213" s="19" t="s">
        <v>1413</v>
      </c>
      <c r="C1213" s="17">
        <v>142</v>
      </c>
      <c r="D1213" s="142" t="s">
        <v>196</v>
      </c>
      <c r="E1213" s="19">
        <v>0</v>
      </c>
      <c r="F1213" s="19" t="s">
        <v>1408</v>
      </c>
      <c r="G1213" s="19" t="s">
        <v>1308</v>
      </c>
      <c r="H1213" s="19" t="s">
        <v>1142</v>
      </c>
      <c r="I1213" s="17" t="b">
        <v>0</v>
      </c>
      <c r="K1213" s="21" t="str">
        <f t="shared" si="28"/>
        <v>https://version2.ice-d.org/antarctica/sample/11-ATH-218-CRN/</v>
      </c>
      <c r="L1213" s="39" t="s">
        <v>1292</v>
      </c>
      <c r="M1213" s="160" t="s">
        <v>2417</v>
      </c>
      <c r="O1213" s="17" t="s">
        <v>1310</v>
      </c>
      <c r="P1213" s="22">
        <v>-84.342151999999999</v>
      </c>
      <c r="Q1213" s="22">
        <v>-65.018516000000005</v>
      </c>
      <c r="R1213" s="22"/>
      <c r="S1213" s="22">
        <v>773.35567930000002</v>
      </c>
      <c r="T1213" s="22"/>
      <c r="U1213" s="23">
        <v>400</v>
      </c>
      <c r="V1213" s="23" t="s">
        <v>1942</v>
      </c>
      <c r="W1213" s="44" t="s">
        <v>2446</v>
      </c>
      <c r="X1213" s="22"/>
      <c r="Y1213" s="22">
        <v>7</v>
      </c>
      <c r="Z1213" s="22">
        <v>2.5</v>
      </c>
      <c r="AA1213" s="17" t="s">
        <v>73</v>
      </c>
      <c r="AB1213" s="26">
        <v>4305</v>
      </c>
      <c r="AC1213" s="26">
        <v>471</v>
      </c>
      <c r="AD1213" s="26"/>
      <c r="AE1213" s="27">
        <v>6189343</v>
      </c>
      <c r="AF1213" s="27">
        <v>116758</v>
      </c>
      <c r="AG1213" s="28"/>
      <c r="AH1213" s="28"/>
      <c r="AI1213" s="17">
        <v>2014</v>
      </c>
      <c r="AJ1213" s="17">
        <v>0</v>
      </c>
      <c r="AK1213" s="17">
        <v>1</v>
      </c>
      <c r="AL1213" s="17" t="s">
        <v>1302</v>
      </c>
    </row>
    <row r="1214" spans="1:38" ht="12.75" customHeight="1">
      <c r="A1214" s="39" t="s">
        <v>1414</v>
      </c>
      <c r="B1214" s="19" t="s">
        <v>1413</v>
      </c>
      <c r="C1214" s="17">
        <v>142</v>
      </c>
      <c r="D1214" s="142" t="s">
        <v>196</v>
      </c>
      <c r="E1214" s="19">
        <v>0</v>
      </c>
      <c r="F1214" s="19" t="s">
        <v>1408</v>
      </c>
      <c r="G1214" s="19" t="s">
        <v>1308</v>
      </c>
      <c r="H1214" s="19" t="s">
        <v>1142</v>
      </c>
      <c r="I1214" s="17" t="b">
        <v>0</v>
      </c>
      <c r="K1214" s="21" t="str">
        <f t="shared" si="28"/>
        <v>https://version2.ice-d.org/antarctica/sample/11-ATH-222-CRN/</v>
      </c>
      <c r="L1214" s="39" t="s">
        <v>1292</v>
      </c>
      <c r="M1214" s="155"/>
      <c r="O1214" s="17" t="s">
        <v>1310</v>
      </c>
      <c r="P1214" s="22">
        <v>-84.341269999999994</v>
      </c>
      <c r="Q1214" s="22">
        <v>-65.037738000000004</v>
      </c>
      <c r="R1214" s="22"/>
      <c r="S1214" s="22">
        <v>727.41741049999996</v>
      </c>
      <c r="T1214" s="22"/>
      <c r="U1214" s="23">
        <v>400</v>
      </c>
      <c r="V1214" s="23" t="s">
        <v>1942</v>
      </c>
      <c r="W1214" s="44" t="s">
        <v>2446</v>
      </c>
      <c r="X1214" s="22"/>
      <c r="Y1214" s="22">
        <v>3.5</v>
      </c>
      <c r="Z1214" s="22">
        <v>2.5</v>
      </c>
      <c r="AA1214" s="17" t="s">
        <v>73</v>
      </c>
      <c r="AB1214" s="26">
        <v>3649</v>
      </c>
      <c r="AC1214" s="26">
        <v>721</v>
      </c>
      <c r="AD1214" s="26"/>
      <c r="AE1214" s="27">
        <v>7658285</v>
      </c>
      <c r="AF1214" s="27">
        <v>124157</v>
      </c>
      <c r="AG1214" s="28"/>
      <c r="AH1214" s="28"/>
      <c r="AI1214" s="17">
        <v>2014</v>
      </c>
      <c r="AJ1214" s="17">
        <v>0</v>
      </c>
      <c r="AK1214" s="17">
        <v>1</v>
      </c>
      <c r="AL1214" s="17" t="s">
        <v>1302</v>
      </c>
    </row>
    <row r="1215" spans="1:38" ht="12.75" customHeight="1">
      <c r="A1215" s="39" t="s">
        <v>1414</v>
      </c>
      <c r="B1215" s="19" t="s">
        <v>1413</v>
      </c>
      <c r="C1215" s="17">
        <v>142</v>
      </c>
      <c r="D1215" s="142" t="s">
        <v>196</v>
      </c>
      <c r="E1215" s="19">
        <v>0</v>
      </c>
      <c r="F1215" s="19" t="s">
        <v>1408</v>
      </c>
      <c r="G1215" s="19" t="s">
        <v>1308</v>
      </c>
      <c r="H1215" s="19" t="s">
        <v>1142</v>
      </c>
      <c r="I1215" s="17" t="b">
        <v>0</v>
      </c>
      <c r="K1215" s="21" t="str">
        <f t="shared" si="28"/>
        <v>https://version2.ice-d.org/antarctica/sample/11-ATH-222-CRN/</v>
      </c>
      <c r="L1215" s="39" t="s">
        <v>1292</v>
      </c>
      <c r="M1215" s="155"/>
      <c r="O1215" s="17" t="s">
        <v>1310</v>
      </c>
      <c r="P1215" s="22">
        <v>-84.341269999999994</v>
      </c>
      <c r="Q1215" s="22">
        <v>-65.037738000000004</v>
      </c>
      <c r="R1215" s="22"/>
      <c r="S1215" s="22">
        <v>727.41741049999996</v>
      </c>
      <c r="T1215" s="22"/>
      <c r="U1215" s="23">
        <v>400</v>
      </c>
      <c r="V1215" s="23" t="s">
        <v>1942</v>
      </c>
      <c r="W1215" s="44" t="s">
        <v>2446</v>
      </c>
      <c r="X1215" s="22"/>
      <c r="Y1215" s="22">
        <v>3.5</v>
      </c>
      <c r="Z1215" s="22">
        <v>2.5</v>
      </c>
      <c r="AA1215" s="17" t="s">
        <v>73</v>
      </c>
      <c r="AB1215" s="26">
        <v>4782</v>
      </c>
      <c r="AC1215" s="26">
        <v>664</v>
      </c>
      <c r="AD1215" s="26"/>
      <c r="AE1215" s="27">
        <v>7658285</v>
      </c>
      <c r="AF1215" s="27">
        <v>124157</v>
      </c>
      <c r="AG1215" s="28"/>
      <c r="AH1215" s="28"/>
      <c r="AI1215" s="17">
        <v>2014</v>
      </c>
      <c r="AJ1215" s="17">
        <v>0</v>
      </c>
      <c r="AK1215" s="17">
        <v>1</v>
      </c>
      <c r="AL1215" s="17" t="s">
        <v>1302</v>
      </c>
    </row>
    <row r="1216" spans="1:38" ht="12.75" customHeight="1">
      <c r="A1216" s="39" t="s">
        <v>1415</v>
      </c>
      <c r="B1216" s="19" t="s">
        <v>1413</v>
      </c>
      <c r="C1216" s="17">
        <v>142</v>
      </c>
      <c r="D1216" s="142" t="s">
        <v>196</v>
      </c>
      <c r="E1216" s="19">
        <v>0</v>
      </c>
      <c r="F1216" s="19" t="s">
        <v>1408</v>
      </c>
      <c r="G1216" s="19" t="s">
        <v>1308</v>
      </c>
      <c r="H1216" s="19" t="s">
        <v>1142</v>
      </c>
      <c r="I1216" s="17" t="b">
        <v>0</v>
      </c>
      <c r="K1216" s="21" t="str">
        <f t="shared" si="28"/>
        <v>https://version2.ice-d.org/antarctica/sample/11-ATH-224-CRN/</v>
      </c>
      <c r="L1216" s="39" t="s">
        <v>1292</v>
      </c>
      <c r="M1216" s="155"/>
      <c r="O1216" s="17" t="s">
        <v>1310</v>
      </c>
      <c r="P1216" s="22">
        <v>-84.336335000000005</v>
      </c>
      <c r="Q1216" s="22">
        <v>-65.098219</v>
      </c>
      <c r="R1216" s="22"/>
      <c r="S1216" s="22">
        <v>562.80528049999998</v>
      </c>
      <c r="T1216" s="22"/>
      <c r="U1216" s="23">
        <v>400</v>
      </c>
      <c r="V1216" s="23" t="s">
        <v>1942</v>
      </c>
      <c r="W1216" s="44" t="s">
        <v>2446</v>
      </c>
      <c r="X1216" s="22"/>
      <c r="Y1216" s="22">
        <v>6.5</v>
      </c>
      <c r="Z1216" s="22">
        <v>2.5</v>
      </c>
      <c r="AA1216" s="17" t="s">
        <v>73</v>
      </c>
      <c r="AB1216" s="26">
        <v>3363</v>
      </c>
      <c r="AC1216" s="26">
        <v>599</v>
      </c>
      <c r="AD1216" s="26"/>
      <c r="AE1216" s="27">
        <v>217928</v>
      </c>
      <c r="AF1216" s="27">
        <v>4709</v>
      </c>
      <c r="AG1216" s="28"/>
      <c r="AH1216" s="28"/>
      <c r="AI1216" s="17">
        <v>2014</v>
      </c>
      <c r="AJ1216" s="17">
        <v>0</v>
      </c>
      <c r="AK1216" s="17">
        <v>1</v>
      </c>
      <c r="AL1216" s="17" t="s">
        <v>1302</v>
      </c>
    </row>
    <row r="1217" spans="1:38" ht="12.75" customHeight="1">
      <c r="A1217" s="39" t="s">
        <v>1416</v>
      </c>
      <c r="B1217" s="19" t="s">
        <v>1413</v>
      </c>
      <c r="C1217" s="17">
        <v>142</v>
      </c>
      <c r="D1217" s="142" t="s">
        <v>196</v>
      </c>
      <c r="E1217" s="19">
        <v>0</v>
      </c>
      <c r="F1217" s="19" t="s">
        <v>1408</v>
      </c>
      <c r="G1217" s="19" t="s">
        <v>1308</v>
      </c>
      <c r="H1217" s="19" t="s">
        <v>1142</v>
      </c>
      <c r="I1217" s="17" t="b">
        <v>0</v>
      </c>
      <c r="K1217" s="21" t="str">
        <f t="shared" si="28"/>
        <v>https://version2.ice-d.org/antarctica/sample/11-ATH-225-CRN/</v>
      </c>
      <c r="L1217" s="39" t="s">
        <v>1292</v>
      </c>
      <c r="M1217" s="155"/>
      <c r="O1217" s="17" t="s">
        <v>1310</v>
      </c>
      <c r="P1217" s="22">
        <v>-84.336188000000007</v>
      </c>
      <c r="Q1217" s="22">
        <v>-65.103077999999996</v>
      </c>
      <c r="R1217" s="22"/>
      <c r="S1217" s="22">
        <v>550.14280889999998</v>
      </c>
      <c r="T1217" s="22"/>
      <c r="U1217" s="23">
        <v>400</v>
      </c>
      <c r="V1217" s="23" t="s">
        <v>1942</v>
      </c>
      <c r="W1217" s="44" t="s">
        <v>2446</v>
      </c>
      <c r="X1217" s="22"/>
      <c r="Y1217" s="22">
        <v>5</v>
      </c>
      <c r="Z1217" s="22">
        <v>2.5</v>
      </c>
      <c r="AA1217" s="17" t="s">
        <v>73</v>
      </c>
      <c r="AB1217" s="26">
        <v>4112</v>
      </c>
      <c r="AC1217" s="26">
        <v>1105</v>
      </c>
      <c r="AD1217" s="26"/>
      <c r="AE1217" s="27">
        <v>249604</v>
      </c>
      <c r="AF1217" s="27">
        <v>4857</v>
      </c>
      <c r="AG1217" s="28"/>
      <c r="AH1217" s="28"/>
      <c r="AI1217" s="17">
        <v>2014</v>
      </c>
      <c r="AJ1217" s="17">
        <v>0</v>
      </c>
      <c r="AK1217" s="17">
        <v>1</v>
      </c>
      <c r="AL1217" s="17" t="s">
        <v>1302</v>
      </c>
    </row>
    <row r="1218" spans="1:38" ht="12.75" customHeight="1">
      <c r="A1218" s="39" t="s">
        <v>1417</v>
      </c>
      <c r="B1218" s="19" t="s">
        <v>1413</v>
      </c>
      <c r="C1218" s="17">
        <v>142</v>
      </c>
      <c r="D1218" s="142" t="s">
        <v>196</v>
      </c>
      <c r="E1218" s="19">
        <v>0</v>
      </c>
      <c r="F1218" s="19" t="s">
        <v>1408</v>
      </c>
      <c r="G1218" s="19" t="s">
        <v>1308</v>
      </c>
      <c r="H1218" s="19" t="s">
        <v>1142</v>
      </c>
      <c r="I1218" s="17" t="b">
        <v>0</v>
      </c>
      <c r="K1218" s="21" t="str">
        <f t="shared" si="28"/>
        <v>https://version2.ice-d.org/antarctica/sample/11-ATH-226-CRN/</v>
      </c>
      <c r="L1218" s="39" t="s">
        <v>1292</v>
      </c>
      <c r="M1218" s="155"/>
      <c r="O1218" s="17" t="s">
        <v>1310</v>
      </c>
      <c r="P1218" s="22">
        <v>-84.335768999999999</v>
      </c>
      <c r="Q1218" s="22">
        <v>-65.108076999999994</v>
      </c>
      <c r="R1218" s="22"/>
      <c r="S1218" s="22">
        <v>537.48033740000005</v>
      </c>
      <c r="T1218" s="22"/>
      <c r="U1218" s="23">
        <v>400</v>
      </c>
      <c r="V1218" s="23" t="s">
        <v>1942</v>
      </c>
      <c r="W1218" s="44" t="s">
        <v>2446</v>
      </c>
      <c r="X1218" s="22"/>
      <c r="Y1218" s="22">
        <v>4.8</v>
      </c>
      <c r="Z1218" s="22">
        <v>2.5</v>
      </c>
      <c r="AA1218" s="17" t="s">
        <v>73</v>
      </c>
      <c r="AB1218" s="26">
        <v>3042</v>
      </c>
      <c r="AC1218" s="26">
        <v>890</v>
      </c>
      <c r="AD1218" s="26"/>
      <c r="AE1218" s="27">
        <v>228382</v>
      </c>
      <c r="AF1218" s="27">
        <v>4785</v>
      </c>
      <c r="AG1218" s="28"/>
      <c r="AH1218" s="28"/>
      <c r="AI1218" s="17">
        <v>2014</v>
      </c>
      <c r="AJ1218" s="17">
        <v>0</v>
      </c>
      <c r="AK1218" s="17">
        <v>1</v>
      </c>
      <c r="AL1218" s="17" t="s">
        <v>1302</v>
      </c>
    </row>
    <row r="1219" spans="1:38" ht="12.75" customHeight="1">
      <c r="A1219" s="39" t="s">
        <v>1418</v>
      </c>
      <c r="B1219" s="19" t="s">
        <v>1413</v>
      </c>
      <c r="C1219" s="17">
        <v>142</v>
      </c>
      <c r="D1219" s="142" t="s">
        <v>196</v>
      </c>
      <c r="E1219" s="19">
        <v>0</v>
      </c>
      <c r="F1219" s="19" t="s">
        <v>1408</v>
      </c>
      <c r="G1219" s="19" t="s">
        <v>1308</v>
      </c>
      <c r="H1219" s="19" t="s">
        <v>1142</v>
      </c>
      <c r="I1219" s="17" t="b">
        <v>0</v>
      </c>
      <c r="K1219" s="21" t="str">
        <f t="shared" si="28"/>
        <v>https://version2.ice-d.org/antarctica/sample/11-ATH-228-CRN/</v>
      </c>
      <c r="L1219" s="39" t="s">
        <v>1292</v>
      </c>
      <c r="M1219" s="155"/>
      <c r="O1219" s="17" t="s">
        <v>1310</v>
      </c>
      <c r="P1219" s="22">
        <v>-84.335768999999999</v>
      </c>
      <c r="Q1219" s="22">
        <v>-65.108076999999994</v>
      </c>
      <c r="R1219" s="22"/>
      <c r="S1219" s="22">
        <v>537.48033740000005</v>
      </c>
      <c r="T1219" s="22"/>
      <c r="U1219" s="23">
        <v>400</v>
      </c>
      <c r="V1219" s="23" t="s">
        <v>1942</v>
      </c>
      <c r="W1219" s="44" t="s">
        <v>2446</v>
      </c>
      <c r="X1219" s="22"/>
      <c r="Y1219" s="22">
        <v>5</v>
      </c>
      <c r="Z1219" s="22">
        <v>2.5</v>
      </c>
      <c r="AA1219" s="17" t="s">
        <v>73</v>
      </c>
      <c r="AB1219" s="26">
        <v>3030</v>
      </c>
      <c r="AC1219" s="26">
        <v>1216</v>
      </c>
      <c r="AD1219" s="26"/>
      <c r="AE1219" s="27">
        <v>197908</v>
      </c>
      <c r="AF1219" s="27">
        <v>4493</v>
      </c>
      <c r="AG1219" s="28"/>
      <c r="AH1219" s="28"/>
      <c r="AI1219" s="17">
        <v>2014</v>
      </c>
      <c r="AJ1219" s="17">
        <v>0</v>
      </c>
      <c r="AK1219" s="17">
        <v>1</v>
      </c>
      <c r="AL1219" s="17" t="s">
        <v>1302</v>
      </c>
    </row>
    <row r="1220" spans="1:38" ht="12.75" customHeight="1">
      <c r="A1220" s="39" t="s">
        <v>1418</v>
      </c>
      <c r="B1220" s="19" t="s">
        <v>1413</v>
      </c>
      <c r="C1220" s="17">
        <v>142</v>
      </c>
      <c r="D1220" s="142" t="s">
        <v>196</v>
      </c>
      <c r="E1220" s="19">
        <v>0</v>
      </c>
      <c r="F1220" s="19" t="s">
        <v>1408</v>
      </c>
      <c r="G1220" s="19" t="s">
        <v>1308</v>
      </c>
      <c r="H1220" s="19" t="s">
        <v>1142</v>
      </c>
      <c r="I1220" s="17" t="b">
        <v>0</v>
      </c>
      <c r="K1220" s="21" t="str">
        <f t="shared" si="28"/>
        <v>https://version2.ice-d.org/antarctica/sample/11-ATH-228-CRN/</v>
      </c>
      <c r="L1220" s="39" t="s">
        <v>1292</v>
      </c>
      <c r="M1220" s="155"/>
      <c r="O1220" s="17" t="s">
        <v>1310</v>
      </c>
      <c r="P1220" s="22">
        <v>-84.335768999999999</v>
      </c>
      <c r="Q1220" s="22">
        <v>-65.108076999999994</v>
      </c>
      <c r="R1220" s="22"/>
      <c r="S1220" s="22">
        <v>537.48033740000005</v>
      </c>
      <c r="T1220" s="22"/>
      <c r="U1220" s="23">
        <v>400</v>
      </c>
      <c r="V1220" s="23" t="s">
        <v>1942</v>
      </c>
      <c r="W1220" s="44" t="s">
        <v>2446</v>
      </c>
      <c r="X1220" s="22"/>
      <c r="Y1220" s="22">
        <v>5</v>
      </c>
      <c r="Z1220" s="22">
        <v>2.5</v>
      </c>
      <c r="AA1220" s="17" t="s">
        <v>73</v>
      </c>
      <c r="AB1220" s="26">
        <v>3944</v>
      </c>
      <c r="AC1220" s="26">
        <v>578</v>
      </c>
      <c r="AD1220" s="26"/>
      <c r="AE1220" s="27">
        <v>197908</v>
      </c>
      <c r="AF1220" s="27">
        <v>4493</v>
      </c>
      <c r="AG1220" s="28"/>
      <c r="AH1220" s="28"/>
      <c r="AI1220" s="17">
        <v>2014</v>
      </c>
      <c r="AJ1220" s="17">
        <v>0</v>
      </c>
      <c r="AK1220" s="17">
        <v>1</v>
      </c>
      <c r="AL1220" s="17" t="s">
        <v>1302</v>
      </c>
    </row>
    <row r="1221" spans="1:38" ht="12.75" customHeight="1">
      <c r="A1221" s="39" t="s">
        <v>1419</v>
      </c>
      <c r="B1221" s="19" t="s">
        <v>1413</v>
      </c>
      <c r="C1221" s="17">
        <v>142</v>
      </c>
      <c r="D1221" s="142" t="s">
        <v>196</v>
      </c>
      <c r="E1221" s="19">
        <v>0</v>
      </c>
      <c r="F1221" s="19" t="s">
        <v>1408</v>
      </c>
      <c r="G1221" s="19" t="s">
        <v>1308</v>
      </c>
      <c r="H1221" s="19" t="s">
        <v>1142</v>
      </c>
      <c r="I1221" s="17" t="b">
        <v>0</v>
      </c>
      <c r="K1221" s="21" t="str">
        <f t="shared" si="28"/>
        <v>https://version2.ice-d.org/antarctica/sample/11-ATH-235-CRN/</v>
      </c>
      <c r="L1221" s="39" t="s">
        <v>1292</v>
      </c>
      <c r="M1221" s="155"/>
      <c r="O1221" s="17" t="s">
        <v>1310</v>
      </c>
      <c r="P1221" s="22">
        <v>-84.335274999999996</v>
      </c>
      <c r="Q1221" s="22">
        <v>-65.127863000000005</v>
      </c>
      <c r="R1221" s="22"/>
      <c r="S1221" s="22">
        <v>513.33329860000003</v>
      </c>
      <c r="T1221" s="22"/>
      <c r="U1221" s="23">
        <v>400</v>
      </c>
      <c r="V1221" s="23" t="s">
        <v>1942</v>
      </c>
      <c r="W1221" s="44" t="s">
        <v>2446</v>
      </c>
      <c r="X1221" s="22"/>
      <c r="Y1221" s="22">
        <v>6</v>
      </c>
      <c r="Z1221" s="22">
        <v>2.5</v>
      </c>
      <c r="AA1221" s="17" t="s">
        <v>73</v>
      </c>
      <c r="AB1221" s="26">
        <v>2312</v>
      </c>
      <c r="AC1221" s="26">
        <v>529</v>
      </c>
      <c r="AD1221" s="26"/>
      <c r="AE1221" s="27">
        <v>314920</v>
      </c>
      <c r="AF1221" s="27">
        <v>7376</v>
      </c>
      <c r="AG1221" s="28"/>
      <c r="AH1221" s="28"/>
      <c r="AI1221" s="17">
        <v>2014</v>
      </c>
      <c r="AJ1221" s="17">
        <v>0</v>
      </c>
      <c r="AK1221" s="17">
        <v>1</v>
      </c>
      <c r="AL1221" s="17" t="s">
        <v>1302</v>
      </c>
    </row>
    <row r="1222" spans="1:38" ht="12.75" customHeight="1">
      <c r="A1222" s="40" t="s">
        <v>1420</v>
      </c>
      <c r="B1222" s="33" t="s">
        <v>1367</v>
      </c>
      <c r="C1222" s="17">
        <v>142</v>
      </c>
      <c r="D1222" s="142" t="s">
        <v>196</v>
      </c>
      <c r="E1222" s="19">
        <v>0</v>
      </c>
      <c r="F1222" s="33" t="s">
        <v>1368</v>
      </c>
      <c r="G1222" s="19" t="s">
        <v>1308</v>
      </c>
      <c r="H1222" s="19" t="s">
        <v>1142</v>
      </c>
      <c r="I1222" s="17" t="b">
        <v>0</v>
      </c>
      <c r="J1222" s="17" t="s">
        <v>43</v>
      </c>
      <c r="K1222" s="17" t="str">
        <f t="shared" si="28"/>
        <v>https://version2.ice-d.org/antarctica/sample/Authors do not discuss 14C in their manuscript, and radiocarbon older than Be indicating alteration/</v>
      </c>
      <c r="L1222" s="40" t="s">
        <v>1292</v>
      </c>
      <c r="M1222" s="161" t="s">
        <v>2414</v>
      </c>
      <c r="O1222" s="17" t="s">
        <v>1310</v>
      </c>
      <c r="P1222" s="22">
        <v>-83.654120000000006</v>
      </c>
      <c r="Q1222" s="22">
        <v>-58.910730000000001</v>
      </c>
      <c r="R1222" s="22"/>
      <c r="S1222" s="22">
        <v>739.9705166</v>
      </c>
      <c r="T1222" s="17">
        <v>440</v>
      </c>
      <c r="U1222" s="23">
        <v>500</v>
      </c>
      <c r="V1222" s="23" t="s">
        <v>1942</v>
      </c>
      <c r="W1222" s="44" t="s">
        <v>2446</v>
      </c>
      <c r="X1222" s="22">
        <f t="shared" ref="X1222:X1335" si="30">S1222-T1222</f>
        <v>299.9705166</v>
      </c>
      <c r="Y1222" s="22">
        <v>3</v>
      </c>
      <c r="Z1222" s="22">
        <v>2.5</v>
      </c>
      <c r="AA1222" s="17" t="s">
        <v>73</v>
      </c>
      <c r="AB1222" s="26">
        <v>7452</v>
      </c>
      <c r="AC1222" s="26">
        <v>209</v>
      </c>
      <c r="AD1222" s="26">
        <v>488</v>
      </c>
      <c r="AE1222" s="27">
        <v>82777</v>
      </c>
      <c r="AF1222" s="27">
        <v>2321</v>
      </c>
      <c r="AG1222" s="28"/>
      <c r="AH1222" s="28"/>
      <c r="AI1222" s="17">
        <v>2014</v>
      </c>
      <c r="AJ1222" s="17">
        <v>0</v>
      </c>
      <c r="AK1222" s="17">
        <v>0</v>
      </c>
    </row>
    <row r="1223" spans="1:38" ht="12.75" customHeight="1">
      <c r="A1223" s="40" t="s">
        <v>1369</v>
      </c>
      <c r="B1223" s="33" t="s">
        <v>1367</v>
      </c>
      <c r="C1223" s="17">
        <v>142</v>
      </c>
      <c r="D1223" s="142" t="s">
        <v>196</v>
      </c>
      <c r="E1223" s="19">
        <v>0</v>
      </c>
      <c r="F1223" s="33" t="s">
        <v>1368</v>
      </c>
      <c r="G1223" s="19" t="s">
        <v>1308</v>
      </c>
      <c r="H1223" s="19" t="s">
        <v>1142</v>
      </c>
      <c r="I1223" s="17" t="b">
        <v>0</v>
      </c>
      <c r="J1223" s="17" t="s">
        <v>43</v>
      </c>
      <c r="K1223" s="21" t="str">
        <f t="shared" si="28"/>
        <v>https://version2.ice-d.org/antarctica/sample/10-MPS-075-CRK/</v>
      </c>
      <c r="L1223" s="40" t="s">
        <v>1292</v>
      </c>
      <c r="M1223" s="155"/>
      <c r="O1223" s="17" t="s">
        <v>1310</v>
      </c>
      <c r="P1223" s="22">
        <v>-83.648660000000007</v>
      </c>
      <c r="Q1223" s="22">
        <v>-58.89922</v>
      </c>
      <c r="R1223" s="22"/>
      <c r="S1223" s="22">
        <v>683.66130280000004</v>
      </c>
      <c r="T1223" s="17">
        <v>440</v>
      </c>
      <c r="U1223" s="23">
        <v>500</v>
      </c>
      <c r="V1223" s="23" t="s">
        <v>1942</v>
      </c>
      <c r="W1223" s="44" t="s">
        <v>2446</v>
      </c>
      <c r="X1223" s="22">
        <f t="shared" si="30"/>
        <v>243.66130280000004</v>
      </c>
      <c r="Y1223" s="22">
        <v>3</v>
      </c>
      <c r="Z1223" s="22">
        <v>2.5</v>
      </c>
      <c r="AA1223" s="17" t="s">
        <v>73</v>
      </c>
      <c r="AB1223" s="26">
        <v>6246</v>
      </c>
      <c r="AC1223" s="26">
        <v>209</v>
      </c>
      <c r="AD1223" s="26">
        <v>424</v>
      </c>
      <c r="AE1223" s="27">
        <v>65463</v>
      </c>
      <c r="AF1223" s="27">
        <v>2190</v>
      </c>
      <c r="AG1223" s="28"/>
      <c r="AH1223" s="28"/>
      <c r="AI1223" s="17">
        <v>2014</v>
      </c>
      <c r="AJ1223" s="17">
        <v>0</v>
      </c>
      <c r="AK1223" s="17">
        <v>0</v>
      </c>
    </row>
    <row r="1224" spans="1:38" ht="12.75" customHeight="1">
      <c r="A1224" s="40" t="s">
        <v>1370</v>
      </c>
      <c r="B1224" s="33" t="s">
        <v>1367</v>
      </c>
      <c r="C1224" s="17">
        <v>142</v>
      </c>
      <c r="D1224" s="142" t="s">
        <v>196</v>
      </c>
      <c r="E1224" s="19">
        <v>0</v>
      </c>
      <c r="F1224" s="33" t="s">
        <v>1368</v>
      </c>
      <c r="G1224" s="19" t="s">
        <v>1308</v>
      </c>
      <c r="H1224" s="19" t="s">
        <v>1142</v>
      </c>
      <c r="I1224" s="17" t="b">
        <v>0</v>
      </c>
      <c r="J1224" s="17" t="s">
        <v>43</v>
      </c>
      <c r="K1224" s="21" t="str">
        <f t="shared" si="28"/>
        <v>https://version2.ice-d.org/antarctica/sample/10-MPS-077-CRK/</v>
      </c>
      <c r="L1224" s="40" t="s">
        <v>1292</v>
      </c>
      <c r="M1224" s="155"/>
      <c r="O1224" s="28" t="s">
        <v>1405</v>
      </c>
      <c r="P1224" s="17">
        <v>-83.636769999999999</v>
      </c>
      <c r="Q1224" s="17">
        <v>-59.011690000000002</v>
      </c>
      <c r="S1224" s="17">
        <v>487.95360599999998</v>
      </c>
      <c r="T1224" s="17">
        <v>440</v>
      </c>
      <c r="U1224" s="23">
        <v>500</v>
      </c>
      <c r="V1224" s="23" t="s">
        <v>1942</v>
      </c>
      <c r="W1224" s="44" t="s">
        <v>2446</v>
      </c>
      <c r="X1224" s="22">
        <f t="shared" si="30"/>
        <v>47.953605999999979</v>
      </c>
      <c r="Y1224" s="17">
        <v>2.5</v>
      </c>
      <c r="Z1224" s="17">
        <v>2.5</v>
      </c>
      <c r="AA1224" s="17" t="s">
        <v>73</v>
      </c>
      <c r="AB1224" s="56">
        <v>4483</v>
      </c>
      <c r="AC1224" s="56">
        <v>133</v>
      </c>
      <c r="AD1224" s="56">
        <v>296</v>
      </c>
      <c r="AE1224" s="28">
        <v>39231</v>
      </c>
      <c r="AF1224" s="28">
        <v>1164</v>
      </c>
      <c r="AG1224" s="28"/>
      <c r="AH1224" s="28"/>
      <c r="AI1224" s="17">
        <v>2014</v>
      </c>
      <c r="AJ1224" s="17">
        <v>0</v>
      </c>
      <c r="AK1224" s="17">
        <v>0</v>
      </c>
    </row>
    <row r="1225" spans="1:38" ht="12.75" customHeight="1">
      <c r="A1225" s="40" t="s">
        <v>1374</v>
      </c>
      <c r="B1225" s="33" t="s">
        <v>1367</v>
      </c>
      <c r="C1225" s="17">
        <v>142</v>
      </c>
      <c r="D1225" s="142" t="s">
        <v>196</v>
      </c>
      <c r="E1225" s="19">
        <v>0</v>
      </c>
      <c r="F1225" s="33" t="s">
        <v>1368</v>
      </c>
      <c r="G1225" s="19" t="s">
        <v>1308</v>
      </c>
      <c r="H1225" s="19" t="s">
        <v>1142</v>
      </c>
      <c r="I1225" s="17" t="b">
        <v>0</v>
      </c>
      <c r="J1225" s="17" t="s">
        <v>43</v>
      </c>
      <c r="K1225" s="21" t="str">
        <f t="shared" si="28"/>
        <v>https://version2.ice-d.org/antarctica/sample/10-MPS-090-CRK/</v>
      </c>
      <c r="L1225" s="40" t="s">
        <v>1292</v>
      </c>
      <c r="M1225" s="155"/>
      <c r="O1225" s="17" t="s">
        <v>1310</v>
      </c>
      <c r="P1225" s="22">
        <v>-83.641279999999995</v>
      </c>
      <c r="Q1225" s="22">
        <v>-58.943129999999996</v>
      </c>
      <c r="R1225" s="22"/>
      <c r="S1225" s="22">
        <v>594.17325930000004</v>
      </c>
      <c r="T1225" s="17">
        <v>440</v>
      </c>
      <c r="U1225" s="23">
        <v>500</v>
      </c>
      <c r="V1225" s="23" t="s">
        <v>1942</v>
      </c>
      <c r="W1225" s="44" t="s">
        <v>2446</v>
      </c>
      <c r="X1225" s="22">
        <f t="shared" si="30"/>
        <v>154.17325930000004</v>
      </c>
      <c r="Y1225" s="22">
        <v>5</v>
      </c>
      <c r="Z1225" s="22">
        <v>2.5</v>
      </c>
      <c r="AA1225" s="17" t="s">
        <v>73</v>
      </c>
      <c r="AB1225" s="26">
        <v>6171</v>
      </c>
      <c r="AC1225" s="26">
        <v>187</v>
      </c>
      <c r="AD1225" s="26">
        <v>410</v>
      </c>
      <c r="AE1225" s="27">
        <v>58523</v>
      </c>
      <c r="AF1225" s="27">
        <v>1767</v>
      </c>
      <c r="AG1225" s="28"/>
      <c r="AH1225" s="28"/>
      <c r="AI1225" s="17">
        <v>2014</v>
      </c>
      <c r="AJ1225" s="17">
        <v>0</v>
      </c>
      <c r="AK1225" s="17">
        <v>0</v>
      </c>
    </row>
    <row r="1226" spans="1:38" ht="12.75" customHeight="1">
      <c r="A1226" s="40" t="s">
        <v>1375</v>
      </c>
      <c r="B1226" s="33" t="s">
        <v>1367</v>
      </c>
      <c r="C1226" s="17">
        <v>142</v>
      </c>
      <c r="D1226" s="142" t="s">
        <v>196</v>
      </c>
      <c r="E1226" s="19">
        <v>0</v>
      </c>
      <c r="F1226" s="33" t="s">
        <v>1368</v>
      </c>
      <c r="G1226" s="19" t="s">
        <v>1308</v>
      </c>
      <c r="H1226" s="19" t="s">
        <v>1142</v>
      </c>
      <c r="I1226" s="17" t="b">
        <v>0</v>
      </c>
      <c r="J1226" s="17" t="s">
        <v>43</v>
      </c>
      <c r="K1226" s="21" t="str">
        <f t="shared" si="28"/>
        <v>https://version2.ice-d.org/antarctica/sample/10-MPS-095-CRK/</v>
      </c>
      <c r="L1226" s="40" t="s">
        <v>1292</v>
      </c>
      <c r="M1226" s="155"/>
      <c r="O1226" s="28" t="s">
        <v>1405</v>
      </c>
      <c r="P1226" s="22">
        <v>-83.641949999999994</v>
      </c>
      <c r="Q1226" s="22">
        <v>-58.95523</v>
      </c>
      <c r="R1226" s="22"/>
      <c r="S1226" s="22">
        <v>576.25669130000006</v>
      </c>
      <c r="T1226" s="17">
        <v>440</v>
      </c>
      <c r="U1226" s="23">
        <v>500</v>
      </c>
      <c r="V1226" s="23" t="s">
        <v>1942</v>
      </c>
      <c r="W1226" s="44" t="s">
        <v>2446</v>
      </c>
      <c r="X1226" s="22">
        <f t="shared" si="30"/>
        <v>136.25669130000006</v>
      </c>
      <c r="Y1226" s="22">
        <v>3</v>
      </c>
      <c r="Z1226" s="22">
        <v>2.6</v>
      </c>
      <c r="AA1226" s="17" t="s">
        <v>73</v>
      </c>
      <c r="AB1226" s="26">
        <v>5347</v>
      </c>
      <c r="AC1226" s="26">
        <v>261</v>
      </c>
      <c r="AD1226" s="26">
        <v>410</v>
      </c>
      <c r="AE1226" s="27">
        <v>50475</v>
      </c>
      <c r="AF1226" s="27">
        <v>2462</v>
      </c>
      <c r="AG1226" s="28"/>
      <c r="AH1226" s="28"/>
      <c r="AI1226" s="17">
        <v>2014</v>
      </c>
      <c r="AJ1226" s="17">
        <v>0</v>
      </c>
      <c r="AK1226" s="17">
        <v>0</v>
      </c>
    </row>
    <row r="1227" spans="1:38" ht="12.75" customHeight="1">
      <c r="A1227" s="40" t="s">
        <v>1377</v>
      </c>
      <c r="B1227" s="33" t="s">
        <v>1367</v>
      </c>
      <c r="C1227" s="17">
        <v>142</v>
      </c>
      <c r="D1227" s="142" t="s">
        <v>196</v>
      </c>
      <c r="E1227" s="19">
        <v>0</v>
      </c>
      <c r="F1227" s="33" t="s">
        <v>1368</v>
      </c>
      <c r="G1227" s="19" t="s">
        <v>1308</v>
      </c>
      <c r="H1227" s="19" t="s">
        <v>1142</v>
      </c>
      <c r="I1227" s="17" t="b">
        <v>0</v>
      </c>
      <c r="J1227" s="17" t="s">
        <v>43</v>
      </c>
      <c r="K1227" s="21" t="str">
        <f t="shared" si="28"/>
        <v>https://version2.ice-d.org/antarctica/sample/10-MPS-099-CRK/</v>
      </c>
      <c r="L1227" s="40" t="s">
        <v>1292</v>
      </c>
      <c r="M1227" s="155"/>
      <c r="O1227" s="28" t="s">
        <v>1421</v>
      </c>
      <c r="P1227" s="22">
        <v>-83.639349999999993</v>
      </c>
      <c r="Q1227" s="22">
        <v>-58.978540000000002</v>
      </c>
      <c r="R1227" s="22"/>
      <c r="S1227" s="22">
        <v>565.26027920000001</v>
      </c>
      <c r="T1227" s="17">
        <v>440</v>
      </c>
      <c r="U1227" s="23">
        <v>500</v>
      </c>
      <c r="V1227" s="23" t="s">
        <v>1942</v>
      </c>
      <c r="W1227" s="44" t="s">
        <v>2446</v>
      </c>
      <c r="X1227" s="22">
        <f t="shared" si="30"/>
        <v>125.26027920000001</v>
      </c>
      <c r="Y1227" s="22">
        <v>4</v>
      </c>
      <c r="Z1227" s="22">
        <v>2.6</v>
      </c>
      <c r="AA1227" s="17" t="s">
        <v>73</v>
      </c>
      <c r="AB1227" s="26">
        <v>6038</v>
      </c>
      <c r="AC1227" s="26">
        <v>163</v>
      </c>
      <c r="AD1227" s="26">
        <v>392</v>
      </c>
      <c r="AE1227" s="27">
        <v>56116</v>
      </c>
      <c r="AF1227" s="27">
        <v>1513</v>
      </c>
      <c r="AG1227" s="28"/>
      <c r="AH1227" s="28"/>
      <c r="AI1227" s="17">
        <v>2014</v>
      </c>
      <c r="AJ1227" s="17">
        <v>0</v>
      </c>
      <c r="AK1227" s="17">
        <v>0</v>
      </c>
    </row>
    <row r="1228" spans="1:38" ht="12.75" customHeight="1">
      <c r="A1228" s="42" t="s">
        <v>1381</v>
      </c>
      <c r="B1228" s="144" t="s">
        <v>1382</v>
      </c>
      <c r="C1228" s="17">
        <v>142</v>
      </c>
      <c r="D1228" s="142" t="s">
        <v>196</v>
      </c>
      <c r="E1228" s="19">
        <v>0</v>
      </c>
      <c r="F1228" s="33" t="s">
        <v>1368</v>
      </c>
      <c r="G1228" s="19" t="s">
        <v>1308</v>
      </c>
      <c r="H1228" s="19" t="s">
        <v>1142</v>
      </c>
      <c r="I1228" s="17" t="b">
        <v>0</v>
      </c>
      <c r="J1228" s="17" t="s">
        <v>43</v>
      </c>
      <c r="K1228" s="21" t="str">
        <f t="shared" si="28"/>
        <v>https://version2.ice-d.org/antarctica/sample/10-MPS-120-IBR/</v>
      </c>
      <c r="L1228" s="42" t="s">
        <v>39</v>
      </c>
      <c r="M1228" s="42" t="s">
        <v>44</v>
      </c>
      <c r="O1228" s="28" t="s">
        <v>1422</v>
      </c>
      <c r="P1228" s="22">
        <v>-83.809370000000001</v>
      </c>
      <c r="Q1228" s="22">
        <v>-58.8613</v>
      </c>
      <c r="R1228" s="22"/>
      <c r="S1228" s="22">
        <v>631.85493020000001</v>
      </c>
      <c r="T1228" s="17">
        <v>625</v>
      </c>
      <c r="U1228" s="23">
        <v>500</v>
      </c>
      <c r="V1228" s="23" t="s">
        <v>1942</v>
      </c>
      <c r="W1228" s="44" t="s">
        <v>2446</v>
      </c>
      <c r="X1228" s="22">
        <f t="shared" si="30"/>
        <v>6.8549302000000125</v>
      </c>
      <c r="Y1228" s="22">
        <v>5.5</v>
      </c>
      <c r="Z1228" s="22">
        <v>2.5</v>
      </c>
      <c r="AA1228" s="17" t="s">
        <v>73</v>
      </c>
      <c r="AB1228" s="26">
        <v>3770</v>
      </c>
      <c r="AC1228" s="26">
        <v>121</v>
      </c>
      <c r="AD1228" s="26">
        <v>253</v>
      </c>
      <c r="AE1228" s="27">
        <v>37285</v>
      </c>
      <c r="AF1228" s="27">
        <v>1193</v>
      </c>
      <c r="AG1228" s="28"/>
      <c r="AH1228" s="28"/>
      <c r="AI1228" s="17">
        <v>2014</v>
      </c>
      <c r="AJ1228" s="17">
        <v>0</v>
      </c>
      <c r="AK1228" s="17">
        <v>0</v>
      </c>
    </row>
    <row r="1229" spans="1:38" ht="12.75" customHeight="1">
      <c r="A1229" s="61" t="s">
        <v>1386</v>
      </c>
      <c r="B1229" s="33" t="s">
        <v>1387</v>
      </c>
      <c r="C1229" s="17">
        <v>142</v>
      </c>
      <c r="D1229" s="142" t="s">
        <v>196</v>
      </c>
      <c r="E1229" s="19">
        <v>0</v>
      </c>
      <c r="F1229" s="33" t="s">
        <v>1368</v>
      </c>
      <c r="G1229" s="19" t="s">
        <v>1308</v>
      </c>
      <c r="H1229" s="19" t="s">
        <v>1142</v>
      </c>
      <c r="I1229" s="17" t="b">
        <v>0</v>
      </c>
      <c r="J1229" s="17" t="s">
        <v>43</v>
      </c>
      <c r="K1229" s="21" t="str">
        <f t="shared" si="28"/>
        <v>https://version2.ice-d.org/antarctica/sample/10-MPS-123-HBS/</v>
      </c>
      <c r="L1229" s="61" t="s">
        <v>39</v>
      </c>
      <c r="M1229" s="61" t="s">
        <v>44</v>
      </c>
      <c r="O1229" s="28" t="s">
        <v>1423</v>
      </c>
      <c r="P1229" s="22">
        <v>-83.745509999999996</v>
      </c>
      <c r="Q1229" s="22">
        <v>-58.830880000000001</v>
      </c>
      <c r="R1229" s="22"/>
      <c r="S1229" s="22">
        <v>995.58970020000004</v>
      </c>
      <c r="T1229" s="17">
        <v>440</v>
      </c>
      <c r="U1229" s="23">
        <v>500</v>
      </c>
      <c r="V1229" s="23" t="s">
        <v>1942</v>
      </c>
      <c r="W1229" s="44" t="s">
        <v>2446</v>
      </c>
      <c r="X1229" s="22">
        <f t="shared" si="30"/>
        <v>555.58970020000004</v>
      </c>
      <c r="Y1229" s="22">
        <v>5</v>
      </c>
      <c r="Z1229" s="22">
        <v>2.5</v>
      </c>
      <c r="AA1229" s="17" t="s">
        <v>73</v>
      </c>
      <c r="AB1229" s="26">
        <v>9628</v>
      </c>
      <c r="AC1229" s="26">
        <v>205</v>
      </c>
      <c r="AD1229" s="26">
        <v>605</v>
      </c>
      <c r="AE1229" s="27">
        <v>132380</v>
      </c>
      <c r="AF1229" s="27">
        <v>2817</v>
      </c>
      <c r="AG1229" s="28"/>
      <c r="AH1229" s="28"/>
      <c r="AI1229" s="17">
        <v>2014</v>
      </c>
      <c r="AJ1229" s="17">
        <v>0</v>
      </c>
      <c r="AK1229" s="17">
        <v>0</v>
      </c>
    </row>
    <row r="1230" spans="1:38" ht="12.75" customHeight="1">
      <c r="A1230" s="63" t="s">
        <v>1390</v>
      </c>
      <c r="B1230" s="33" t="s">
        <v>1391</v>
      </c>
      <c r="C1230" s="17">
        <v>142</v>
      </c>
      <c r="D1230" s="142" t="s">
        <v>196</v>
      </c>
      <c r="E1230" s="19">
        <v>0</v>
      </c>
      <c r="F1230" s="33" t="s">
        <v>1368</v>
      </c>
      <c r="G1230" s="19" t="s">
        <v>1308</v>
      </c>
      <c r="H1230" s="19" t="s">
        <v>1142</v>
      </c>
      <c r="I1230" s="17" t="b">
        <v>0</v>
      </c>
      <c r="J1230" s="17" t="s">
        <v>43</v>
      </c>
      <c r="K1230" s="21" t="str">
        <f t="shared" si="28"/>
        <v>https://version2.ice-d.org/antarctica/sample/10-MPS-124-LNK/</v>
      </c>
      <c r="L1230" s="63" t="s">
        <v>1392</v>
      </c>
      <c r="M1230" s="192" t="s">
        <v>2415</v>
      </c>
      <c r="O1230" s="28" t="s">
        <v>1424</v>
      </c>
      <c r="P1230" s="22">
        <v>-83.759569999999997</v>
      </c>
      <c r="Q1230" s="22">
        <v>-59.075859999999999</v>
      </c>
      <c r="R1230" s="22"/>
      <c r="S1230" s="22">
        <v>812.15817040000002</v>
      </c>
      <c r="T1230" s="17">
        <v>440</v>
      </c>
      <c r="U1230" s="23">
        <v>500</v>
      </c>
      <c r="V1230" s="23" t="s">
        <v>1942</v>
      </c>
      <c r="W1230" s="44" t="s">
        <v>2446</v>
      </c>
      <c r="X1230" s="22">
        <f t="shared" si="30"/>
        <v>372.15817040000002</v>
      </c>
      <c r="Y1230" s="22">
        <v>7</v>
      </c>
      <c r="Z1230" s="22">
        <v>2.5</v>
      </c>
      <c r="AA1230" s="17" t="s">
        <v>73</v>
      </c>
      <c r="AB1230" s="26">
        <v>7569</v>
      </c>
      <c r="AC1230" s="26">
        <v>192</v>
      </c>
      <c r="AD1230" s="26">
        <v>487</v>
      </c>
      <c r="AE1230" s="27">
        <v>87254</v>
      </c>
      <c r="AF1230" s="27">
        <v>2209</v>
      </c>
      <c r="AG1230" s="28"/>
      <c r="AH1230" s="28"/>
      <c r="AI1230" s="17">
        <v>2014</v>
      </c>
      <c r="AJ1230" s="17">
        <v>0</v>
      </c>
      <c r="AK1230" s="17">
        <v>0</v>
      </c>
    </row>
    <row r="1231" spans="1:38" ht="12.75" customHeight="1">
      <c r="A1231" s="63" t="s">
        <v>1395</v>
      </c>
      <c r="B1231" s="33" t="s">
        <v>1391</v>
      </c>
      <c r="C1231" s="17">
        <v>142</v>
      </c>
      <c r="D1231" s="142" t="s">
        <v>196</v>
      </c>
      <c r="E1231" s="19">
        <v>0</v>
      </c>
      <c r="F1231" s="33" t="s">
        <v>1368</v>
      </c>
      <c r="G1231" s="19" t="s">
        <v>1308</v>
      </c>
      <c r="H1231" s="19" t="s">
        <v>1142</v>
      </c>
      <c r="I1231" s="17" t="b">
        <v>0</v>
      </c>
      <c r="J1231" s="17" t="s">
        <v>43</v>
      </c>
      <c r="K1231" s="21" t="str">
        <f t="shared" si="28"/>
        <v>https://version2.ice-d.org/antarctica/sample/10-MPS-126-LNK/</v>
      </c>
      <c r="L1231" s="63" t="s">
        <v>1392</v>
      </c>
      <c r="M1231" s="155"/>
      <c r="O1231" s="28" t="s">
        <v>1425</v>
      </c>
      <c r="P1231" s="22">
        <v>-83.760810000000006</v>
      </c>
      <c r="Q1231" s="22">
        <v>-59.07385</v>
      </c>
      <c r="R1231" s="22"/>
      <c r="S1231" s="22">
        <v>806.18598099999997</v>
      </c>
      <c r="T1231" s="17">
        <v>440</v>
      </c>
      <c r="U1231" s="23">
        <v>500</v>
      </c>
      <c r="V1231" s="23" t="s">
        <v>1942</v>
      </c>
      <c r="W1231" s="44" t="s">
        <v>2446</v>
      </c>
      <c r="X1231" s="22">
        <f t="shared" si="30"/>
        <v>366.18598099999997</v>
      </c>
      <c r="Y1231" s="22">
        <v>11</v>
      </c>
      <c r="Z1231" s="22">
        <v>2.6</v>
      </c>
      <c r="AA1231" s="17" t="s">
        <v>73</v>
      </c>
      <c r="AB1231" s="26">
        <v>7867</v>
      </c>
      <c r="AC1231" s="26">
        <v>195</v>
      </c>
      <c r="AD1231" s="26">
        <v>504</v>
      </c>
      <c r="AE1231" s="27">
        <v>87113</v>
      </c>
      <c r="AF1231" s="27">
        <v>2158</v>
      </c>
      <c r="AG1231" s="28"/>
      <c r="AH1231" s="28"/>
      <c r="AI1231" s="17">
        <v>2014</v>
      </c>
      <c r="AJ1231" s="17">
        <v>0</v>
      </c>
      <c r="AK1231" s="17">
        <v>0</v>
      </c>
    </row>
    <row r="1232" spans="1:38" ht="12.75" customHeight="1">
      <c r="A1232" s="63" t="s">
        <v>1399</v>
      </c>
      <c r="B1232" s="33" t="s">
        <v>1391</v>
      </c>
      <c r="C1232" s="17">
        <v>142</v>
      </c>
      <c r="D1232" s="142" t="s">
        <v>196</v>
      </c>
      <c r="E1232" s="19">
        <v>0</v>
      </c>
      <c r="F1232" s="33" t="s">
        <v>1368</v>
      </c>
      <c r="G1232" s="19" t="s">
        <v>1308</v>
      </c>
      <c r="H1232" s="19" t="s">
        <v>1142</v>
      </c>
      <c r="I1232" s="17" t="b">
        <v>0</v>
      </c>
      <c r="J1232" s="17" t="s">
        <v>43</v>
      </c>
      <c r="K1232" s="21" t="str">
        <f t="shared" si="28"/>
        <v>https://version2.ice-d.org/antarctica/sample/10-MPS-128-LNK/</v>
      </c>
      <c r="L1232" s="63" t="s">
        <v>1392</v>
      </c>
      <c r="M1232" s="155"/>
      <c r="O1232" s="28" t="s">
        <v>1426</v>
      </c>
      <c r="P1232" s="22">
        <v>-83.75891</v>
      </c>
      <c r="Q1232" s="22">
        <v>-59.077809999999999</v>
      </c>
      <c r="R1232" s="22"/>
      <c r="S1232" s="22">
        <v>754.71139670000002</v>
      </c>
      <c r="T1232" s="17">
        <v>440</v>
      </c>
      <c r="U1232" s="23">
        <v>500</v>
      </c>
      <c r="V1232" s="23" t="s">
        <v>1942</v>
      </c>
      <c r="W1232" s="44" t="s">
        <v>2446</v>
      </c>
      <c r="X1232" s="22">
        <f t="shared" si="30"/>
        <v>314.71139670000002</v>
      </c>
      <c r="Y1232" s="22">
        <v>5</v>
      </c>
      <c r="Z1232" s="22">
        <v>2.6</v>
      </c>
      <c r="AA1232" s="17" t="s">
        <v>73</v>
      </c>
      <c r="AB1232" s="26">
        <v>6323</v>
      </c>
      <c r="AC1232" s="26">
        <v>182</v>
      </c>
      <c r="AD1232" s="26">
        <v>416</v>
      </c>
      <c r="AE1232" s="27">
        <v>69223</v>
      </c>
      <c r="AF1232" s="27">
        <v>1994</v>
      </c>
      <c r="AG1232" s="28"/>
      <c r="AH1232" s="28"/>
      <c r="AI1232" s="17">
        <v>2014</v>
      </c>
      <c r="AJ1232" s="17">
        <v>0</v>
      </c>
      <c r="AK1232" s="17">
        <v>0</v>
      </c>
    </row>
    <row r="1233" spans="1:39" ht="12.75" customHeight="1">
      <c r="A1233" s="63" t="s">
        <v>1402</v>
      </c>
      <c r="B1233" s="33" t="s">
        <v>1391</v>
      </c>
      <c r="C1233" s="17">
        <v>142</v>
      </c>
      <c r="D1233" s="142" t="s">
        <v>196</v>
      </c>
      <c r="E1233" s="19">
        <v>0</v>
      </c>
      <c r="F1233" s="33" t="s">
        <v>1368</v>
      </c>
      <c r="G1233" s="19" t="s">
        <v>1308</v>
      </c>
      <c r="H1233" s="19" t="s">
        <v>1142</v>
      </c>
      <c r="I1233" s="17" t="b">
        <v>0</v>
      </c>
      <c r="J1233" s="17" t="s">
        <v>43</v>
      </c>
      <c r="K1233" s="21" t="str">
        <f t="shared" si="28"/>
        <v>https://version2.ice-d.org/antarctica/sample/10-MPS-129-LNK/</v>
      </c>
      <c r="L1233" s="63" t="s">
        <v>1392</v>
      </c>
      <c r="M1233" s="155"/>
      <c r="O1233" s="28" t="s">
        <v>1427</v>
      </c>
      <c r="P1233" s="22">
        <v>-83.75891</v>
      </c>
      <c r="Q1233" s="22">
        <v>-59.077809999999999</v>
      </c>
      <c r="R1233" s="22"/>
      <c r="S1233" s="22">
        <v>754.71139670000002</v>
      </c>
      <c r="T1233" s="17">
        <v>440</v>
      </c>
      <c r="U1233" s="23">
        <v>500</v>
      </c>
      <c r="V1233" s="23" t="s">
        <v>1942</v>
      </c>
      <c r="W1233" s="44" t="s">
        <v>2446</v>
      </c>
      <c r="X1233" s="22">
        <f t="shared" si="30"/>
        <v>314.71139670000002</v>
      </c>
      <c r="Y1233" s="22">
        <v>8</v>
      </c>
      <c r="Z1233" s="22">
        <v>2.6</v>
      </c>
      <c r="AA1233" s="17" t="s">
        <v>73</v>
      </c>
      <c r="AB1233" s="26">
        <v>6336</v>
      </c>
      <c r="AC1233" s="26">
        <v>156</v>
      </c>
      <c r="AD1233" s="26">
        <v>406</v>
      </c>
      <c r="AE1233" s="27">
        <v>67742</v>
      </c>
      <c r="AF1233" s="27">
        <v>1663</v>
      </c>
      <c r="AG1233" s="28"/>
      <c r="AH1233" s="28"/>
      <c r="AI1233" s="17">
        <v>2014</v>
      </c>
      <c r="AJ1233" s="17">
        <v>0</v>
      </c>
      <c r="AK1233" s="17">
        <v>0</v>
      </c>
    </row>
    <row r="1234" spans="1:39" ht="12.75" customHeight="1">
      <c r="A1234" s="50" t="s">
        <v>1428</v>
      </c>
      <c r="B1234" s="33" t="s">
        <v>1429</v>
      </c>
      <c r="C1234" s="17">
        <v>143</v>
      </c>
      <c r="D1234" s="142" t="s">
        <v>196</v>
      </c>
      <c r="E1234" s="19">
        <v>0</v>
      </c>
      <c r="F1234" s="33" t="s">
        <v>1430</v>
      </c>
      <c r="G1234" s="19" t="s">
        <v>1308</v>
      </c>
      <c r="H1234" s="19" t="s">
        <v>1142</v>
      </c>
      <c r="I1234" s="17" t="b">
        <v>0</v>
      </c>
      <c r="J1234" s="17" t="s">
        <v>43</v>
      </c>
      <c r="K1234" s="21" t="str">
        <f t="shared" si="28"/>
        <v>https://version2.ice-d.org/antarctica/sample/11-ATH-295-NAN/</v>
      </c>
      <c r="L1234" s="50" t="s">
        <v>800</v>
      </c>
      <c r="M1234" s="188"/>
      <c r="O1234" s="17" t="s">
        <v>1310</v>
      </c>
      <c r="P1234" s="22">
        <v>-84.3857</v>
      </c>
      <c r="Q1234" s="22">
        <v>-65.629228999999995</v>
      </c>
      <c r="R1234" s="22"/>
      <c r="S1234" s="22">
        <v>784.70636649999994</v>
      </c>
      <c r="T1234" s="22">
        <v>410</v>
      </c>
      <c r="U1234" s="23">
        <v>400</v>
      </c>
      <c r="V1234" s="23" t="s">
        <v>1942</v>
      </c>
      <c r="W1234" s="44" t="s">
        <v>2446</v>
      </c>
      <c r="X1234" s="22">
        <f t="shared" si="30"/>
        <v>374.70636649999994</v>
      </c>
      <c r="Y1234" s="22">
        <v>10</v>
      </c>
      <c r="Z1234" s="22">
        <v>2.5</v>
      </c>
      <c r="AA1234" s="17" t="s">
        <v>73</v>
      </c>
      <c r="AB1234" s="26">
        <v>3267</v>
      </c>
      <c r="AC1234" s="26">
        <v>583</v>
      </c>
      <c r="AD1234" s="26"/>
      <c r="AE1234" s="27">
        <v>71143.037639999995</v>
      </c>
      <c r="AF1234" s="27">
        <v>2696.535116</v>
      </c>
      <c r="AG1234" s="28"/>
      <c r="AH1234" s="28"/>
      <c r="AI1234" s="17">
        <v>2014</v>
      </c>
      <c r="AJ1234" s="17">
        <v>0</v>
      </c>
      <c r="AK1234" s="17">
        <v>1</v>
      </c>
      <c r="AL1234" s="17" t="s">
        <v>1302</v>
      </c>
      <c r="AM1234" s="17" t="s">
        <v>1431</v>
      </c>
    </row>
    <row r="1235" spans="1:39" ht="12.75" customHeight="1">
      <c r="A1235" s="50" t="s">
        <v>1432</v>
      </c>
      <c r="B1235" s="33" t="s">
        <v>1429</v>
      </c>
      <c r="C1235" s="17">
        <v>143</v>
      </c>
      <c r="D1235" s="142" t="s">
        <v>196</v>
      </c>
      <c r="E1235" s="19">
        <v>0</v>
      </c>
      <c r="F1235" s="33" t="s">
        <v>1430</v>
      </c>
      <c r="G1235" s="19" t="s">
        <v>1308</v>
      </c>
      <c r="H1235" s="19" t="s">
        <v>1142</v>
      </c>
      <c r="I1235" s="17" t="b">
        <v>0</v>
      </c>
      <c r="J1235" s="17" t="s">
        <v>43</v>
      </c>
      <c r="K1235" s="21" t="str">
        <f t="shared" si="28"/>
        <v>https://version2.ice-d.org/antarctica/sample/11-ATH-297-NAN/</v>
      </c>
      <c r="L1235" s="50" t="s">
        <v>800</v>
      </c>
      <c r="M1235" s="155"/>
      <c r="O1235" s="17" t="s">
        <v>1310</v>
      </c>
      <c r="P1235" s="22">
        <v>-84.385718999999995</v>
      </c>
      <c r="Q1235" s="22">
        <v>-65.630836000000002</v>
      </c>
      <c r="R1235" s="22"/>
      <c r="S1235" s="22">
        <v>781.17265350000002</v>
      </c>
      <c r="T1235" s="22">
        <v>410</v>
      </c>
      <c r="U1235" s="23">
        <v>400</v>
      </c>
      <c r="V1235" s="23" t="s">
        <v>1942</v>
      </c>
      <c r="W1235" s="44" t="s">
        <v>2446</v>
      </c>
      <c r="X1235" s="22">
        <f t="shared" si="30"/>
        <v>371.17265350000002</v>
      </c>
      <c r="Y1235" s="22">
        <v>4</v>
      </c>
      <c r="Z1235" s="22">
        <v>2.5</v>
      </c>
      <c r="AA1235" s="17" t="s">
        <v>73</v>
      </c>
      <c r="AB1235" s="26">
        <v>3136</v>
      </c>
      <c r="AC1235" s="26">
        <v>488</v>
      </c>
      <c r="AD1235" s="26"/>
      <c r="AE1235" s="27">
        <v>71836</v>
      </c>
      <c r="AF1235" s="27">
        <v>2549</v>
      </c>
      <c r="AG1235" s="28"/>
      <c r="AH1235" s="28"/>
      <c r="AI1235" s="17">
        <v>2014</v>
      </c>
      <c r="AJ1235" s="17">
        <v>0</v>
      </c>
      <c r="AK1235" s="17">
        <v>1</v>
      </c>
      <c r="AL1235" s="17" t="s">
        <v>1302</v>
      </c>
      <c r="AM1235" s="17" t="s">
        <v>1431</v>
      </c>
    </row>
    <row r="1236" spans="1:39" ht="12.75" customHeight="1">
      <c r="A1236" s="50" t="s">
        <v>1433</v>
      </c>
      <c r="B1236" s="33" t="s">
        <v>1429</v>
      </c>
      <c r="C1236" s="17">
        <v>143</v>
      </c>
      <c r="D1236" s="142" t="s">
        <v>196</v>
      </c>
      <c r="E1236" s="19">
        <v>0</v>
      </c>
      <c r="F1236" s="33" t="s">
        <v>1430</v>
      </c>
      <c r="G1236" s="19" t="s">
        <v>1308</v>
      </c>
      <c r="H1236" s="19" t="s">
        <v>1142</v>
      </c>
      <c r="I1236" s="17" t="b">
        <v>0</v>
      </c>
      <c r="J1236" s="17" t="s">
        <v>43</v>
      </c>
      <c r="K1236" s="21" t="str">
        <f t="shared" si="28"/>
        <v>https://version2.ice-d.org/antarctica/sample/11-ATH-300-NAN/</v>
      </c>
      <c r="L1236" s="50" t="s">
        <v>800</v>
      </c>
      <c r="M1236" s="155"/>
      <c r="O1236" s="17" t="s">
        <v>1310</v>
      </c>
      <c r="P1236" s="22">
        <v>-84.385706999999996</v>
      </c>
      <c r="Q1236" s="22">
        <v>-65.593059999999994</v>
      </c>
      <c r="R1236" s="22"/>
      <c r="S1236" s="22">
        <v>821.2214007</v>
      </c>
      <c r="T1236" s="22">
        <v>410</v>
      </c>
      <c r="U1236" s="23">
        <v>400</v>
      </c>
      <c r="V1236" s="23" t="s">
        <v>1942</v>
      </c>
      <c r="W1236" s="44" t="s">
        <v>2446</v>
      </c>
      <c r="X1236" s="22">
        <f t="shared" si="30"/>
        <v>411.2214007</v>
      </c>
      <c r="Y1236" s="22">
        <v>8.5</v>
      </c>
      <c r="Z1236" s="22">
        <v>2.5</v>
      </c>
      <c r="AA1236" s="17" t="s">
        <v>73</v>
      </c>
      <c r="AB1236" s="26">
        <v>3483</v>
      </c>
      <c r="AC1236" s="26">
        <v>534</v>
      </c>
      <c r="AD1236" s="26"/>
      <c r="AE1236" s="27">
        <v>71435</v>
      </c>
      <c r="AF1236" s="27">
        <v>3564</v>
      </c>
      <c r="AG1236" s="28"/>
      <c r="AH1236" s="28"/>
      <c r="AI1236" s="17">
        <v>2014</v>
      </c>
      <c r="AJ1236" s="17">
        <v>0</v>
      </c>
      <c r="AK1236" s="17">
        <v>1</v>
      </c>
      <c r="AL1236" s="17" t="s">
        <v>1302</v>
      </c>
      <c r="AM1236" s="17" t="s">
        <v>1431</v>
      </c>
    </row>
    <row r="1237" spans="1:39" ht="12.75" customHeight="1">
      <c r="A1237" s="50" t="s">
        <v>1428</v>
      </c>
      <c r="B1237" s="33" t="s">
        <v>1429</v>
      </c>
      <c r="C1237" s="17">
        <v>143</v>
      </c>
      <c r="D1237" s="142" t="s">
        <v>196</v>
      </c>
      <c r="E1237" s="19">
        <v>0</v>
      </c>
      <c r="F1237" s="33" t="s">
        <v>1430</v>
      </c>
      <c r="G1237" s="19" t="s">
        <v>1308</v>
      </c>
      <c r="H1237" s="19" t="s">
        <v>1142</v>
      </c>
      <c r="I1237" s="17" t="b">
        <v>0</v>
      </c>
      <c r="J1237" s="17" t="s">
        <v>43</v>
      </c>
      <c r="K1237" s="21" t="str">
        <f t="shared" si="28"/>
        <v>https://version2.ice-d.org/antarctica/sample/11-ATH-295-NAN/</v>
      </c>
      <c r="L1237" s="50" t="s">
        <v>800</v>
      </c>
      <c r="M1237" s="155"/>
      <c r="O1237" s="17" t="s">
        <v>1310</v>
      </c>
      <c r="P1237" s="22">
        <v>-84.3857</v>
      </c>
      <c r="Q1237" s="22">
        <v>-65.629228999999995</v>
      </c>
      <c r="R1237" s="22"/>
      <c r="S1237" s="22">
        <v>784.70636649999994</v>
      </c>
      <c r="T1237" s="22">
        <v>410</v>
      </c>
      <c r="U1237" s="23">
        <v>400</v>
      </c>
      <c r="V1237" s="23" t="s">
        <v>1942</v>
      </c>
      <c r="W1237" s="44" t="s">
        <v>2446</v>
      </c>
      <c r="X1237" s="22">
        <f t="shared" si="30"/>
        <v>374.70636649999994</v>
      </c>
      <c r="Y1237" s="22">
        <v>10</v>
      </c>
      <c r="Z1237" s="22">
        <v>2.5</v>
      </c>
      <c r="AA1237" s="17" t="s">
        <v>73</v>
      </c>
      <c r="AB1237" s="26">
        <v>6518</v>
      </c>
      <c r="AC1237" s="26">
        <v>247</v>
      </c>
      <c r="AD1237" s="26">
        <v>458</v>
      </c>
      <c r="AE1237" s="27">
        <v>71143.037639999995</v>
      </c>
      <c r="AF1237" s="27">
        <v>2696.535116</v>
      </c>
      <c r="AG1237" s="28"/>
      <c r="AH1237" s="28"/>
      <c r="AI1237" s="17">
        <v>2014</v>
      </c>
      <c r="AJ1237" s="17">
        <v>0</v>
      </c>
      <c r="AK1237" s="17">
        <v>0</v>
      </c>
      <c r="AM1237" s="17" t="s">
        <v>1431</v>
      </c>
    </row>
    <row r="1238" spans="1:39" ht="12.75" customHeight="1">
      <c r="A1238" s="50" t="s">
        <v>1432</v>
      </c>
      <c r="B1238" s="33" t="s">
        <v>1429</v>
      </c>
      <c r="C1238" s="17">
        <v>143</v>
      </c>
      <c r="D1238" s="142" t="s">
        <v>196</v>
      </c>
      <c r="E1238" s="19">
        <v>0</v>
      </c>
      <c r="F1238" s="33" t="s">
        <v>1430</v>
      </c>
      <c r="G1238" s="19" t="s">
        <v>1308</v>
      </c>
      <c r="H1238" s="19" t="s">
        <v>1142</v>
      </c>
      <c r="I1238" s="17" t="b">
        <v>0</v>
      </c>
      <c r="J1238" s="17" t="s">
        <v>43</v>
      </c>
      <c r="K1238" s="21" t="str">
        <f t="shared" si="28"/>
        <v>https://version2.ice-d.org/antarctica/sample/11-ATH-297-NAN/</v>
      </c>
      <c r="L1238" s="50" t="s">
        <v>800</v>
      </c>
      <c r="M1238" s="155"/>
      <c r="O1238" s="17" t="s">
        <v>1310</v>
      </c>
      <c r="P1238" s="22">
        <v>-84.385718999999995</v>
      </c>
      <c r="Q1238" s="22">
        <v>-65.630836000000002</v>
      </c>
      <c r="R1238" s="22"/>
      <c r="S1238" s="22">
        <v>781.17265350000002</v>
      </c>
      <c r="T1238" s="22">
        <v>410</v>
      </c>
      <c r="U1238" s="23">
        <v>400</v>
      </c>
      <c r="V1238" s="23" t="s">
        <v>1942</v>
      </c>
      <c r="W1238" s="44" t="s">
        <v>2446</v>
      </c>
      <c r="X1238" s="22">
        <f t="shared" si="30"/>
        <v>371.17265350000002</v>
      </c>
      <c r="Y1238" s="22">
        <v>4</v>
      </c>
      <c r="Z1238" s="22">
        <v>2.5</v>
      </c>
      <c r="AA1238" s="17" t="s">
        <v>73</v>
      </c>
      <c r="AB1238" s="26">
        <v>6317</v>
      </c>
      <c r="AC1238" s="26">
        <v>224</v>
      </c>
      <c r="AD1238" s="26">
        <v>436</v>
      </c>
      <c r="AE1238" s="27">
        <v>71836</v>
      </c>
      <c r="AF1238" s="27">
        <v>2549</v>
      </c>
      <c r="AG1238" s="28"/>
      <c r="AH1238" s="28"/>
      <c r="AI1238" s="17">
        <v>2014</v>
      </c>
      <c r="AJ1238" s="17">
        <v>0</v>
      </c>
      <c r="AK1238" s="17">
        <v>0</v>
      </c>
      <c r="AM1238" s="17" t="s">
        <v>1431</v>
      </c>
    </row>
    <row r="1239" spans="1:39" ht="15.75" customHeight="1">
      <c r="A1239" s="50" t="s">
        <v>1433</v>
      </c>
      <c r="B1239" s="33" t="s">
        <v>1429</v>
      </c>
      <c r="C1239" s="17">
        <v>143</v>
      </c>
      <c r="D1239" s="142" t="s">
        <v>196</v>
      </c>
      <c r="E1239" s="19">
        <v>0</v>
      </c>
      <c r="F1239" s="33" t="s">
        <v>1430</v>
      </c>
      <c r="G1239" s="19" t="s">
        <v>1308</v>
      </c>
      <c r="H1239" s="19" t="s">
        <v>1142</v>
      </c>
      <c r="I1239" s="17" t="b">
        <v>0</v>
      </c>
      <c r="J1239" s="17" t="s">
        <v>43</v>
      </c>
      <c r="K1239" s="21" t="str">
        <f t="shared" si="28"/>
        <v>https://version2.ice-d.org/antarctica/sample/11-ATH-300-NAN/</v>
      </c>
      <c r="L1239" s="50" t="s">
        <v>800</v>
      </c>
      <c r="M1239" s="155"/>
      <c r="O1239" s="17" t="s">
        <v>1310</v>
      </c>
      <c r="P1239" s="22">
        <v>-84.385706999999996</v>
      </c>
      <c r="Q1239" s="22">
        <v>-65.593059999999994</v>
      </c>
      <c r="R1239" s="22"/>
      <c r="S1239" s="22">
        <v>821.2214007</v>
      </c>
      <c r="T1239" s="22">
        <v>410</v>
      </c>
      <c r="U1239" s="23">
        <v>400</v>
      </c>
      <c r="V1239" s="23" t="s">
        <v>1942</v>
      </c>
      <c r="W1239" s="44" t="s">
        <v>2446</v>
      </c>
      <c r="X1239" s="22">
        <f t="shared" si="30"/>
        <v>411.2214007</v>
      </c>
      <c r="Y1239" s="22">
        <v>8.5</v>
      </c>
      <c r="Z1239" s="22">
        <v>2.5</v>
      </c>
      <c r="AA1239" s="17" t="s">
        <v>73</v>
      </c>
      <c r="AB1239" s="26">
        <v>6270</v>
      </c>
      <c r="AC1239" s="26">
        <v>313</v>
      </c>
      <c r="AD1239" s="26">
        <v>485</v>
      </c>
      <c r="AE1239" s="27">
        <v>71435</v>
      </c>
      <c r="AF1239" s="27">
        <v>3564</v>
      </c>
      <c r="AG1239" s="28"/>
      <c r="AH1239" s="28"/>
      <c r="AI1239" s="17">
        <v>2014</v>
      </c>
      <c r="AJ1239" s="17">
        <v>0</v>
      </c>
      <c r="AK1239" s="17">
        <v>0</v>
      </c>
      <c r="AM1239" s="17" t="s">
        <v>1431</v>
      </c>
    </row>
    <row r="1240" spans="1:39" ht="12.75" customHeight="1">
      <c r="A1240" s="113" t="s">
        <v>1434</v>
      </c>
      <c r="B1240" s="33" t="s">
        <v>1435</v>
      </c>
      <c r="C1240" s="17">
        <v>144</v>
      </c>
      <c r="D1240" s="142" t="s">
        <v>196</v>
      </c>
      <c r="E1240" s="19">
        <v>0</v>
      </c>
      <c r="F1240" s="33" t="s">
        <v>1430</v>
      </c>
      <c r="G1240" s="19" t="s">
        <v>1308</v>
      </c>
      <c r="H1240" s="19" t="s">
        <v>1142</v>
      </c>
      <c r="I1240" s="17" t="b">
        <v>0</v>
      </c>
      <c r="J1240" s="17" t="s">
        <v>43</v>
      </c>
      <c r="K1240" s="21" t="str">
        <f t="shared" si="28"/>
        <v>https://version2.ice-d.org/antarctica/sample/11-ATH-268-SML/</v>
      </c>
      <c r="L1240" s="113" t="s">
        <v>1292</v>
      </c>
      <c r="M1240" s="189" t="s">
        <v>2418</v>
      </c>
      <c r="O1240" s="17" t="s">
        <v>1310</v>
      </c>
      <c r="P1240" s="22">
        <v>-84.424982</v>
      </c>
      <c r="Q1240" s="22">
        <v>-66.167508999999995</v>
      </c>
      <c r="R1240" s="22"/>
      <c r="S1240" s="22">
        <v>576.70809369999995</v>
      </c>
      <c r="T1240" s="22">
        <v>410</v>
      </c>
      <c r="U1240" s="23">
        <v>400</v>
      </c>
      <c r="V1240" s="23" t="s">
        <v>1942</v>
      </c>
      <c r="W1240" s="44" t="s">
        <v>2446</v>
      </c>
      <c r="X1240" s="22">
        <f t="shared" si="30"/>
        <v>166.70809369999995</v>
      </c>
      <c r="Y1240" s="22">
        <v>3</v>
      </c>
      <c r="Z1240" s="22">
        <v>2.5</v>
      </c>
      <c r="AA1240" s="17" t="s">
        <v>73</v>
      </c>
      <c r="AB1240" s="26">
        <v>3781</v>
      </c>
      <c r="AC1240" s="26">
        <v>679</v>
      </c>
      <c r="AD1240" s="26"/>
      <c r="AE1240" s="27">
        <v>329179</v>
      </c>
      <c r="AF1240" s="27">
        <v>7119</v>
      </c>
      <c r="AG1240" s="28"/>
      <c r="AH1240" s="28"/>
      <c r="AI1240" s="17">
        <v>2014</v>
      </c>
      <c r="AJ1240" s="17">
        <v>0</v>
      </c>
      <c r="AK1240" s="17">
        <v>1</v>
      </c>
      <c r="AL1240" s="17" t="s">
        <v>1302</v>
      </c>
    </row>
    <row r="1241" spans="1:39" ht="12.75" customHeight="1">
      <c r="A1241" s="113" t="s">
        <v>1436</v>
      </c>
      <c r="B1241" s="33" t="s">
        <v>1435</v>
      </c>
      <c r="C1241" s="17">
        <v>144</v>
      </c>
      <c r="D1241" s="142" t="s">
        <v>196</v>
      </c>
      <c r="E1241" s="19">
        <v>0</v>
      </c>
      <c r="F1241" s="33" t="s">
        <v>1430</v>
      </c>
      <c r="G1241" s="19" t="s">
        <v>1308</v>
      </c>
      <c r="H1241" s="19" t="s">
        <v>1142</v>
      </c>
      <c r="I1241" s="17" t="b">
        <v>0</v>
      </c>
      <c r="J1241" s="17" t="s">
        <v>43</v>
      </c>
      <c r="K1241" s="21" t="str">
        <f t="shared" si="28"/>
        <v>https://version2.ice-d.org/antarctica/sample/11-ATH-271-SML/</v>
      </c>
      <c r="L1241" s="113" t="s">
        <v>1292</v>
      </c>
      <c r="M1241" s="155"/>
      <c r="O1241" s="17" t="s">
        <v>1310</v>
      </c>
      <c r="P1241" s="22">
        <v>-84.426925999999995</v>
      </c>
      <c r="Q1241" s="22">
        <v>-66.156661999999997</v>
      </c>
      <c r="R1241" s="22"/>
      <c r="S1241" s="22">
        <v>644.43759260000002</v>
      </c>
      <c r="T1241" s="22">
        <v>410</v>
      </c>
      <c r="U1241" s="23">
        <v>400</v>
      </c>
      <c r="V1241" s="23" t="s">
        <v>1942</v>
      </c>
      <c r="W1241" s="44" t="s">
        <v>2446</v>
      </c>
      <c r="X1241" s="22">
        <f t="shared" si="30"/>
        <v>234.43759260000002</v>
      </c>
      <c r="Y1241" s="22">
        <v>8.5</v>
      </c>
      <c r="Z1241" s="22">
        <v>2.5</v>
      </c>
      <c r="AA1241" s="17" t="s">
        <v>73</v>
      </c>
      <c r="AB1241" s="26">
        <v>4323</v>
      </c>
      <c r="AC1241" s="26">
        <v>676</v>
      </c>
      <c r="AD1241" s="26"/>
      <c r="AE1241" s="27">
        <v>1008362</v>
      </c>
      <c r="AF1241" s="27">
        <v>27693</v>
      </c>
      <c r="AG1241" s="28"/>
      <c r="AH1241" s="28"/>
      <c r="AI1241" s="17">
        <v>2014</v>
      </c>
      <c r="AJ1241" s="17">
        <v>0</v>
      </c>
      <c r="AK1241" s="17">
        <v>1</v>
      </c>
      <c r="AL1241" s="17" t="s">
        <v>1302</v>
      </c>
    </row>
    <row r="1242" spans="1:39" ht="12.75" customHeight="1">
      <c r="A1242" s="113" t="s">
        <v>1437</v>
      </c>
      <c r="B1242" s="33" t="s">
        <v>1435</v>
      </c>
      <c r="C1242" s="17">
        <v>144</v>
      </c>
      <c r="D1242" s="142" t="s">
        <v>196</v>
      </c>
      <c r="E1242" s="19">
        <v>0</v>
      </c>
      <c r="F1242" s="33" t="s">
        <v>1430</v>
      </c>
      <c r="G1242" s="19" t="s">
        <v>1308</v>
      </c>
      <c r="H1242" s="19" t="s">
        <v>1142</v>
      </c>
      <c r="I1242" s="17" t="b">
        <v>0</v>
      </c>
      <c r="J1242" s="17" t="s">
        <v>43</v>
      </c>
      <c r="K1242" s="21" t="str">
        <f t="shared" si="28"/>
        <v>https://version2.ice-d.org/antarctica/sample/11-ATH-273-SML/</v>
      </c>
      <c r="L1242" s="113" t="s">
        <v>1292</v>
      </c>
      <c r="M1242" s="155"/>
      <c r="O1242" s="17" t="s">
        <v>1310</v>
      </c>
      <c r="P1242" s="22">
        <v>-84.429423999999997</v>
      </c>
      <c r="Q1242" s="22">
        <v>-66.138553999999999</v>
      </c>
      <c r="R1242" s="22"/>
      <c r="S1242" s="22">
        <v>713.44315449999999</v>
      </c>
      <c r="T1242" s="22">
        <v>410</v>
      </c>
      <c r="U1242" s="23">
        <v>400</v>
      </c>
      <c r="V1242" s="23" t="s">
        <v>1942</v>
      </c>
      <c r="W1242" s="44" t="s">
        <v>2446</v>
      </c>
      <c r="X1242" s="22">
        <f t="shared" si="30"/>
        <v>303.44315449999999</v>
      </c>
      <c r="Y1242" s="22">
        <v>4.5</v>
      </c>
      <c r="Z1242" s="22">
        <v>2.5</v>
      </c>
      <c r="AA1242" s="17" t="s">
        <v>73</v>
      </c>
      <c r="AB1242" s="26">
        <v>2165</v>
      </c>
      <c r="AC1242" s="26">
        <v>441</v>
      </c>
      <c r="AD1242" s="26"/>
      <c r="AE1242" s="27">
        <v>74497</v>
      </c>
      <c r="AF1242" s="27">
        <v>1737</v>
      </c>
      <c r="AG1242" s="28"/>
      <c r="AH1242" s="28"/>
      <c r="AI1242" s="17">
        <v>2014</v>
      </c>
      <c r="AJ1242" s="17">
        <v>0</v>
      </c>
      <c r="AK1242" s="17">
        <v>1</v>
      </c>
      <c r="AL1242" s="17" t="s">
        <v>1302</v>
      </c>
    </row>
    <row r="1243" spans="1:39" ht="12.75" customHeight="1">
      <c r="A1243" s="113" t="s">
        <v>1438</v>
      </c>
      <c r="B1243" s="33" t="s">
        <v>1435</v>
      </c>
      <c r="C1243" s="17">
        <v>144</v>
      </c>
      <c r="D1243" s="142" t="s">
        <v>196</v>
      </c>
      <c r="E1243" s="19">
        <v>0</v>
      </c>
      <c r="F1243" s="33" t="s">
        <v>1430</v>
      </c>
      <c r="G1243" s="19" t="s">
        <v>1308</v>
      </c>
      <c r="H1243" s="19" t="s">
        <v>1142</v>
      </c>
      <c r="I1243" s="17" t="b">
        <v>0</v>
      </c>
      <c r="J1243" s="17" t="s">
        <v>43</v>
      </c>
      <c r="K1243" s="21" t="str">
        <f t="shared" si="28"/>
        <v>https://version2.ice-d.org/antarctica/sample/11-ATH-274-SML/</v>
      </c>
      <c r="L1243" s="113" t="s">
        <v>1292</v>
      </c>
      <c r="M1243" s="155"/>
      <c r="O1243" s="17" t="s">
        <v>1310</v>
      </c>
      <c r="P1243" s="22">
        <v>-84.431319999999999</v>
      </c>
      <c r="Q1243" s="22">
        <v>-66.132386999999994</v>
      </c>
      <c r="R1243" s="22"/>
      <c r="S1243" s="22">
        <v>771.65126009999994</v>
      </c>
      <c r="T1243" s="22">
        <v>410</v>
      </c>
      <c r="U1243" s="23">
        <v>400</v>
      </c>
      <c r="V1243" s="23" t="s">
        <v>1942</v>
      </c>
      <c r="W1243" s="44" t="s">
        <v>2446</v>
      </c>
      <c r="X1243" s="22">
        <f t="shared" si="30"/>
        <v>361.65126009999994</v>
      </c>
      <c r="Y1243" s="22">
        <v>7</v>
      </c>
      <c r="Z1243" s="22">
        <v>2.5</v>
      </c>
      <c r="AA1243" s="17" t="s">
        <v>73</v>
      </c>
      <c r="AB1243" s="26">
        <v>2995</v>
      </c>
      <c r="AC1243" s="26">
        <v>451</v>
      </c>
      <c r="AD1243" s="26"/>
      <c r="AE1243" s="27">
        <v>80931</v>
      </c>
      <c r="AF1243" s="27">
        <v>1699</v>
      </c>
      <c r="AG1243" s="28"/>
      <c r="AH1243" s="28"/>
      <c r="AI1243" s="17">
        <v>2014</v>
      </c>
      <c r="AJ1243" s="17">
        <v>0</v>
      </c>
      <c r="AK1243" s="17">
        <v>1</v>
      </c>
      <c r="AL1243" s="17" t="s">
        <v>1302</v>
      </c>
    </row>
    <row r="1244" spans="1:39" ht="12.75" customHeight="1">
      <c r="A1244" s="113" t="s">
        <v>1439</v>
      </c>
      <c r="B1244" s="33" t="s">
        <v>1435</v>
      </c>
      <c r="C1244" s="17">
        <v>144</v>
      </c>
      <c r="D1244" s="142" t="s">
        <v>196</v>
      </c>
      <c r="E1244" s="19">
        <v>0</v>
      </c>
      <c r="F1244" s="33" t="s">
        <v>1430</v>
      </c>
      <c r="G1244" s="19" t="s">
        <v>1308</v>
      </c>
      <c r="H1244" s="19" t="s">
        <v>1142</v>
      </c>
      <c r="I1244" s="17" t="b">
        <v>0</v>
      </c>
      <c r="J1244" s="17" t="s">
        <v>43</v>
      </c>
      <c r="K1244" s="21" t="str">
        <f t="shared" si="28"/>
        <v>https://version2.ice-d.org/antarctica/sample/11-ATH-276-SML/</v>
      </c>
      <c r="L1244" s="113" t="s">
        <v>1292</v>
      </c>
      <c r="M1244" s="155"/>
      <c r="O1244" s="17" t="s">
        <v>1310</v>
      </c>
      <c r="P1244" s="22">
        <v>-84.432254999999998</v>
      </c>
      <c r="Q1244" s="22">
        <v>-66.144585000000006</v>
      </c>
      <c r="R1244" s="22"/>
      <c r="S1244" s="22">
        <v>683.6029115</v>
      </c>
      <c r="T1244" s="22">
        <v>410</v>
      </c>
      <c r="U1244" s="23">
        <v>400</v>
      </c>
      <c r="V1244" s="23" t="s">
        <v>1942</v>
      </c>
      <c r="W1244" s="44" t="s">
        <v>2446</v>
      </c>
      <c r="X1244" s="22">
        <f t="shared" si="30"/>
        <v>273.6029115</v>
      </c>
      <c r="Y1244" s="22">
        <v>6</v>
      </c>
      <c r="Z1244" s="22">
        <v>2.5</v>
      </c>
      <c r="AA1244" s="17" t="s">
        <v>73</v>
      </c>
      <c r="AB1244" s="26">
        <v>2172</v>
      </c>
      <c r="AC1244" s="26">
        <v>540</v>
      </c>
      <c r="AD1244" s="26"/>
      <c r="AE1244" s="27">
        <v>67035</v>
      </c>
      <c r="AF1244" s="27">
        <v>1690</v>
      </c>
      <c r="AG1244" s="28"/>
      <c r="AH1244" s="28"/>
      <c r="AI1244" s="17">
        <v>2014</v>
      </c>
      <c r="AJ1244" s="17">
        <v>0</v>
      </c>
      <c r="AK1244" s="17">
        <v>1</v>
      </c>
      <c r="AL1244" s="17" t="s">
        <v>1302</v>
      </c>
    </row>
    <row r="1245" spans="1:39" ht="12.75" customHeight="1">
      <c r="A1245" s="113" t="s">
        <v>1440</v>
      </c>
      <c r="B1245" s="33" t="s">
        <v>1435</v>
      </c>
      <c r="C1245" s="17">
        <v>144</v>
      </c>
      <c r="D1245" s="142" t="s">
        <v>196</v>
      </c>
      <c r="E1245" s="19">
        <v>0</v>
      </c>
      <c r="F1245" s="33" t="s">
        <v>1430</v>
      </c>
      <c r="G1245" s="19" t="s">
        <v>1308</v>
      </c>
      <c r="H1245" s="19" t="s">
        <v>1142</v>
      </c>
      <c r="I1245" s="17" t="b">
        <v>0</v>
      </c>
      <c r="J1245" s="17" t="s">
        <v>43</v>
      </c>
      <c r="K1245" s="21" t="str">
        <f t="shared" si="28"/>
        <v>https://version2.ice-d.org/antarctica/sample/11-ATH-278-SML/</v>
      </c>
      <c r="L1245" s="113" t="s">
        <v>1292</v>
      </c>
      <c r="M1245" s="155"/>
      <c r="O1245" s="17" t="s">
        <v>1310</v>
      </c>
      <c r="P1245" s="22">
        <v>-84.431370000000001</v>
      </c>
      <c r="Q1245" s="22">
        <v>-66.097666000000004</v>
      </c>
      <c r="R1245" s="22"/>
      <c r="S1245" s="22">
        <v>813.46686380000006</v>
      </c>
      <c r="T1245" s="22">
        <v>410</v>
      </c>
      <c r="U1245" s="23">
        <v>400</v>
      </c>
      <c r="V1245" s="23" t="s">
        <v>1942</v>
      </c>
      <c r="W1245" s="44" t="s">
        <v>2446</v>
      </c>
      <c r="X1245" s="22">
        <f t="shared" si="30"/>
        <v>403.46686380000006</v>
      </c>
      <c r="Y1245" s="22">
        <v>7</v>
      </c>
      <c r="Z1245" s="22">
        <v>2.5</v>
      </c>
      <c r="AA1245" s="17" t="s">
        <v>73</v>
      </c>
      <c r="AB1245" s="26">
        <v>3808</v>
      </c>
      <c r="AC1245" s="26">
        <v>559</v>
      </c>
      <c r="AD1245" s="26"/>
      <c r="AE1245" s="27">
        <v>161251</v>
      </c>
      <c r="AF1245" s="27">
        <v>4916</v>
      </c>
      <c r="AG1245" s="28"/>
      <c r="AH1245" s="28"/>
      <c r="AI1245" s="17">
        <v>2014</v>
      </c>
      <c r="AJ1245" s="17">
        <v>0</v>
      </c>
      <c r="AK1245" s="17">
        <v>1</v>
      </c>
      <c r="AL1245" s="17" t="s">
        <v>1302</v>
      </c>
    </row>
    <row r="1246" spans="1:39" ht="12.75" customHeight="1">
      <c r="A1246" s="113" t="s">
        <v>1441</v>
      </c>
      <c r="B1246" s="33" t="s">
        <v>1435</v>
      </c>
      <c r="C1246" s="17">
        <v>144</v>
      </c>
      <c r="D1246" s="142" t="s">
        <v>196</v>
      </c>
      <c r="E1246" s="19">
        <v>0</v>
      </c>
      <c r="F1246" s="33" t="s">
        <v>1430</v>
      </c>
      <c r="G1246" s="19" t="s">
        <v>1308</v>
      </c>
      <c r="H1246" s="19" t="s">
        <v>1142</v>
      </c>
      <c r="I1246" s="17" t="b">
        <v>0</v>
      </c>
      <c r="J1246" s="17" t="s">
        <v>43</v>
      </c>
      <c r="K1246" s="21" t="str">
        <f t="shared" si="28"/>
        <v>https://version2.ice-d.org/antarctica/sample/11-ATH-279-SML/</v>
      </c>
      <c r="L1246" s="113" t="s">
        <v>1292</v>
      </c>
      <c r="M1246" s="155"/>
      <c r="O1246" s="17" t="s">
        <v>1310</v>
      </c>
      <c r="P1246" s="22">
        <v>-84.431331999999998</v>
      </c>
      <c r="Q1246" s="22">
        <v>-66.004626999999999</v>
      </c>
      <c r="R1246" s="22"/>
      <c r="S1246" s="22">
        <v>843.20894810000004</v>
      </c>
      <c r="T1246" s="22">
        <v>410</v>
      </c>
      <c r="U1246" s="23">
        <v>400</v>
      </c>
      <c r="V1246" s="23" t="s">
        <v>1942</v>
      </c>
      <c r="W1246" s="44" t="s">
        <v>2446</v>
      </c>
      <c r="X1246" s="22">
        <f t="shared" si="30"/>
        <v>433.20894810000004</v>
      </c>
      <c r="Y1246" s="22">
        <v>6.5</v>
      </c>
      <c r="Z1246" s="22">
        <v>2.5</v>
      </c>
      <c r="AA1246" s="17" t="s">
        <v>73</v>
      </c>
      <c r="AB1246" s="26">
        <v>4576</v>
      </c>
      <c r="AC1246" s="26">
        <v>579</v>
      </c>
      <c r="AD1246" s="26"/>
      <c r="AE1246" s="27">
        <v>1234362</v>
      </c>
      <c r="AF1246" s="27">
        <v>18644</v>
      </c>
      <c r="AG1246" s="28"/>
      <c r="AH1246" s="28"/>
      <c r="AI1246" s="17">
        <v>2014</v>
      </c>
      <c r="AJ1246" s="17">
        <v>0</v>
      </c>
      <c r="AK1246" s="17">
        <v>1</v>
      </c>
      <c r="AL1246" s="17" t="s">
        <v>1302</v>
      </c>
    </row>
    <row r="1247" spans="1:39" ht="12.75" customHeight="1">
      <c r="A1247" s="113" t="s">
        <v>1442</v>
      </c>
      <c r="B1247" s="33" t="s">
        <v>1435</v>
      </c>
      <c r="C1247" s="17">
        <v>144</v>
      </c>
      <c r="D1247" s="142" t="s">
        <v>196</v>
      </c>
      <c r="E1247" s="19">
        <v>0</v>
      </c>
      <c r="F1247" s="33" t="s">
        <v>1430</v>
      </c>
      <c r="G1247" s="19" t="s">
        <v>1308</v>
      </c>
      <c r="H1247" s="19" t="s">
        <v>1142</v>
      </c>
      <c r="I1247" s="17" t="b">
        <v>0</v>
      </c>
      <c r="J1247" s="17" t="s">
        <v>43</v>
      </c>
      <c r="K1247" s="21" t="str">
        <f t="shared" si="28"/>
        <v>https://version2.ice-d.org/antarctica/sample/11-ATH-290-SML/</v>
      </c>
      <c r="L1247" s="113" t="s">
        <v>1292</v>
      </c>
      <c r="M1247" s="155"/>
      <c r="O1247" s="17" t="s">
        <v>1310</v>
      </c>
      <c r="P1247" s="22">
        <v>-84.434877</v>
      </c>
      <c r="Q1247" s="22">
        <v>-66.257606999999993</v>
      </c>
      <c r="R1247" s="22"/>
      <c r="S1247" s="22">
        <v>707.74995030000002</v>
      </c>
      <c r="T1247" s="22">
        <v>410</v>
      </c>
      <c r="U1247" s="23">
        <v>400</v>
      </c>
      <c r="V1247" s="23" t="s">
        <v>1942</v>
      </c>
      <c r="W1247" s="44" t="s">
        <v>2446</v>
      </c>
      <c r="X1247" s="22">
        <f t="shared" si="30"/>
        <v>297.74995030000002</v>
      </c>
      <c r="Y1247" s="22">
        <v>10</v>
      </c>
      <c r="Z1247" s="22">
        <v>2.5</v>
      </c>
      <c r="AA1247" s="17" t="s">
        <v>73</v>
      </c>
      <c r="AB1247" s="26">
        <v>1813</v>
      </c>
      <c r="AC1247" s="26">
        <v>547</v>
      </c>
      <c r="AD1247" s="26"/>
      <c r="AE1247" s="27">
        <v>405919.84480000002</v>
      </c>
      <c r="AF1247" s="27">
        <v>8717.3094070000006</v>
      </c>
      <c r="AG1247" s="28"/>
      <c r="AH1247" s="28"/>
      <c r="AI1247" s="17">
        <v>2014</v>
      </c>
      <c r="AJ1247" s="17">
        <v>0</v>
      </c>
      <c r="AK1247" s="17">
        <v>1</v>
      </c>
      <c r="AL1247" s="17" t="s">
        <v>1302</v>
      </c>
    </row>
    <row r="1248" spans="1:39" ht="12.75" customHeight="1">
      <c r="A1248" s="113" t="s">
        <v>1443</v>
      </c>
      <c r="B1248" s="33" t="s">
        <v>1435</v>
      </c>
      <c r="C1248" s="17">
        <v>144</v>
      </c>
      <c r="D1248" s="142" t="s">
        <v>196</v>
      </c>
      <c r="E1248" s="19">
        <v>0</v>
      </c>
      <c r="F1248" s="33" t="s">
        <v>1430</v>
      </c>
      <c r="G1248" s="19" t="s">
        <v>1308</v>
      </c>
      <c r="H1248" s="19" t="s">
        <v>1142</v>
      </c>
      <c r="I1248" s="17" t="b">
        <v>0</v>
      </c>
      <c r="J1248" s="17" t="s">
        <v>43</v>
      </c>
      <c r="K1248" s="21" t="str">
        <f t="shared" si="28"/>
        <v>https://version2.ice-d.org/antarctica/sample/11-ATH-294-SML/</v>
      </c>
      <c r="L1248" s="113" t="s">
        <v>1292</v>
      </c>
      <c r="M1248" s="155"/>
      <c r="O1248" s="17" t="s">
        <v>1310</v>
      </c>
      <c r="P1248" s="22">
        <v>-84.439114000000004</v>
      </c>
      <c r="Q1248" s="22">
        <v>-66.130887000000001</v>
      </c>
      <c r="R1248" s="22"/>
      <c r="S1248" s="22">
        <v>768.70649930000002</v>
      </c>
      <c r="T1248" s="22">
        <v>410</v>
      </c>
      <c r="U1248" s="23">
        <v>400</v>
      </c>
      <c r="V1248" s="23" t="s">
        <v>1942</v>
      </c>
      <c r="W1248" s="44" t="s">
        <v>2446</v>
      </c>
      <c r="X1248" s="22">
        <f t="shared" si="30"/>
        <v>358.70649930000002</v>
      </c>
      <c r="Y1248" s="22">
        <v>5.5</v>
      </c>
      <c r="Z1248" s="22">
        <v>2.5</v>
      </c>
      <c r="AA1248" s="17" t="s">
        <v>73</v>
      </c>
      <c r="AB1248" s="26">
        <v>2206</v>
      </c>
      <c r="AC1248" s="26">
        <v>487</v>
      </c>
      <c r="AD1248" s="26"/>
      <c r="AE1248" s="27">
        <v>91768</v>
      </c>
      <c r="AF1248" s="27">
        <v>2631</v>
      </c>
      <c r="AG1248" s="28"/>
      <c r="AH1248" s="28"/>
      <c r="AI1248" s="17">
        <v>2014</v>
      </c>
      <c r="AJ1248" s="17">
        <v>0</v>
      </c>
      <c r="AK1248" s="17">
        <v>1</v>
      </c>
      <c r="AL1248" s="17" t="s">
        <v>1302</v>
      </c>
    </row>
    <row r="1249" spans="1:38" ht="12.75" customHeight="1">
      <c r="A1249" s="113" t="s">
        <v>1444</v>
      </c>
      <c r="B1249" s="33" t="s">
        <v>1435</v>
      </c>
      <c r="C1249" s="17">
        <v>144</v>
      </c>
      <c r="D1249" s="142" t="s">
        <v>196</v>
      </c>
      <c r="E1249" s="19">
        <v>0</v>
      </c>
      <c r="F1249" s="33" t="s">
        <v>1430</v>
      </c>
      <c r="G1249" s="19" t="s">
        <v>1308</v>
      </c>
      <c r="H1249" s="19" t="s">
        <v>1142</v>
      </c>
      <c r="I1249" s="17" t="b">
        <v>0</v>
      </c>
      <c r="J1249" s="17" t="s">
        <v>43</v>
      </c>
      <c r="K1249" s="21" t="str">
        <f t="shared" si="28"/>
        <v>https://version2.ice-d.org/antarctica/sample/11-ATH-303-SML/</v>
      </c>
      <c r="L1249" s="113" t="s">
        <v>1292</v>
      </c>
      <c r="M1249" s="155"/>
      <c r="O1249" s="17" t="s">
        <v>1310</v>
      </c>
      <c r="P1249" s="22">
        <v>-84.425067999999996</v>
      </c>
      <c r="Q1249" s="22">
        <v>-66.164815000000004</v>
      </c>
      <c r="R1249" s="22"/>
      <c r="S1249" s="22">
        <v>570.03330249999999</v>
      </c>
      <c r="T1249" s="22">
        <v>410</v>
      </c>
      <c r="U1249" s="23">
        <v>400</v>
      </c>
      <c r="V1249" s="23" t="s">
        <v>1942</v>
      </c>
      <c r="W1249" s="44" t="s">
        <v>2446</v>
      </c>
      <c r="X1249" s="22">
        <f t="shared" si="30"/>
        <v>160.03330249999999</v>
      </c>
      <c r="Y1249" s="22">
        <v>4</v>
      </c>
      <c r="Z1249" s="22">
        <v>2.5</v>
      </c>
      <c r="AA1249" s="17" t="s">
        <v>73</v>
      </c>
      <c r="AB1249" s="26">
        <v>4651</v>
      </c>
      <c r="AC1249" s="26">
        <v>668</v>
      </c>
      <c r="AD1249" s="26"/>
      <c r="AE1249" s="27">
        <v>478643</v>
      </c>
      <c r="AF1249" s="27">
        <v>13378</v>
      </c>
      <c r="AG1249" s="28"/>
      <c r="AH1249" s="28"/>
      <c r="AI1249" s="17">
        <v>2014</v>
      </c>
      <c r="AJ1249" s="17">
        <v>0</v>
      </c>
      <c r="AK1249" s="17">
        <v>1</v>
      </c>
      <c r="AL1249" s="17" t="s">
        <v>1302</v>
      </c>
    </row>
    <row r="1250" spans="1:38" ht="12.75" customHeight="1">
      <c r="A1250" s="113" t="s">
        <v>1445</v>
      </c>
      <c r="B1250" s="33" t="s">
        <v>1435</v>
      </c>
      <c r="C1250" s="17">
        <v>144</v>
      </c>
      <c r="D1250" s="142" t="s">
        <v>196</v>
      </c>
      <c r="E1250" s="19">
        <v>0</v>
      </c>
      <c r="F1250" s="33" t="s">
        <v>1430</v>
      </c>
      <c r="G1250" s="19" t="s">
        <v>1308</v>
      </c>
      <c r="H1250" s="19" t="s">
        <v>1142</v>
      </c>
      <c r="I1250" s="17" t="b">
        <v>0</v>
      </c>
      <c r="J1250" s="17" t="s">
        <v>43</v>
      </c>
      <c r="K1250" s="21" t="str">
        <f t="shared" si="28"/>
        <v>https://version2.ice-d.org/antarctica/sample/11-ATH-304-SML/</v>
      </c>
      <c r="L1250" s="113" t="s">
        <v>1292</v>
      </c>
      <c r="M1250" s="155"/>
      <c r="O1250" s="17" t="s">
        <v>1310</v>
      </c>
      <c r="P1250" s="22">
        <v>-84.425382999999997</v>
      </c>
      <c r="Q1250" s="22">
        <v>-66.172259999999994</v>
      </c>
      <c r="R1250" s="22"/>
      <c r="S1250" s="22">
        <v>579.55469579999999</v>
      </c>
      <c r="T1250" s="22">
        <v>410</v>
      </c>
      <c r="U1250" s="23">
        <v>400</v>
      </c>
      <c r="V1250" s="23" t="s">
        <v>1942</v>
      </c>
      <c r="W1250" s="44" t="s">
        <v>2446</v>
      </c>
      <c r="X1250" s="22">
        <f t="shared" si="30"/>
        <v>169.55469579999999</v>
      </c>
      <c r="Y1250" s="22">
        <v>7.5</v>
      </c>
      <c r="Z1250" s="22">
        <v>2.5</v>
      </c>
      <c r="AA1250" s="17" t="s">
        <v>73</v>
      </c>
      <c r="AB1250" s="26">
        <v>5221</v>
      </c>
      <c r="AC1250" s="26">
        <v>780</v>
      </c>
      <c r="AD1250" s="26"/>
      <c r="AE1250" s="27">
        <v>2280458.31</v>
      </c>
      <c r="AF1250" s="27">
        <v>57537.649469999997</v>
      </c>
      <c r="AG1250" s="28"/>
      <c r="AH1250" s="28"/>
      <c r="AI1250" s="17">
        <v>2014</v>
      </c>
      <c r="AJ1250" s="17">
        <v>0</v>
      </c>
      <c r="AK1250" s="17">
        <v>1</v>
      </c>
      <c r="AL1250" s="17" t="s">
        <v>1302</v>
      </c>
    </row>
    <row r="1251" spans="1:38" ht="12.75" customHeight="1">
      <c r="A1251" s="113" t="s">
        <v>1446</v>
      </c>
      <c r="B1251" s="33" t="s">
        <v>1435</v>
      </c>
      <c r="C1251" s="17">
        <v>144</v>
      </c>
      <c r="D1251" s="142" t="s">
        <v>196</v>
      </c>
      <c r="E1251" s="19">
        <v>0</v>
      </c>
      <c r="F1251" s="33" t="s">
        <v>1430</v>
      </c>
      <c r="G1251" s="19" t="s">
        <v>1308</v>
      </c>
      <c r="H1251" s="19" t="s">
        <v>1142</v>
      </c>
      <c r="I1251" s="17" t="b">
        <v>0</v>
      </c>
      <c r="J1251" s="17" t="s">
        <v>43</v>
      </c>
      <c r="K1251" s="21" t="str">
        <f t="shared" si="28"/>
        <v>https://version2.ice-d.org/antarctica/sample/11-ATH-306-SML/</v>
      </c>
      <c r="L1251" s="113" t="s">
        <v>1292</v>
      </c>
      <c r="M1251" s="155"/>
      <c r="O1251" s="17" t="s">
        <v>1310</v>
      </c>
      <c r="P1251" s="22">
        <v>-84.428008000000005</v>
      </c>
      <c r="Q1251" s="22">
        <v>-66.165627000000001</v>
      </c>
      <c r="R1251" s="22"/>
      <c r="S1251" s="22">
        <v>657.29638150000005</v>
      </c>
      <c r="T1251" s="22">
        <v>410</v>
      </c>
      <c r="U1251" s="23">
        <v>400</v>
      </c>
      <c r="V1251" s="23" t="s">
        <v>1942</v>
      </c>
      <c r="W1251" s="44" t="s">
        <v>2446</v>
      </c>
      <c r="X1251" s="22">
        <f t="shared" si="30"/>
        <v>247.29638150000005</v>
      </c>
      <c r="Y1251" s="22">
        <v>10</v>
      </c>
      <c r="Z1251" s="22">
        <v>2.5</v>
      </c>
      <c r="AA1251" s="17" t="s">
        <v>73</v>
      </c>
      <c r="AB1251" s="26">
        <v>2585</v>
      </c>
      <c r="AC1251" s="26">
        <v>560</v>
      </c>
      <c r="AD1251" s="26"/>
      <c r="AE1251" s="27">
        <v>279951</v>
      </c>
      <c r="AF1251" s="27">
        <v>8646</v>
      </c>
      <c r="AG1251" s="28"/>
      <c r="AH1251" s="28"/>
      <c r="AI1251" s="17">
        <v>2014</v>
      </c>
      <c r="AJ1251" s="17">
        <v>0</v>
      </c>
      <c r="AK1251" s="17">
        <v>1</v>
      </c>
      <c r="AL1251" s="17" t="s">
        <v>1302</v>
      </c>
    </row>
    <row r="1252" spans="1:38" ht="12.75" customHeight="1">
      <c r="A1252" s="113" t="s">
        <v>1437</v>
      </c>
      <c r="B1252" s="33" t="s">
        <v>1435</v>
      </c>
      <c r="C1252" s="17">
        <v>144</v>
      </c>
      <c r="D1252" s="142" t="s">
        <v>196</v>
      </c>
      <c r="E1252" s="19">
        <v>0</v>
      </c>
      <c r="F1252" s="33" t="s">
        <v>1430</v>
      </c>
      <c r="G1252" s="19" t="s">
        <v>1308</v>
      </c>
      <c r="H1252" s="19" t="s">
        <v>1142</v>
      </c>
      <c r="I1252" s="17" t="b">
        <v>0</v>
      </c>
      <c r="J1252" s="17" t="s">
        <v>43</v>
      </c>
      <c r="K1252" s="21" t="str">
        <f t="shared" si="28"/>
        <v>https://version2.ice-d.org/antarctica/sample/11-ATH-273-SML/</v>
      </c>
      <c r="L1252" s="113" t="s">
        <v>1292</v>
      </c>
      <c r="M1252" s="155"/>
      <c r="O1252" s="17" t="s">
        <v>1310</v>
      </c>
      <c r="P1252" s="22">
        <v>-84.429423999999997</v>
      </c>
      <c r="Q1252" s="22">
        <v>-66.138553999999999</v>
      </c>
      <c r="R1252" s="22"/>
      <c r="S1252" s="22">
        <v>713.44315449999999</v>
      </c>
      <c r="T1252" s="22">
        <v>410</v>
      </c>
      <c r="U1252" s="23">
        <v>400</v>
      </c>
      <c r="V1252" s="23" t="s">
        <v>1942</v>
      </c>
      <c r="W1252" s="44" t="s">
        <v>2446</v>
      </c>
      <c r="X1252" s="22">
        <f t="shared" si="30"/>
        <v>303.44315449999999</v>
      </c>
      <c r="Y1252" s="22">
        <v>4.5</v>
      </c>
      <c r="Z1252" s="22">
        <v>2.5</v>
      </c>
      <c r="AA1252" s="17" t="s">
        <v>73</v>
      </c>
      <c r="AB1252" s="26">
        <v>6998</v>
      </c>
      <c r="AC1252" s="26">
        <v>163</v>
      </c>
      <c r="AD1252" s="26">
        <v>445</v>
      </c>
      <c r="AE1252" s="27">
        <v>74497</v>
      </c>
      <c r="AF1252" s="27">
        <v>1737</v>
      </c>
      <c r="AG1252" s="28"/>
      <c r="AH1252" s="28"/>
      <c r="AI1252" s="17">
        <v>2014</v>
      </c>
      <c r="AJ1252" s="17">
        <v>0</v>
      </c>
      <c r="AK1252" s="17">
        <v>0</v>
      </c>
    </row>
    <row r="1253" spans="1:38" ht="12.75" customHeight="1">
      <c r="A1253" s="113" t="s">
        <v>1438</v>
      </c>
      <c r="B1253" s="33" t="s">
        <v>1435</v>
      </c>
      <c r="C1253" s="17">
        <v>144</v>
      </c>
      <c r="D1253" s="142" t="s">
        <v>196</v>
      </c>
      <c r="E1253" s="19">
        <v>0</v>
      </c>
      <c r="F1253" s="33" t="s">
        <v>1430</v>
      </c>
      <c r="G1253" s="19" t="s">
        <v>1308</v>
      </c>
      <c r="H1253" s="19" t="s">
        <v>1142</v>
      </c>
      <c r="I1253" s="17" t="b">
        <v>0</v>
      </c>
      <c r="J1253" s="17" t="s">
        <v>43</v>
      </c>
      <c r="K1253" s="21" t="str">
        <f t="shared" si="28"/>
        <v>https://version2.ice-d.org/antarctica/sample/11-ATH-274-SML/</v>
      </c>
      <c r="L1253" s="113" t="s">
        <v>1292</v>
      </c>
      <c r="M1253" s="155"/>
      <c r="O1253" s="17" t="s">
        <v>1310</v>
      </c>
      <c r="P1253" s="22">
        <v>-84.431319999999999</v>
      </c>
      <c r="Q1253" s="22">
        <v>-66.132386999999994</v>
      </c>
      <c r="R1253" s="22"/>
      <c r="S1253" s="22">
        <v>771.65126009999994</v>
      </c>
      <c r="T1253" s="22">
        <v>410</v>
      </c>
      <c r="U1253" s="23">
        <v>400</v>
      </c>
      <c r="V1253" s="23" t="s">
        <v>1942</v>
      </c>
      <c r="W1253" s="44" t="s">
        <v>2446</v>
      </c>
      <c r="X1253" s="22">
        <f t="shared" si="30"/>
        <v>361.65126009999994</v>
      </c>
      <c r="Y1253" s="22">
        <v>7</v>
      </c>
      <c r="Z1253" s="22">
        <v>2.5</v>
      </c>
      <c r="AA1253" s="17" t="s">
        <v>73</v>
      </c>
      <c r="AB1253" s="26">
        <v>7308</v>
      </c>
      <c r="AC1253" s="26">
        <v>154</v>
      </c>
      <c r="AD1253" s="26">
        <v>458</v>
      </c>
      <c r="AE1253" s="27">
        <v>80931</v>
      </c>
      <c r="AF1253" s="27">
        <v>1699</v>
      </c>
      <c r="AG1253" s="28"/>
      <c r="AH1253" s="28"/>
      <c r="AI1253" s="17">
        <v>2014</v>
      </c>
      <c r="AJ1253" s="17">
        <v>0</v>
      </c>
      <c r="AK1253" s="17">
        <v>0</v>
      </c>
    </row>
    <row r="1254" spans="1:38" ht="12.75" customHeight="1">
      <c r="A1254" s="113" t="s">
        <v>1439</v>
      </c>
      <c r="B1254" s="33" t="s">
        <v>1435</v>
      </c>
      <c r="C1254" s="17">
        <v>144</v>
      </c>
      <c r="D1254" s="142" t="s">
        <v>196</v>
      </c>
      <c r="E1254" s="19">
        <v>0</v>
      </c>
      <c r="F1254" s="33" t="s">
        <v>1430</v>
      </c>
      <c r="G1254" s="19" t="s">
        <v>1308</v>
      </c>
      <c r="H1254" s="19" t="s">
        <v>1142</v>
      </c>
      <c r="I1254" s="17" t="b">
        <v>0</v>
      </c>
      <c r="J1254" s="17" t="s">
        <v>43</v>
      </c>
      <c r="K1254" s="21" t="str">
        <f t="shared" si="28"/>
        <v>https://version2.ice-d.org/antarctica/sample/11-ATH-276-SML/</v>
      </c>
      <c r="L1254" s="113" t="s">
        <v>1292</v>
      </c>
      <c r="M1254" s="155"/>
      <c r="O1254" s="17" t="s">
        <v>1310</v>
      </c>
      <c r="P1254" s="22">
        <v>-84.432254999999998</v>
      </c>
      <c r="Q1254" s="22">
        <v>-66.144585000000006</v>
      </c>
      <c r="R1254" s="22"/>
      <c r="S1254" s="22">
        <v>683.6029115</v>
      </c>
      <c r="T1254" s="22">
        <v>410</v>
      </c>
      <c r="U1254" s="23">
        <v>400</v>
      </c>
      <c r="V1254" s="23" t="s">
        <v>1942</v>
      </c>
      <c r="W1254" s="44" t="s">
        <v>2446</v>
      </c>
      <c r="X1254" s="22">
        <f t="shared" si="30"/>
        <v>273.6029115</v>
      </c>
      <c r="Y1254" s="22">
        <v>6</v>
      </c>
      <c r="Z1254" s="22">
        <v>2.5</v>
      </c>
      <c r="AA1254" s="17" t="s">
        <v>73</v>
      </c>
      <c r="AB1254" s="26">
        <v>6542</v>
      </c>
      <c r="AC1254" s="26">
        <v>165</v>
      </c>
      <c r="AD1254" s="26">
        <v>420</v>
      </c>
      <c r="AE1254" s="27">
        <v>67035</v>
      </c>
      <c r="AF1254" s="27">
        <v>1690</v>
      </c>
      <c r="AG1254" s="28"/>
      <c r="AH1254" s="28"/>
      <c r="AI1254" s="17">
        <v>2014</v>
      </c>
      <c r="AJ1254" s="17">
        <v>0</v>
      </c>
      <c r="AK1254" s="17">
        <v>0</v>
      </c>
    </row>
    <row r="1255" spans="1:38" ht="12.75" customHeight="1">
      <c r="A1255" s="113" t="s">
        <v>1440</v>
      </c>
      <c r="B1255" s="33" t="s">
        <v>1435</v>
      </c>
      <c r="C1255" s="17">
        <v>144</v>
      </c>
      <c r="D1255" s="142" t="s">
        <v>196</v>
      </c>
      <c r="E1255" s="19">
        <v>0</v>
      </c>
      <c r="F1255" s="33" t="s">
        <v>1430</v>
      </c>
      <c r="G1255" s="19" t="s">
        <v>1308</v>
      </c>
      <c r="H1255" s="19" t="s">
        <v>1142</v>
      </c>
      <c r="I1255" s="17" t="b">
        <v>0</v>
      </c>
      <c r="J1255" s="17" t="s">
        <v>43</v>
      </c>
      <c r="K1255" s="21" t="str">
        <f t="shared" si="28"/>
        <v>https://version2.ice-d.org/antarctica/sample/11-ATH-278-SML/</v>
      </c>
      <c r="L1255" s="113" t="s">
        <v>1292</v>
      </c>
      <c r="M1255" s="155"/>
      <c r="O1255" s="17" t="s">
        <v>1310</v>
      </c>
      <c r="P1255" s="22">
        <v>-84.431370000000001</v>
      </c>
      <c r="Q1255" s="22">
        <v>-66.097666000000004</v>
      </c>
      <c r="R1255" s="22"/>
      <c r="S1255" s="22">
        <v>813.46686380000006</v>
      </c>
      <c r="T1255" s="22">
        <v>410</v>
      </c>
      <c r="U1255" s="23">
        <v>400</v>
      </c>
      <c r="V1255" s="23" t="s">
        <v>1942</v>
      </c>
      <c r="W1255" s="44" t="s">
        <v>2446</v>
      </c>
      <c r="X1255" s="22">
        <f t="shared" si="30"/>
        <v>403.46686380000006</v>
      </c>
      <c r="Y1255" s="22">
        <v>7</v>
      </c>
      <c r="Z1255" s="22">
        <v>2.5</v>
      </c>
      <c r="AA1255" s="17" t="s">
        <v>73</v>
      </c>
      <c r="AB1255" s="26">
        <v>14067</v>
      </c>
      <c r="AC1255" s="26">
        <v>430</v>
      </c>
      <c r="AD1255" s="26">
        <v>938</v>
      </c>
      <c r="AE1255" s="27">
        <v>161251</v>
      </c>
      <c r="AF1255" s="27">
        <v>4916</v>
      </c>
      <c r="AG1255" s="28"/>
      <c r="AH1255" s="28"/>
      <c r="AI1255" s="17">
        <v>2014</v>
      </c>
      <c r="AJ1255" s="17">
        <v>0</v>
      </c>
      <c r="AK1255" s="17">
        <v>0</v>
      </c>
    </row>
    <row r="1256" spans="1:38" ht="12.75" customHeight="1">
      <c r="A1256" s="113" t="s">
        <v>1443</v>
      </c>
      <c r="B1256" s="33" t="s">
        <v>1435</v>
      </c>
      <c r="C1256" s="17">
        <v>144</v>
      </c>
      <c r="D1256" s="142" t="s">
        <v>196</v>
      </c>
      <c r="E1256" s="19">
        <v>0</v>
      </c>
      <c r="F1256" s="33" t="s">
        <v>1430</v>
      </c>
      <c r="G1256" s="19" t="s">
        <v>1308</v>
      </c>
      <c r="H1256" s="19" t="s">
        <v>1142</v>
      </c>
      <c r="I1256" s="17" t="b">
        <v>0</v>
      </c>
      <c r="J1256" s="17" t="s">
        <v>43</v>
      </c>
      <c r="K1256" s="21" t="str">
        <f t="shared" si="28"/>
        <v>https://version2.ice-d.org/antarctica/sample/11-ATH-294-SML/</v>
      </c>
      <c r="L1256" s="113" t="s">
        <v>1292</v>
      </c>
      <c r="M1256" s="155"/>
      <c r="O1256" s="17" t="s">
        <v>1310</v>
      </c>
      <c r="P1256" s="22">
        <v>-84.439114000000004</v>
      </c>
      <c r="Q1256" s="22">
        <v>-66.130887000000001</v>
      </c>
      <c r="R1256" s="22"/>
      <c r="S1256" s="22">
        <v>768.70649930000002</v>
      </c>
      <c r="T1256" s="22">
        <v>410</v>
      </c>
      <c r="U1256" s="23">
        <v>400</v>
      </c>
      <c r="V1256" s="23" t="s">
        <v>1942</v>
      </c>
      <c r="W1256" s="44" t="s">
        <v>2446</v>
      </c>
      <c r="X1256" s="22">
        <f t="shared" si="30"/>
        <v>358.70649930000002</v>
      </c>
      <c r="Y1256" s="22">
        <v>5.5</v>
      </c>
      <c r="Z1256" s="22">
        <v>2.5</v>
      </c>
      <c r="AA1256" s="17" t="s">
        <v>73</v>
      </c>
      <c r="AB1256" s="26">
        <v>8178</v>
      </c>
      <c r="AC1256" s="26">
        <v>235</v>
      </c>
      <c r="AD1256" s="26">
        <v>538</v>
      </c>
      <c r="AE1256" s="27">
        <v>91768</v>
      </c>
      <c r="AF1256" s="27">
        <v>2631</v>
      </c>
      <c r="AG1256" s="28"/>
      <c r="AH1256" s="28"/>
      <c r="AI1256" s="17">
        <v>2014</v>
      </c>
      <c r="AJ1256" s="17">
        <v>0</v>
      </c>
      <c r="AK1256" s="17">
        <v>0</v>
      </c>
    </row>
    <row r="1257" spans="1:38" ht="12.75" customHeight="1">
      <c r="A1257" s="18" t="s">
        <v>1447</v>
      </c>
      <c r="B1257" s="33" t="s">
        <v>1448</v>
      </c>
      <c r="C1257" s="17">
        <v>145</v>
      </c>
      <c r="D1257" s="142" t="s">
        <v>196</v>
      </c>
      <c r="E1257" s="19">
        <v>0</v>
      </c>
      <c r="F1257" s="33" t="s">
        <v>1449</v>
      </c>
      <c r="G1257" s="19" t="s">
        <v>677</v>
      </c>
      <c r="H1257" s="19" t="s">
        <v>1142</v>
      </c>
      <c r="I1257" s="17" t="b">
        <v>0</v>
      </c>
      <c r="J1257" s="17" t="s">
        <v>43</v>
      </c>
      <c r="K1257" s="21" t="str">
        <f t="shared" si="28"/>
        <v>https://version2.ice-d.org/antarctica/sample/13-NTK-013-PRT/</v>
      </c>
      <c r="L1257" s="18" t="s">
        <v>39</v>
      </c>
      <c r="M1257" s="183" t="s">
        <v>44</v>
      </c>
      <c r="O1257" s="17" t="s">
        <v>1450</v>
      </c>
      <c r="P1257" s="22">
        <v>-81.146389999999997</v>
      </c>
      <c r="Q1257" s="22">
        <v>-85.353049999999996</v>
      </c>
      <c r="R1257" s="22"/>
      <c r="S1257" s="22">
        <v>1484.6</v>
      </c>
      <c r="T1257" s="17">
        <v>1167</v>
      </c>
      <c r="U1257" s="23">
        <v>1200</v>
      </c>
      <c r="V1257" s="23" t="s">
        <v>2107</v>
      </c>
      <c r="W1257" s="44" t="s">
        <v>2430</v>
      </c>
      <c r="X1257" s="17">
        <f t="shared" si="30"/>
        <v>317.59999999999991</v>
      </c>
      <c r="Y1257" s="22">
        <v>5.5</v>
      </c>
      <c r="Z1257" s="22">
        <v>2.58</v>
      </c>
      <c r="AA1257" s="17" t="s">
        <v>73</v>
      </c>
      <c r="AB1257" s="26">
        <v>17952</v>
      </c>
      <c r="AC1257" s="26">
        <v>1014</v>
      </c>
      <c r="AD1257" s="26">
        <v>1470</v>
      </c>
      <c r="AE1257" s="27">
        <v>339230</v>
      </c>
      <c r="AF1257" s="27">
        <v>19076.099999999999</v>
      </c>
      <c r="AG1257" s="28"/>
      <c r="AH1257" s="28"/>
      <c r="AI1257" s="17">
        <v>2013</v>
      </c>
      <c r="AJ1257" s="17">
        <v>1</v>
      </c>
      <c r="AK1257" s="17">
        <v>0</v>
      </c>
    </row>
    <row r="1258" spans="1:38" ht="12.75" customHeight="1">
      <c r="A1258" s="18" t="s">
        <v>1451</v>
      </c>
      <c r="B1258" s="33" t="s">
        <v>1448</v>
      </c>
      <c r="C1258" s="17">
        <v>145</v>
      </c>
      <c r="D1258" s="142" t="s">
        <v>196</v>
      </c>
      <c r="E1258" s="19">
        <v>0</v>
      </c>
      <c r="F1258" s="33" t="s">
        <v>1449</v>
      </c>
      <c r="G1258" s="19" t="s">
        <v>677</v>
      </c>
      <c r="H1258" s="19" t="s">
        <v>1142</v>
      </c>
      <c r="I1258" s="17" t="b">
        <v>0</v>
      </c>
      <c r="J1258" s="17" t="s">
        <v>43</v>
      </c>
      <c r="K1258" s="21" t="str">
        <f t="shared" si="28"/>
        <v>https://version2.ice-d.org/antarctica/sample/13-NTK-019-PRT/</v>
      </c>
      <c r="L1258" s="18" t="s">
        <v>39</v>
      </c>
      <c r="M1258" s="155"/>
      <c r="O1258" s="17" t="s">
        <v>1450</v>
      </c>
      <c r="P1258" s="22">
        <v>-81.146339999999995</v>
      </c>
      <c r="Q1258" s="22">
        <v>-85.351560000000006</v>
      </c>
      <c r="R1258" s="22"/>
      <c r="S1258" s="22">
        <v>1470.2</v>
      </c>
      <c r="T1258" s="17">
        <v>1167</v>
      </c>
      <c r="U1258" s="23">
        <v>1200</v>
      </c>
      <c r="V1258" s="23" t="s">
        <v>2107</v>
      </c>
      <c r="W1258" s="44" t="s">
        <v>2430</v>
      </c>
      <c r="X1258" s="17">
        <f t="shared" si="30"/>
        <v>303.20000000000005</v>
      </c>
      <c r="Y1258" s="22">
        <v>4.25</v>
      </c>
      <c r="Z1258" s="22">
        <v>2.6</v>
      </c>
      <c r="AA1258" s="17" t="s">
        <v>73</v>
      </c>
      <c r="AB1258" s="26">
        <v>14382</v>
      </c>
      <c r="AC1258" s="26">
        <v>799</v>
      </c>
      <c r="AD1258" s="26">
        <v>1168</v>
      </c>
      <c r="AE1258" s="27">
        <v>289945</v>
      </c>
      <c r="AF1258" s="27">
        <v>16056.5</v>
      </c>
      <c r="AG1258" s="28"/>
      <c r="AH1258" s="28"/>
      <c r="AI1258" s="17">
        <v>2013</v>
      </c>
      <c r="AJ1258" s="17">
        <v>1</v>
      </c>
      <c r="AK1258" s="17">
        <v>0</v>
      </c>
    </row>
    <row r="1259" spans="1:38" ht="12.75" customHeight="1">
      <c r="A1259" s="18" t="s">
        <v>1452</v>
      </c>
      <c r="B1259" s="33" t="s">
        <v>1453</v>
      </c>
      <c r="C1259" s="17">
        <v>145</v>
      </c>
      <c r="D1259" s="142" t="s">
        <v>196</v>
      </c>
      <c r="E1259" s="19">
        <v>0</v>
      </c>
      <c r="F1259" s="33" t="s">
        <v>1449</v>
      </c>
      <c r="G1259" s="19" t="s">
        <v>677</v>
      </c>
      <c r="H1259" s="19" t="s">
        <v>1142</v>
      </c>
      <c r="I1259" s="17" t="b">
        <v>0</v>
      </c>
      <c r="J1259" s="17" t="s">
        <v>43</v>
      </c>
      <c r="K1259" s="21" t="str">
        <f t="shared" si="28"/>
        <v>https://version2.ice-d.org/antarctica/sample/13-NTK-020-PRT/</v>
      </c>
      <c r="L1259" s="18" t="s">
        <v>39</v>
      </c>
      <c r="M1259" s="155"/>
      <c r="O1259" s="17" t="s">
        <v>1450</v>
      </c>
      <c r="P1259" s="22">
        <v>-81.133160000000004</v>
      </c>
      <c r="Q1259" s="22">
        <v>-85.355580000000003</v>
      </c>
      <c r="R1259" s="22"/>
      <c r="S1259" s="22">
        <v>1237.5999999999999</v>
      </c>
      <c r="T1259" s="17">
        <v>1167</v>
      </c>
      <c r="U1259" s="23">
        <v>1200</v>
      </c>
      <c r="V1259" s="23" t="s">
        <v>2107</v>
      </c>
      <c r="W1259" s="44" t="s">
        <v>2430</v>
      </c>
      <c r="X1259" s="17">
        <f t="shared" si="30"/>
        <v>70.599999999999909</v>
      </c>
      <c r="Y1259" s="22">
        <v>5.5</v>
      </c>
      <c r="Z1259" s="22">
        <v>2.58</v>
      </c>
      <c r="AA1259" s="17" t="s">
        <v>73</v>
      </c>
      <c r="AB1259" s="26">
        <v>4226</v>
      </c>
      <c r="AC1259" s="26">
        <v>246</v>
      </c>
      <c r="AD1259" s="26">
        <v>350</v>
      </c>
      <c r="AE1259" s="27">
        <v>67875.899999999994</v>
      </c>
      <c r="AF1259" s="27">
        <v>3941.22</v>
      </c>
      <c r="AG1259" s="28"/>
      <c r="AH1259" s="28"/>
      <c r="AI1259" s="17">
        <v>2013</v>
      </c>
      <c r="AJ1259" s="17">
        <v>1</v>
      </c>
      <c r="AK1259" s="17">
        <v>0</v>
      </c>
    </row>
    <row r="1260" spans="1:38" ht="13.5" customHeight="1">
      <c r="A1260" s="18" t="s">
        <v>1454</v>
      </c>
      <c r="B1260" s="33" t="s">
        <v>1453</v>
      </c>
      <c r="C1260" s="17">
        <v>145</v>
      </c>
      <c r="D1260" s="142" t="s">
        <v>196</v>
      </c>
      <c r="E1260" s="19">
        <v>0</v>
      </c>
      <c r="F1260" s="33" t="s">
        <v>1449</v>
      </c>
      <c r="G1260" s="19" t="s">
        <v>677</v>
      </c>
      <c r="H1260" s="19" t="s">
        <v>1142</v>
      </c>
      <c r="I1260" s="17" t="b">
        <v>0</v>
      </c>
      <c r="J1260" s="17" t="s">
        <v>43</v>
      </c>
      <c r="K1260" s="17" t="str">
        <f t="shared" si="28"/>
        <v>https://version2.ice-d.org/antarctica/sample/13-NTK-022-PRT/</v>
      </c>
      <c r="L1260" s="18" t="s">
        <v>39</v>
      </c>
      <c r="M1260" s="155"/>
      <c r="O1260" s="17" t="s">
        <v>1450</v>
      </c>
      <c r="P1260" s="22">
        <v>-81.132189999999994</v>
      </c>
      <c r="Q1260" s="22">
        <v>-85.362750000000005</v>
      </c>
      <c r="R1260" s="22"/>
      <c r="S1260" s="22">
        <v>1347.6</v>
      </c>
      <c r="T1260" s="17">
        <v>1167</v>
      </c>
      <c r="U1260" s="23">
        <v>1200</v>
      </c>
      <c r="V1260" s="23" t="s">
        <v>2107</v>
      </c>
      <c r="W1260" s="44" t="s">
        <v>2430</v>
      </c>
      <c r="X1260" s="17">
        <f t="shared" si="30"/>
        <v>180.59999999999991</v>
      </c>
      <c r="Y1260" s="22">
        <v>4</v>
      </c>
      <c r="Z1260" s="22">
        <v>2.61</v>
      </c>
      <c r="AA1260" s="17" t="s">
        <v>73</v>
      </c>
      <c r="AB1260" s="26">
        <v>6859</v>
      </c>
      <c r="AC1260" s="26">
        <v>390</v>
      </c>
      <c r="AD1260" s="26">
        <v>562</v>
      </c>
      <c r="AE1260" s="27">
        <v>128118</v>
      </c>
      <c r="AF1260" s="27">
        <v>7267.21</v>
      </c>
      <c r="AG1260" s="28"/>
      <c r="AH1260" s="28"/>
      <c r="AI1260" s="17">
        <v>2013</v>
      </c>
      <c r="AJ1260" s="17">
        <v>1</v>
      </c>
      <c r="AK1260" s="17">
        <v>0</v>
      </c>
    </row>
    <row r="1261" spans="1:38" ht="12.75" customHeight="1">
      <c r="A1261" s="18" t="s">
        <v>1455</v>
      </c>
      <c r="B1261" s="33" t="s">
        <v>1448</v>
      </c>
      <c r="C1261" s="17">
        <v>146</v>
      </c>
      <c r="D1261" s="142" t="s">
        <v>196</v>
      </c>
      <c r="E1261" s="19">
        <v>0</v>
      </c>
      <c r="F1261" s="33" t="s">
        <v>1449</v>
      </c>
      <c r="G1261" s="19" t="s">
        <v>677</v>
      </c>
      <c r="H1261" s="19" t="s">
        <v>1142</v>
      </c>
      <c r="I1261" s="17" t="b">
        <v>0</v>
      </c>
      <c r="J1261" s="17" t="s">
        <v>43</v>
      </c>
      <c r="K1261" s="21" t="str">
        <f t="shared" si="28"/>
        <v>https://version2.ice-d.org/antarctica/sample/13-NTK-025-PRT/</v>
      </c>
      <c r="L1261" s="18" t="s">
        <v>39</v>
      </c>
      <c r="M1261" s="155"/>
      <c r="O1261" s="17" t="s">
        <v>1450</v>
      </c>
      <c r="P1261" s="22">
        <v>-81.144009999999994</v>
      </c>
      <c r="Q1261" s="22">
        <v>-85.326139999999995</v>
      </c>
      <c r="R1261" s="22"/>
      <c r="S1261" s="22">
        <v>1254.5</v>
      </c>
      <c r="T1261" s="17">
        <v>1167</v>
      </c>
      <c r="U1261" s="23">
        <v>1200</v>
      </c>
      <c r="V1261" s="23" t="s">
        <v>2107</v>
      </c>
      <c r="W1261" s="44" t="s">
        <v>2430</v>
      </c>
      <c r="X1261" s="17">
        <f t="shared" si="30"/>
        <v>87.5</v>
      </c>
      <c r="Y1261" s="22">
        <v>3.5</v>
      </c>
      <c r="Z1261" s="22">
        <v>2.58</v>
      </c>
      <c r="AA1261" s="17" t="s">
        <v>73</v>
      </c>
      <c r="AB1261" s="26">
        <v>11750</v>
      </c>
      <c r="AC1261" s="26">
        <v>664</v>
      </c>
      <c r="AD1261" s="26">
        <v>961</v>
      </c>
      <c r="AE1261" s="27">
        <v>199842</v>
      </c>
      <c r="AF1261" s="27">
        <v>11253.7</v>
      </c>
      <c r="AG1261" s="28"/>
      <c r="AH1261" s="28"/>
      <c r="AI1261" s="17">
        <v>2013</v>
      </c>
      <c r="AJ1261" s="17">
        <v>1</v>
      </c>
      <c r="AK1261" s="17">
        <v>0</v>
      </c>
      <c r="AL1261" s="17" t="s">
        <v>1456</v>
      </c>
    </row>
    <row r="1262" spans="1:38" ht="12.75" customHeight="1">
      <c r="A1262" s="29" t="s">
        <v>1457</v>
      </c>
      <c r="B1262" s="19" t="s">
        <v>1458</v>
      </c>
      <c r="C1262" s="17">
        <v>147</v>
      </c>
      <c r="D1262" s="142" t="s">
        <v>196</v>
      </c>
      <c r="E1262" s="19">
        <v>0</v>
      </c>
      <c r="F1262" s="33" t="s">
        <v>1449</v>
      </c>
      <c r="G1262" s="19" t="s">
        <v>677</v>
      </c>
      <c r="H1262" s="19" t="s">
        <v>1142</v>
      </c>
      <c r="I1262" s="17" t="b">
        <v>0</v>
      </c>
      <c r="J1262" s="17" t="s">
        <v>43</v>
      </c>
      <c r="K1262" s="21" t="str">
        <f t="shared" si="28"/>
        <v>https://version2.ice-d.org/antarctica/sample/16-PRT-007-TCR/</v>
      </c>
      <c r="L1262" s="29" t="s">
        <v>39</v>
      </c>
      <c r="M1262" s="29" t="s">
        <v>44</v>
      </c>
      <c r="O1262" s="17" t="s">
        <v>1450</v>
      </c>
      <c r="P1262" s="22">
        <v>-81.104479999999995</v>
      </c>
      <c r="Q1262" s="22">
        <v>-85.520219999999995</v>
      </c>
      <c r="R1262" s="22"/>
      <c r="S1262" s="22">
        <v>1405</v>
      </c>
      <c r="T1262" s="17">
        <v>1230</v>
      </c>
      <c r="U1262" s="23">
        <v>1200</v>
      </c>
      <c r="V1262" s="23" t="s">
        <v>2107</v>
      </c>
      <c r="W1262" s="44" t="s">
        <v>2430</v>
      </c>
      <c r="X1262" s="17">
        <f t="shared" si="30"/>
        <v>175</v>
      </c>
      <c r="Y1262" s="22">
        <v>3</v>
      </c>
      <c r="Z1262" s="22">
        <v>2.61</v>
      </c>
      <c r="AA1262" s="17" t="s">
        <v>51</v>
      </c>
      <c r="AB1262" s="26">
        <v>13642</v>
      </c>
      <c r="AC1262" s="26">
        <v>270</v>
      </c>
      <c r="AD1262" s="26">
        <v>852</v>
      </c>
      <c r="AE1262" s="27">
        <v>267529</v>
      </c>
      <c r="AF1262" s="27">
        <v>5284.64</v>
      </c>
      <c r="AG1262" s="28"/>
      <c r="AH1262" s="28"/>
      <c r="AI1262" s="17">
        <v>2016</v>
      </c>
      <c r="AJ1262" s="17">
        <v>1</v>
      </c>
      <c r="AK1262" s="17">
        <v>0</v>
      </c>
    </row>
    <row r="1263" spans="1:38" ht="12.75" customHeight="1">
      <c r="A1263" s="30" t="s">
        <v>1459</v>
      </c>
      <c r="B1263" s="33" t="s">
        <v>1460</v>
      </c>
      <c r="C1263" s="17">
        <v>147</v>
      </c>
      <c r="D1263" s="142" t="s">
        <v>196</v>
      </c>
      <c r="E1263" s="19">
        <v>0</v>
      </c>
      <c r="F1263" s="33" t="s">
        <v>1461</v>
      </c>
      <c r="G1263" s="19" t="s">
        <v>1462</v>
      </c>
      <c r="H1263" s="19" t="s">
        <v>1142</v>
      </c>
      <c r="I1263" s="17" t="b">
        <v>0</v>
      </c>
      <c r="J1263" s="17" t="s">
        <v>247</v>
      </c>
      <c r="K1263" s="21" t="str">
        <f t="shared" si="28"/>
        <v>https://version2.ice-d.org/antarctica/sample/13-NTK-036-WHT/</v>
      </c>
      <c r="L1263" s="30" t="s">
        <v>1276</v>
      </c>
      <c r="M1263" s="190" t="s">
        <v>2419</v>
      </c>
      <c r="O1263" s="28" t="s">
        <v>1463</v>
      </c>
      <c r="P1263" s="22">
        <v>-82.430130000000005</v>
      </c>
      <c r="Q1263" s="22">
        <v>-104.07221</v>
      </c>
      <c r="R1263" s="22"/>
      <c r="S1263" s="22">
        <v>2245.6999999999998</v>
      </c>
      <c r="T1263" s="17">
        <v>2235</v>
      </c>
      <c r="U1263" s="23">
        <v>190</v>
      </c>
      <c r="V1263" s="151" t="s">
        <v>2437</v>
      </c>
      <c r="W1263" s="44" t="s">
        <v>2444</v>
      </c>
      <c r="X1263" s="17">
        <f t="shared" si="30"/>
        <v>10.699999999999818</v>
      </c>
      <c r="Y1263" s="22">
        <v>2.7</v>
      </c>
      <c r="Z1263" s="22">
        <v>2.6</v>
      </c>
      <c r="AA1263" s="17" t="s">
        <v>58</v>
      </c>
      <c r="AB1263" s="26">
        <v>14682</v>
      </c>
      <c r="AC1263" s="26">
        <v>538</v>
      </c>
      <c r="AD1263" s="26">
        <v>2098</v>
      </c>
      <c r="AE1263" s="27">
        <v>69508300</v>
      </c>
      <c r="AF1263" s="27">
        <v>2025700</v>
      </c>
      <c r="AG1263" s="27">
        <v>245894000</v>
      </c>
      <c r="AH1263" s="27">
        <v>3981930</v>
      </c>
      <c r="AI1263" s="17">
        <v>2013</v>
      </c>
      <c r="AJ1263" s="17">
        <v>1</v>
      </c>
      <c r="AK1263" s="17">
        <v>0</v>
      </c>
    </row>
    <row r="1264" spans="1:38" ht="12.75" customHeight="1">
      <c r="A1264" s="30" t="s">
        <v>1464</v>
      </c>
      <c r="B1264" s="33" t="s">
        <v>1460</v>
      </c>
      <c r="C1264" s="17">
        <v>147</v>
      </c>
      <c r="D1264" s="142" t="s">
        <v>196</v>
      </c>
      <c r="E1264" s="19">
        <v>0</v>
      </c>
      <c r="F1264" s="33" t="s">
        <v>1461</v>
      </c>
      <c r="G1264" s="19" t="s">
        <v>1462</v>
      </c>
      <c r="H1264" s="19" t="s">
        <v>1142</v>
      </c>
      <c r="I1264" s="17" t="b">
        <v>0</v>
      </c>
      <c r="J1264" s="17" t="s">
        <v>247</v>
      </c>
      <c r="K1264" s="21" t="str">
        <f t="shared" si="28"/>
        <v>https://version2.ice-d.org/antarctica/sample/13-NTK-037-WHT/</v>
      </c>
      <c r="L1264" s="30" t="s">
        <v>1276</v>
      </c>
      <c r="M1264" s="155"/>
      <c r="O1264" s="28" t="s">
        <v>1463</v>
      </c>
      <c r="P1264" s="22">
        <v>-82.430409999999995</v>
      </c>
      <c r="Q1264" s="22">
        <v>-104.06953</v>
      </c>
      <c r="R1264" s="22"/>
      <c r="S1264" s="22">
        <v>2265.4</v>
      </c>
      <c r="T1264" s="17">
        <v>2235</v>
      </c>
      <c r="U1264" s="23">
        <v>190</v>
      </c>
      <c r="V1264" s="151" t="s">
        <v>2437</v>
      </c>
      <c r="W1264" s="44" t="s">
        <v>2444</v>
      </c>
      <c r="X1264" s="17">
        <f t="shared" si="30"/>
        <v>30.400000000000091</v>
      </c>
      <c r="Y1264" s="22">
        <v>3</v>
      </c>
      <c r="Z1264" s="22">
        <v>2.5499999999999998</v>
      </c>
      <c r="AA1264" s="17" t="s">
        <v>58</v>
      </c>
      <c r="AB1264" s="26">
        <v>12518</v>
      </c>
      <c r="AC1264" s="26">
        <v>390</v>
      </c>
      <c r="AD1264" s="26">
        <v>1517</v>
      </c>
      <c r="AE1264" s="27">
        <v>80328400</v>
      </c>
      <c r="AF1264" s="27">
        <v>3724360</v>
      </c>
      <c r="AG1264" s="27">
        <v>258542000</v>
      </c>
      <c r="AH1264" s="27">
        <v>5687480</v>
      </c>
      <c r="AI1264" s="17">
        <v>2013</v>
      </c>
      <c r="AJ1264" s="17">
        <v>1</v>
      </c>
      <c r="AK1264" s="17">
        <v>0</v>
      </c>
    </row>
    <row r="1265" spans="1:38" ht="12.75" customHeight="1">
      <c r="A1265" s="30" t="s">
        <v>1465</v>
      </c>
      <c r="B1265" s="33" t="s">
        <v>1460</v>
      </c>
      <c r="C1265" s="17">
        <v>147</v>
      </c>
      <c r="D1265" s="142" t="s">
        <v>196</v>
      </c>
      <c r="E1265" s="19">
        <v>0</v>
      </c>
      <c r="F1265" s="33" t="s">
        <v>1461</v>
      </c>
      <c r="G1265" s="19" t="s">
        <v>1462</v>
      </c>
      <c r="H1265" s="19" t="s">
        <v>1142</v>
      </c>
      <c r="I1265" s="17" t="b">
        <v>0</v>
      </c>
      <c r="J1265" s="17" t="s">
        <v>247</v>
      </c>
      <c r="K1265" s="21" t="str">
        <f t="shared" si="28"/>
        <v>https://version2.ice-d.org/antarctica/sample/13-NTK-038-WHT/</v>
      </c>
      <c r="L1265" s="30" t="s">
        <v>1276</v>
      </c>
      <c r="M1265" s="155"/>
      <c r="O1265" s="28" t="s">
        <v>1463</v>
      </c>
      <c r="P1265" s="22">
        <v>-82.432209999999998</v>
      </c>
      <c r="Q1265" s="22">
        <v>-104.05598000000001</v>
      </c>
      <c r="R1265" s="22"/>
      <c r="S1265" s="22">
        <v>2367.6</v>
      </c>
      <c r="T1265" s="17">
        <v>2235</v>
      </c>
      <c r="U1265" s="23">
        <v>190</v>
      </c>
      <c r="V1265" s="151" t="s">
        <v>2437</v>
      </c>
      <c r="W1265" s="44" t="s">
        <v>2444</v>
      </c>
      <c r="X1265" s="17">
        <f t="shared" si="30"/>
        <v>132.59999999999991</v>
      </c>
      <c r="Y1265" s="22">
        <v>4</v>
      </c>
      <c r="Z1265" s="22">
        <v>2.68</v>
      </c>
      <c r="AA1265" s="17" t="s">
        <v>58</v>
      </c>
      <c r="AB1265" s="26">
        <v>15090</v>
      </c>
      <c r="AC1265" s="26">
        <v>565</v>
      </c>
      <c r="AD1265" s="26">
        <v>2225</v>
      </c>
      <c r="AE1265" s="27">
        <v>41006200</v>
      </c>
      <c r="AF1265" s="27">
        <v>1933140</v>
      </c>
      <c r="AG1265" s="27">
        <v>198064000</v>
      </c>
      <c r="AH1265" s="27">
        <v>2683970</v>
      </c>
      <c r="AI1265" s="17">
        <v>2013</v>
      </c>
      <c r="AJ1265" s="17">
        <v>1</v>
      </c>
      <c r="AK1265" s="17">
        <v>0</v>
      </c>
    </row>
    <row r="1266" spans="1:38" ht="12.75" customHeight="1">
      <c r="A1266" s="30" t="s">
        <v>1466</v>
      </c>
      <c r="B1266" s="33" t="s">
        <v>1460</v>
      </c>
      <c r="C1266" s="17">
        <v>147</v>
      </c>
      <c r="D1266" s="142" t="s">
        <v>196</v>
      </c>
      <c r="E1266" s="19">
        <v>0</v>
      </c>
      <c r="F1266" s="33" t="s">
        <v>1461</v>
      </c>
      <c r="G1266" s="19" t="s">
        <v>1462</v>
      </c>
      <c r="H1266" s="19" t="s">
        <v>1142</v>
      </c>
      <c r="I1266" s="17" t="b">
        <v>0</v>
      </c>
      <c r="J1266" s="17" t="s">
        <v>247</v>
      </c>
      <c r="K1266" s="21" t="str">
        <f t="shared" si="28"/>
        <v>https://version2.ice-d.org/antarctica/sample/13-NTK-041-WHT/</v>
      </c>
      <c r="L1266" s="30" t="s">
        <v>1276</v>
      </c>
      <c r="M1266" s="155"/>
      <c r="O1266" s="28" t="s">
        <v>1463</v>
      </c>
      <c r="P1266" s="22">
        <v>-82.43468</v>
      </c>
      <c r="Q1266" s="22">
        <v>-104.04170999999999</v>
      </c>
      <c r="R1266" s="22"/>
      <c r="S1266" s="22">
        <v>2470.6999999999998</v>
      </c>
      <c r="T1266" s="17">
        <v>2235</v>
      </c>
      <c r="U1266" s="23">
        <v>190</v>
      </c>
      <c r="V1266" s="151" t="s">
        <v>2437</v>
      </c>
      <c r="W1266" s="44" t="s">
        <v>2444</v>
      </c>
      <c r="X1266" s="17">
        <f t="shared" si="30"/>
        <v>235.69999999999982</v>
      </c>
      <c r="Y1266" s="22">
        <v>2</v>
      </c>
      <c r="Z1266" s="22">
        <v>2.64</v>
      </c>
      <c r="AA1266" s="17" t="s">
        <v>58</v>
      </c>
      <c r="AB1266" s="26">
        <v>13419</v>
      </c>
      <c r="AC1266" s="26">
        <v>444</v>
      </c>
      <c r="AD1266" s="26">
        <v>1740</v>
      </c>
      <c r="AE1266" s="27">
        <v>66731100</v>
      </c>
      <c r="AF1266" s="27">
        <v>3173550</v>
      </c>
      <c r="AG1266" s="27">
        <v>265751000</v>
      </c>
      <c r="AH1266" s="27">
        <v>7219990</v>
      </c>
      <c r="AI1266" s="17">
        <v>2013</v>
      </c>
      <c r="AJ1266" s="17">
        <v>1</v>
      </c>
      <c r="AK1266" s="17">
        <v>0</v>
      </c>
    </row>
    <row r="1267" spans="1:38" ht="12.75" customHeight="1">
      <c r="A1267" s="30" t="s">
        <v>1467</v>
      </c>
      <c r="B1267" s="33" t="s">
        <v>1460</v>
      </c>
      <c r="C1267" s="17">
        <v>147</v>
      </c>
      <c r="D1267" s="142" t="s">
        <v>196</v>
      </c>
      <c r="E1267" s="19">
        <v>0</v>
      </c>
      <c r="F1267" s="33" t="s">
        <v>1461</v>
      </c>
      <c r="G1267" s="19" t="s">
        <v>1462</v>
      </c>
      <c r="H1267" s="19" t="s">
        <v>1142</v>
      </c>
      <c r="I1267" s="17" t="b">
        <v>0</v>
      </c>
      <c r="J1267" s="17" t="s">
        <v>247</v>
      </c>
      <c r="K1267" s="21" t="str">
        <f t="shared" si="28"/>
        <v>https://version2.ice-d.org/antarctica/sample/13-NTK-042-WHT/</v>
      </c>
      <c r="L1267" s="30" t="s">
        <v>1276</v>
      </c>
      <c r="M1267" s="155"/>
      <c r="O1267" s="28" t="s">
        <v>1463</v>
      </c>
      <c r="P1267" s="22">
        <v>-82.435090000000002</v>
      </c>
      <c r="Q1267" s="22">
        <v>-104.02634999999999</v>
      </c>
      <c r="R1267" s="22"/>
      <c r="S1267" s="22">
        <v>2530.4</v>
      </c>
      <c r="T1267" s="17">
        <v>2235</v>
      </c>
      <c r="U1267" s="23">
        <v>190</v>
      </c>
      <c r="V1267" s="151" t="s">
        <v>2437</v>
      </c>
      <c r="W1267" s="44" t="s">
        <v>2444</v>
      </c>
      <c r="X1267" s="17">
        <f t="shared" si="30"/>
        <v>295.40000000000009</v>
      </c>
      <c r="Y1267" s="22">
        <v>3.25</v>
      </c>
      <c r="Z1267" s="22">
        <v>2.61</v>
      </c>
      <c r="AA1267" s="17" t="s">
        <v>58</v>
      </c>
      <c r="AB1267" s="26">
        <v>12639</v>
      </c>
      <c r="AC1267" s="26">
        <v>402</v>
      </c>
      <c r="AD1267" s="26">
        <v>1547</v>
      </c>
      <c r="AE1267" s="27">
        <v>98277000</v>
      </c>
      <c r="AF1267" s="27">
        <v>2837870</v>
      </c>
      <c r="AG1267" s="27">
        <v>327681000</v>
      </c>
      <c r="AH1267" s="27">
        <v>3677150</v>
      </c>
      <c r="AI1267" s="17">
        <v>2013</v>
      </c>
      <c r="AJ1267" s="17">
        <v>1</v>
      </c>
      <c r="AK1267" s="17">
        <v>0</v>
      </c>
    </row>
    <row r="1268" spans="1:38" ht="12.75" customHeight="1">
      <c r="A1268" s="50" t="s">
        <v>1468</v>
      </c>
      <c r="B1268" s="19" t="s">
        <v>1469</v>
      </c>
      <c r="C1268" s="17">
        <v>148</v>
      </c>
      <c r="D1268" s="142" t="s">
        <v>196</v>
      </c>
      <c r="E1268" s="19">
        <v>0</v>
      </c>
      <c r="F1268" s="19" t="s">
        <v>1470</v>
      </c>
      <c r="G1268" s="19" t="s">
        <v>1471</v>
      </c>
      <c r="H1268" s="19" t="s">
        <v>1472</v>
      </c>
      <c r="I1268" s="17" t="b">
        <v>0</v>
      </c>
      <c r="J1268" s="17" t="s">
        <v>64</v>
      </c>
      <c r="K1268" s="21" t="str">
        <f t="shared" si="28"/>
        <v>https://version2.ice-d.org/antarctica/sample/01-MBL-002-VVB/</v>
      </c>
      <c r="L1268" s="50" t="s">
        <v>39</v>
      </c>
      <c r="M1268" s="188" t="s">
        <v>44</v>
      </c>
      <c r="O1268" s="17" t="s">
        <v>1473</v>
      </c>
      <c r="P1268" s="17">
        <v>-77.311000000000007</v>
      </c>
      <c r="Q1268" s="17">
        <v>-142.11189999999999</v>
      </c>
      <c r="S1268" s="17">
        <v>1127</v>
      </c>
      <c r="T1268" s="17">
        <v>950</v>
      </c>
      <c r="U1268" s="23">
        <v>1282</v>
      </c>
      <c r="V1268" s="152" t="s">
        <v>2464</v>
      </c>
      <c r="W1268" s="44" t="s">
        <v>2463</v>
      </c>
      <c r="X1268" s="17">
        <f t="shared" si="30"/>
        <v>177</v>
      </c>
      <c r="Y1268" s="17">
        <v>6.5</v>
      </c>
      <c r="Z1268" s="17">
        <v>2.7</v>
      </c>
      <c r="AA1268" s="17" t="s">
        <v>73</v>
      </c>
      <c r="AB1268" s="56">
        <v>6219</v>
      </c>
      <c r="AC1268" s="56">
        <v>161</v>
      </c>
      <c r="AD1268" s="56">
        <v>560</v>
      </c>
      <c r="AE1268" s="28">
        <v>98811</v>
      </c>
      <c r="AF1268" s="28">
        <v>2347</v>
      </c>
      <c r="AG1268" s="28">
        <v>662343</v>
      </c>
      <c r="AH1268" s="28">
        <v>17134</v>
      </c>
      <c r="AI1268" s="17">
        <v>2001</v>
      </c>
      <c r="AJ1268" s="17">
        <v>1</v>
      </c>
      <c r="AK1268" s="17">
        <v>0</v>
      </c>
    </row>
    <row r="1269" spans="1:38" ht="12.75" customHeight="1">
      <c r="A1269" s="50" t="s">
        <v>1468</v>
      </c>
      <c r="B1269" s="19" t="s">
        <v>1469</v>
      </c>
      <c r="C1269" s="17">
        <v>148</v>
      </c>
      <c r="D1269" s="142" t="s">
        <v>196</v>
      </c>
      <c r="E1269" s="19">
        <v>0</v>
      </c>
      <c r="F1269" s="19" t="s">
        <v>1470</v>
      </c>
      <c r="G1269" s="19" t="s">
        <v>1471</v>
      </c>
      <c r="H1269" s="19" t="s">
        <v>1472</v>
      </c>
      <c r="I1269" s="17" t="b">
        <v>0</v>
      </c>
      <c r="J1269" s="17" t="s">
        <v>43</v>
      </c>
      <c r="K1269" s="21" t="str">
        <f t="shared" si="28"/>
        <v>https://version2.ice-d.org/antarctica/sample/01-MBL-002-VVB/</v>
      </c>
      <c r="L1269" s="50" t="s">
        <v>39</v>
      </c>
      <c r="M1269" s="155"/>
      <c r="O1269" s="17" t="s">
        <v>1473</v>
      </c>
      <c r="P1269" s="17">
        <v>-77.311000000000007</v>
      </c>
      <c r="Q1269" s="17">
        <v>-142.11189999999999</v>
      </c>
      <c r="S1269" s="17">
        <v>1127</v>
      </c>
      <c r="T1269" s="17">
        <v>950</v>
      </c>
      <c r="U1269" s="23">
        <v>1282</v>
      </c>
      <c r="V1269" s="152" t="s">
        <v>2464</v>
      </c>
      <c r="W1269" s="44" t="s">
        <v>2463</v>
      </c>
      <c r="X1269" s="17">
        <f t="shared" si="30"/>
        <v>177</v>
      </c>
      <c r="Y1269" s="17">
        <v>6.5</v>
      </c>
      <c r="Z1269" s="17">
        <v>2.7</v>
      </c>
      <c r="AA1269" s="17" t="s">
        <v>73</v>
      </c>
      <c r="AB1269" s="56">
        <v>6535</v>
      </c>
      <c r="AC1269" s="56">
        <v>155</v>
      </c>
      <c r="AD1269" s="56">
        <v>416</v>
      </c>
      <c r="AE1269" s="28">
        <v>98811</v>
      </c>
      <c r="AF1269" s="28">
        <v>2347</v>
      </c>
      <c r="AG1269" s="28">
        <v>662343</v>
      </c>
      <c r="AH1269" s="28">
        <v>17134</v>
      </c>
      <c r="AI1269" s="17">
        <v>2001</v>
      </c>
      <c r="AJ1269" s="17">
        <v>1</v>
      </c>
      <c r="AK1269" s="17">
        <v>0</v>
      </c>
    </row>
    <row r="1270" spans="1:38" ht="12.75" customHeight="1">
      <c r="A1270" s="50" t="s">
        <v>1474</v>
      </c>
      <c r="B1270" s="19" t="s">
        <v>1469</v>
      </c>
      <c r="C1270" s="17">
        <v>148</v>
      </c>
      <c r="D1270" s="142" t="s">
        <v>196</v>
      </c>
      <c r="E1270" s="19">
        <v>0</v>
      </c>
      <c r="F1270" s="19" t="s">
        <v>1470</v>
      </c>
      <c r="G1270" s="19" t="s">
        <v>1471</v>
      </c>
      <c r="H1270" s="19" t="s">
        <v>1472</v>
      </c>
      <c r="I1270" s="17" t="b">
        <v>0</v>
      </c>
      <c r="J1270" s="17" t="s">
        <v>43</v>
      </c>
      <c r="K1270" s="21" t="str">
        <f t="shared" si="28"/>
        <v>https://version2.ice-d.org/antarctica/sample/01-MBL-005-VVB/</v>
      </c>
      <c r="L1270" s="50" t="s">
        <v>39</v>
      </c>
      <c r="M1270" s="155"/>
      <c r="O1270" s="17" t="s">
        <v>1473</v>
      </c>
      <c r="P1270" s="17">
        <v>-77.311999999999998</v>
      </c>
      <c r="Q1270" s="17">
        <v>-142.1129</v>
      </c>
      <c r="S1270" s="17">
        <v>1125</v>
      </c>
      <c r="T1270" s="17">
        <v>950</v>
      </c>
      <c r="U1270" s="23">
        <v>1282</v>
      </c>
      <c r="V1270" s="152" t="s">
        <v>2464</v>
      </c>
      <c r="W1270" s="44" t="s">
        <v>2463</v>
      </c>
      <c r="X1270" s="17">
        <f t="shared" si="30"/>
        <v>175</v>
      </c>
      <c r="Y1270" s="17">
        <v>10</v>
      </c>
      <c r="Z1270" s="17">
        <v>2.7</v>
      </c>
      <c r="AA1270" s="17" t="s">
        <v>73</v>
      </c>
      <c r="AB1270" s="56">
        <v>6307</v>
      </c>
      <c r="AC1270" s="56">
        <v>151</v>
      </c>
      <c r="AD1270" s="56">
        <v>402</v>
      </c>
      <c r="AE1270" s="28">
        <v>92634</v>
      </c>
      <c r="AF1270" s="28">
        <v>2207</v>
      </c>
      <c r="AG1270" s="28"/>
      <c r="AH1270" s="28"/>
      <c r="AI1270" s="17">
        <v>2001</v>
      </c>
      <c r="AJ1270" s="17">
        <v>1</v>
      </c>
      <c r="AK1270" s="17">
        <v>0</v>
      </c>
    </row>
    <row r="1271" spans="1:38" ht="12.75" customHeight="1">
      <c r="A1271" s="50" t="s">
        <v>1475</v>
      </c>
      <c r="B1271" s="19" t="s">
        <v>1469</v>
      </c>
      <c r="C1271" s="17">
        <v>148</v>
      </c>
      <c r="D1271" s="142" t="s">
        <v>196</v>
      </c>
      <c r="E1271" s="19">
        <v>0</v>
      </c>
      <c r="F1271" s="19" t="s">
        <v>1470</v>
      </c>
      <c r="G1271" s="19" t="s">
        <v>1471</v>
      </c>
      <c r="H1271" s="19" t="s">
        <v>1472</v>
      </c>
      <c r="I1271" s="17" t="b">
        <v>0</v>
      </c>
      <c r="J1271" s="17" t="s">
        <v>43</v>
      </c>
      <c r="K1271" s="21" t="str">
        <f t="shared" si="28"/>
        <v>https://version2.ice-d.org/antarctica/sample/01-MBL-007-VVB/</v>
      </c>
      <c r="L1271" s="50" t="s">
        <v>39</v>
      </c>
      <c r="M1271" s="155"/>
      <c r="O1271" s="17" t="s">
        <v>1473</v>
      </c>
      <c r="P1271" s="17">
        <v>-77.3125</v>
      </c>
      <c r="Q1271" s="17">
        <v>-142.1139</v>
      </c>
      <c r="S1271" s="17">
        <v>1071</v>
      </c>
      <c r="T1271" s="17">
        <v>950</v>
      </c>
      <c r="U1271" s="23">
        <v>1282</v>
      </c>
      <c r="V1271" s="152" t="s">
        <v>2464</v>
      </c>
      <c r="W1271" s="44" t="s">
        <v>2463</v>
      </c>
      <c r="X1271" s="17">
        <f t="shared" si="30"/>
        <v>121</v>
      </c>
      <c r="Y1271" s="17">
        <v>8</v>
      </c>
      <c r="Z1271" s="17">
        <v>2.7</v>
      </c>
      <c r="AA1271" s="17" t="s">
        <v>73</v>
      </c>
      <c r="AB1271" s="56">
        <v>3932</v>
      </c>
      <c r="AC1271" s="56">
        <v>152</v>
      </c>
      <c r="AD1271" s="56">
        <v>277</v>
      </c>
      <c r="AE1271" s="28">
        <v>56561</v>
      </c>
      <c r="AF1271" s="28">
        <v>2179</v>
      </c>
      <c r="AG1271" s="28"/>
      <c r="AH1271" s="28"/>
      <c r="AI1271" s="17">
        <v>2001</v>
      </c>
      <c r="AJ1271" s="17">
        <v>1</v>
      </c>
      <c r="AK1271" s="17">
        <v>0</v>
      </c>
    </row>
    <row r="1272" spans="1:38" ht="12.75" customHeight="1">
      <c r="A1272" s="50" t="s">
        <v>1476</v>
      </c>
      <c r="B1272" s="19" t="s">
        <v>1469</v>
      </c>
      <c r="C1272" s="17">
        <v>148</v>
      </c>
      <c r="D1272" s="142" t="s">
        <v>196</v>
      </c>
      <c r="E1272" s="19">
        <v>0</v>
      </c>
      <c r="F1272" s="19" t="s">
        <v>1470</v>
      </c>
      <c r="G1272" s="19" t="s">
        <v>1471</v>
      </c>
      <c r="H1272" s="19" t="s">
        <v>1472</v>
      </c>
      <c r="I1272" s="17" t="b">
        <v>0</v>
      </c>
      <c r="J1272" s="17" t="s">
        <v>43</v>
      </c>
      <c r="K1272" s="21" t="str">
        <f t="shared" si="28"/>
        <v>https://version2.ice-d.org/antarctica/sample/01-MBL-008-VVB/</v>
      </c>
      <c r="L1272" s="50" t="s">
        <v>39</v>
      </c>
      <c r="M1272" s="155"/>
      <c r="O1272" s="17" t="s">
        <v>1473</v>
      </c>
      <c r="P1272" s="17">
        <v>-77.312799999999996</v>
      </c>
      <c r="Q1272" s="17">
        <v>-142.1052</v>
      </c>
      <c r="S1272" s="17">
        <v>1052</v>
      </c>
      <c r="T1272" s="17">
        <v>950</v>
      </c>
      <c r="U1272" s="23">
        <v>1282</v>
      </c>
      <c r="V1272" s="152" t="s">
        <v>2464</v>
      </c>
      <c r="W1272" s="44" t="s">
        <v>2463</v>
      </c>
      <c r="X1272" s="17">
        <f t="shared" si="30"/>
        <v>102</v>
      </c>
      <c r="Y1272" s="17">
        <v>4.5</v>
      </c>
      <c r="Z1272" s="17">
        <v>2.7</v>
      </c>
      <c r="AA1272" s="17" t="s">
        <v>73</v>
      </c>
      <c r="AB1272" s="56">
        <v>3342</v>
      </c>
      <c r="AC1272" s="56">
        <v>104</v>
      </c>
      <c r="AD1272" s="56">
        <v>223</v>
      </c>
      <c r="AE1272" s="28">
        <v>49022</v>
      </c>
      <c r="AF1272" s="28">
        <v>1528</v>
      </c>
      <c r="AG1272" s="28"/>
      <c r="AH1272" s="28"/>
      <c r="AI1272" s="17">
        <v>2001</v>
      </c>
      <c r="AJ1272" s="17">
        <v>1</v>
      </c>
      <c r="AK1272" s="17">
        <v>0</v>
      </c>
    </row>
    <row r="1273" spans="1:38" ht="15.75" customHeight="1">
      <c r="A1273" s="54" t="s">
        <v>1477</v>
      </c>
      <c r="B1273" s="19" t="s">
        <v>1478</v>
      </c>
      <c r="C1273" s="17">
        <v>149</v>
      </c>
      <c r="D1273" s="142" t="s">
        <v>196</v>
      </c>
      <c r="E1273" s="19">
        <v>0</v>
      </c>
      <c r="F1273" s="19" t="s">
        <v>1470</v>
      </c>
      <c r="G1273" s="19" t="s">
        <v>1479</v>
      </c>
      <c r="H1273" s="19" t="s">
        <v>1472</v>
      </c>
      <c r="I1273" s="17" t="b">
        <v>0</v>
      </c>
      <c r="J1273" s="17" t="s">
        <v>247</v>
      </c>
      <c r="K1273" s="21" t="str">
        <f t="shared" si="28"/>
        <v>https://version2.ice-d.org/antarctica/sample/01-MBL-168-GAP/</v>
      </c>
      <c r="L1273" s="54" t="s">
        <v>39</v>
      </c>
      <c r="M1273" s="168" t="s">
        <v>44</v>
      </c>
      <c r="O1273" s="17" t="s">
        <v>1480</v>
      </c>
      <c r="P1273" s="22">
        <v>-77.084000000000003</v>
      </c>
      <c r="Q1273" s="22">
        <v>-145.55799999999999</v>
      </c>
      <c r="R1273" s="22"/>
      <c r="S1273" s="22">
        <v>263</v>
      </c>
      <c r="T1273" s="17">
        <v>140</v>
      </c>
      <c r="U1273" s="23">
        <v>500</v>
      </c>
      <c r="V1273" s="152" t="s">
        <v>2440</v>
      </c>
      <c r="W1273" s="44" t="s">
        <v>2441</v>
      </c>
      <c r="X1273" s="17">
        <f t="shared" si="30"/>
        <v>123</v>
      </c>
      <c r="Y1273" s="22">
        <v>6.5</v>
      </c>
      <c r="Z1273" s="22">
        <v>2.65</v>
      </c>
      <c r="AA1273" s="17" t="s">
        <v>58</v>
      </c>
      <c r="AB1273" s="26">
        <v>6404</v>
      </c>
      <c r="AC1273" s="26">
        <v>474</v>
      </c>
      <c r="AD1273" s="26">
        <v>677</v>
      </c>
      <c r="AE1273" s="27">
        <v>26000</v>
      </c>
      <c r="AF1273" s="27">
        <v>4000</v>
      </c>
      <c r="AG1273" s="27">
        <v>155000</v>
      </c>
      <c r="AH1273" s="27">
        <v>13000</v>
      </c>
      <c r="AI1273" s="17">
        <v>2001</v>
      </c>
      <c r="AJ1273" s="17">
        <v>1</v>
      </c>
      <c r="AK1273" s="17">
        <v>1</v>
      </c>
      <c r="AL1273" s="17" t="s">
        <v>1481</v>
      </c>
    </row>
    <row r="1274" spans="1:38" ht="15.75" customHeight="1">
      <c r="A1274" s="54" t="s">
        <v>1482</v>
      </c>
      <c r="B1274" s="19" t="s">
        <v>1478</v>
      </c>
      <c r="C1274" s="17">
        <v>149</v>
      </c>
      <c r="D1274" s="142" t="s">
        <v>196</v>
      </c>
      <c r="E1274" s="19">
        <v>0</v>
      </c>
      <c r="F1274" s="19" t="s">
        <v>1470</v>
      </c>
      <c r="G1274" s="19" t="s">
        <v>1479</v>
      </c>
      <c r="H1274" s="19" t="s">
        <v>1472</v>
      </c>
      <c r="I1274" s="17" t="b">
        <v>0</v>
      </c>
      <c r="J1274" s="17" t="s">
        <v>64</v>
      </c>
      <c r="K1274" s="21" t="str">
        <f t="shared" si="28"/>
        <v>https://version2.ice-d.org/antarctica/sample/01-MBL-169-GAP/</v>
      </c>
      <c r="L1274" s="54" t="s">
        <v>39</v>
      </c>
      <c r="M1274" s="155"/>
      <c r="O1274" s="17" t="s">
        <v>1480</v>
      </c>
      <c r="P1274" s="22">
        <v>-77.081999999999994</v>
      </c>
      <c r="Q1274" s="22">
        <v>-145.54499999999999</v>
      </c>
      <c r="R1274" s="22"/>
      <c r="S1274" s="22">
        <v>226</v>
      </c>
      <c r="T1274" s="22">
        <v>140</v>
      </c>
      <c r="U1274" s="23">
        <v>500</v>
      </c>
      <c r="V1274" s="152" t="s">
        <v>2440</v>
      </c>
      <c r="W1274" s="44" t="s">
        <v>2441</v>
      </c>
      <c r="X1274" s="17">
        <f t="shared" si="30"/>
        <v>86</v>
      </c>
      <c r="Y1274" s="22">
        <v>4.5</v>
      </c>
      <c r="Z1274" s="22">
        <v>2.65</v>
      </c>
      <c r="AA1274" s="17" t="s">
        <v>58</v>
      </c>
      <c r="AB1274" s="26">
        <v>1213</v>
      </c>
      <c r="AC1274" s="26">
        <v>162</v>
      </c>
      <c r="AD1274" s="26">
        <v>193</v>
      </c>
      <c r="AE1274" s="27">
        <v>34000</v>
      </c>
      <c r="AF1274" s="27">
        <v>6000</v>
      </c>
      <c r="AG1274" s="27">
        <v>60000</v>
      </c>
      <c r="AH1274" s="27">
        <v>8000</v>
      </c>
      <c r="AI1274" s="17">
        <v>2001</v>
      </c>
      <c r="AJ1274" s="17">
        <v>1</v>
      </c>
      <c r="AK1274" s="17">
        <v>1</v>
      </c>
      <c r="AL1274" s="17" t="s">
        <v>1483</v>
      </c>
    </row>
    <row r="1275" spans="1:38" ht="15.75" customHeight="1">
      <c r="A1275" s="54" t="s">
        <v>1482</v>
      </c>
      <c r="B1275" s="19" t="s">
        <v>1478</v>
      </c>
      <c r="C1275" s="17">
        <v>149</v>
      </c>
      <c r="D1275" s="142" t="s">
        <v>196</v>
      </c>
      <c r="E1275" s="19">
        <v>0</v>
      </c>
      <c r="F1275" s="19" t="s">
        <v>1470</v>
      </c>
      <c r="G1275" s="19" t="s">
        <v>1479</v>
      </c>
      <c r="H1275" s="19" t="s">
        <v>1472</v>
      </c>
      <c r="I1275" s="17" t="b">
        <v>0</v>
      </c>
      <c r="J1275" s="17" t="s">
        <v>43</v>
      </c>
      <c r="K1275" s="21" t="str">
        <f t="shared" si="28"/>
        <v>https://version2.ice-d.org/antarctica/sample/01-MBL-169-GAP/</v>
      </c>
      <c r="L1275" s="54" t="s">
        <v>39</v>
      </c>
      <c r="M1275" s="155"/>
      <c r="O1275" s="17" t="s">
        <v>1480</v>
      </c>
      <c r="P1275" s="22">
        <v>-77.081999999999994</v>
      </c>
      <c r="Q1275" s="22">
        <v>-145.54499999999999</v>
      </c>
      <c r="R1275" s="22"/>
      <c r="S1275" s="22">
        <v>226</v>
      </c>
      <c r="T1275" s="22">
        <v>140</v>
      </c>
      <c r="U1275" s="23">
        <v>500</v>
      </c>
      <c r="V1275" s="152" t="s">
        <v>2440</v>
      </c>
      <c r="W1275" s="44" t="s">
        <v>2441</v>
      </c>
      <c r="X1275" s="17">
        <f t="shared" si="30"/>
        <v>86</v>
      </c>
      <c r="Y1275" s="22">
        <v>4.5</v>
      </c>
      <c r="Z1275" s="22">
        <v>2.65</v>
      </c>
      <c r="AA1275" s="17" t="s">
        <v>58</v>
      </c>
      <c r="AB1275" s="26">
        <v>4429</v>
      </c>
      <c r="AC1275" s="26">
        <v>782</v>
      </c>
      <c r="AD1275" s="26">
        <v>825</v>
      </c>
      <c r="AE1275" s="27">
        <v>34000</v>
      </c>
      <c r="AF1275" s="27">
        <v>6000</v>
      </c>
      <c r="AG1275" s="27">
        <v>60000</v>
      </c>
      <c r="AH1275" s="27">
        <v>8000</v>
      </c>
      <c r="AI1275" s="17">
        <v>2001</v>
      </c>
      <c r="AJ1275" s="17">
        <v>1</v>
      </c>
      <c r="AK1275" s="17">
        <v>1</v>
      </c>
      <c r="AL1275" s="17" t="s">
        <v>1483</v>
      </c>
    </row>
    <row r="1276" spans="1:38" ht="15.75" customHeight="1">
      <c r="A1276" s="54" t="s">
        <v>1477</v>
      </c>
      <c r="B1276" s="19" t="s">
        <v>1478</v>
      </c>
      <c r="C1276" s="17">
        <v>149</v>
      </c>
      <c r="D1276" s="142" t="s">
        <v>196</v>
      </c>
      <c r="E1276" s="19">
        <v>0</v>
      </c>
      <c r="F1276" s="19" t="s">
        <v>1470</v>
      </c>
      <c r="G1276" s="19" t="s">
        <v>1479</v>
      </c>
      <c r="H1276" s="19" t="s">
        <v>1472</v>
      </c>
      <c r="I1276" s="17" t="b">
        <v>0</v>
      </c>
      <c r="J1276" s="17" t="s">
        <v>64</v>
      </c>
      <c r="K1276" s="21" t="str">
        <f t="shared" si="28"/>
        <v>https://version2.ice-d.org/antarctica/sample/01-MBL-168-GAP/</v>
      </c>
      <c r="L1276" s="54" t="s">
        <v>39</v>
      </c>
      <c r="M1276" s="155"/>
      <c r="O1276" s="17" t="s">
        <v>1480</v>
      </c>
      <c r="P1276" s="22">
        <v>-77.084000000000003</v>
      </c>
      <c r="Q1276" s="22">
        <v>-145.55799999999999</v>
      </c>
      <c r="R1276" s="22"/>
      <c r="S1276" s="22">
        <v>263</v>
      </c>
      <c r="T1276" s="17">
        <v>140</v>
      </c>
      <c r="U1276" s="23">
        <v>500</v>
      </c>
      <c r="V1276" s="152" t="s">
        <v>2440</v>
      </c>
      <c r="W1276" s="44" t="s">
        <v>2441</v>
      </c>
      <c r="X1276" s="17">
        <f t="shared" si="30"/>
        <v>123</v>
      </c>
      <c r="Y1276" s="22">
        <v>6.5</v>
      </c>
      <c r="Z1276" s="22">
        <v>2.65</v>
      </c>
      <c r="AA1276" s="17" t="s">
        <v>58</v>
      </c>
      <c r="AB1276" s="26">
        <v>3167</v>
      </c>
      <c r="AC1276" s="26">
        <v>266</v>
      </c>
      <c r="AD1276" s="26">
        <v>381</v>
      </c>
      <c r="AE1276" s="27">
        <v>26000</v>
      </c>
      <c r="AF1276" s="27">
        <v>4000</v>
      </c>
      <c r="AG1276" s="27">
        <v>155000</v>
      </c>
      <c r="AH1276" s="27">
        <v>13000</v>
      </c>
      <c r="AI1276" s="17">
        <v>2001</v>
      </c>
      <c r="AJ1276" s="17">
        <v>1</v>
      </c>
      <c r="AK1276" s="17">
        <v>0</v>
      </c>
      <c r="AL1276" s="17" t="s">
        <v>1484</v>
      </c>
    </row>
    <row r="1277" spans="1:38" ht="15.75" customHeight="1">
      <c r="A1277" s="54" t="s">
        <v>1477</v>
      </c>
      <c r="B1277" s="19" t="s">
        <v>1478</v>
      </c>
      <c r="C1277" s="17">
        <v>149</v>
      </c>
      <c r="D1277" s="142" t="s">
        <v>196</v>
      </c>
      <c r="E1277" s="19">
        <v>0</v>
      </c>
      <c r="F1277" s="19" t="s">
        <v>1470</v>
      </c>
      <c r="G1277" s="19" t="s">
        <v>1479</v>
      </c>
      <c r="H1277" s="19" t="s">
        <v>1472</v>
      </c>
      <c r="I1277" s="17" t="b">
        <v>0</v>
      </c>
      <c r="J1277" s="17" t="s">
        <v>43</v>
      </c>
      <c r="K1277" s="21" t="str">
        <f t="shared" si="28"/>
        <v>https://version2.ice-d.org/antarctica/sample/01-MBL-168-GAP/</v>
      </c>
      <c r="L1277" s="54" t="s">
        <v>39</v>
      </c>
      <c r="M1277" s="155"/>
      <c r="O1277" s="17" t="s">
        <v>1480</v>
      </c>
      <c r="P1277" s="22">
        <v>-77.084000000000003</v>
      </c>
      <c r="Q1277" s="22">
        <v>-145.55799999999999</v>
      </c>
      <c r="R1277" s="22"/>
      <c r="S1277" s="22">
        <v>263</v>
      </c>
      <c r="T1277" s="17">
        <v>140</v>
      </c>
      <c r="U1277" s="23">
        <v>500</v>
      </c>
      <c r="V1277" s="152" t="s">
        <v>2440</v>
      </c>
      <c r="W1277" s="44" t="s">
        <v>2441</v>
      </c>
      <c r="X1277" s="17">
        <f t="shared" si="30"/>
        <v>123</v>
      </c>
      <c r="Y1277" s="22">
        <v>6.5</v>
      </c>
      <c r="Z1277" s="22">
        <v>2.65</v>
      </c>
      <c r="AA1277" s="17" t="s">
        <v>58</v>
      </c>
      <c r="AB1277" s="26">
        <v>3423</v>
      </c>
      <c r="AC1277" s="26">
        <v>527</v>
      </c>
      <c r="AD1277" s="26">
        <v>564</v>
      </c>
      <c r="AE1277" s="27">
        <v>26000</v>
      </c>
      <c r="AF1277" s="27">
        <v>4000</v>
      </c>
      <c r="AG1277" s="27">
        <v>155000</v>
      </c>
      <c r="AH1277" s="27">
        <v>13000</v>
      </c>
      <c r="AI1277" s="17">
        <v>2001</v>
      </c>
      <c r="AJ1277" s="17">
        <v>1</v>
      </c>
      <c r="AK1277" s="17">
        <v>0</v>
      </c>
      <c r="AL1277" s="17" t="s">
        <v>1484</v>
      </c>
    </row>
    <row r="1278" spans="1:38" ht="16.5" customHeight="1">
      <c r="A1278" s="130" t="s">
        <v>1485</v>
      </c>
      <c r="B1278" s="19" t="s">
        <v>1478</v>
      </c>
      <c r="C1278" s="17">
        <v>149</v>
      </c>
      <c r="D1278" s="142" t="s">
        <v>196</v>
      </c>
      <c r="E1278" s="19">
        <v>0</v>
      </c>
      <c r="F1278" s="19" t="s">
        <v>1470</v>
      </c>
      <c r="G1278" s="19" t="s">
        <v>1479</v>
      </c>
      <c r="H1278" s="19" t="s">
        <v>1472</v>
      </c>
      <c r="I1278" s="17" t="b">
        <v>0</v>
      </c>
      <c r="J1278" s="17" t="s">
        <v>247</v>
      </c>
      <c r="K1278" s="21" t="str">
        <f t="shared" si="28"/>
        <v>https://version2.ice-d.org/antarctica/sample/01-MBL-144-REA/</v>
      </c>
      <c r="L1278" s="130" t="s">
        <v>39</v>
      </c>
      <c r="M1278" s="164" t="s">
        <v>44</v>
      </c>
      <c r="O1278" s="17" t="s">
        <v>1480</v>
      </c>
      <c r="P1278" s="17">
        <v>-77.076999999999998</v>
      </c>
      <c r="Q1278" s="17">
        <v>-145.58699999999999</v>
      </c>
      <c r="S1278" s="17">
        <v>685</v>
      </c>
      <c r="T1278" s="17">
        <v>140</v>
      </c>
      <c r="U1278" s="23">
        <v>500</v>
      </c>
      <c r="V1278" s="152" t="s">
        <v>2440</v>
      </c>
      <c r="W1278" s="44" t="s">
        <v>2441</v>
      </c>
      <c r="X1278" s="17">
        <f t="shared" si="30"/>
        <v>545</v>
      </c>
      <c r="Y1278" s="17">
        <v>6.5</v>
      </c>
      <c r="Z1278" s="17">
        <v>2.65</v>
      </c>
      <c r="AA1278" s="17" t="s">
        <v>58</v>
      </c>
      <c r="AB1278" s="56">
        <v>9706</v>
      </c>
      <c r="AC1278" s="56">
        <v>525</v>
      </c>
      <c r="AD1278" s="56">
        <v>1063</v>
      </c>
      <c r="AE1278" s="28">
        <v>496000</v>
      </c>
      <c r="AF1278" s="28">
        <v>12000</v>
      </c>
      <c r="AG1278" s="28">
        <v>2763000</v>
      </c>
      <c r="AH1278" s="28">
        <v>55000</v>
      </c>
      <c r="AI1278" s="17">
        <v>2001</v>
      </c>
      <c r="AJ1278" s="17">
        <v>1</v>
      </c>
      <c r="AK1278" s="17">
        <v>0</v>
      </c>
    </row>
    <row r="1279" spans="1:38" ht="16.5" customHeight="1">
      <c r="A1279" s="130" t="s">
        <v>1486</v>
      </c>
      <c r="B1279" s="19" t="s">
        <v>1478</v>
      </c>
      <c r="C1279" s="17">
        <v>149</v>
      </c>
      <c r="D1279" s="142" t="s">
        <v>196</v>
      </c>
      <c r="E1279" s="19">
        <v>0</v>
      </c>
      <c r="F1279" s="19" t="s">
        <v>1470</v>
      </c>
      <c r="G1279" s="19" t="s">
        <v>1479</v>
      </c>
      <c r="H1279" s="19" t="s">
        <v>1472</v>
      </c>
      <c r="I1279" s="17" t="b">
        <v>0</v>
      </c>
      <c r="J1279" s="17" t="s">
        <v>64</v>
      </c>
      <c r="K1279" s="21" t="str">
        <f t="shared" si="28"/>
        <v>https://version2.ice-d.org/antarctica/sample/01-MBL-150-REA/</v>
      </c>
      <c r="L1279" s="130" t="s">
        <v>39</v>
      </c>
      <c r="M1279" s="155"/>
      <c r="O1279" s="17" t="s">
        <v>1480</v>
      </c>
      <c r="P1279" s="22">
        <v>-77.067999999999998</v>
      </c>
      <c r="Q1279" s="22">
        <v>-145.57499999999999</v>
      </c>
      <c r="R1279" s="22"/>
      <c r="S1279" s="22">
        <v>489</v>
      </c>
      <c r="T1279" s="17">
        <v>140</v>
      </c>
      <c r="U1279" s="23">
        <v>500</v>
      </c>
      <c r="V1279" s="152" t="s">
        <v>2440</v>
      </c>
      <c r="W1279" s="44" t="s">
        <v>2441</v>
      </c>
      <c r="X1279" s="17">
        <f t="shared" si="30"/>
        <v>349</v>
      </c>
      <c r="Y1279" s="22">
        <v>6.5</v>
      </c>
      <c r="Z1279" s="22">
        <v>2.65</v>
      </c>
      <c r="AA1279" s="17" t="s">
        <v>58</v>
      </c>
      <c r="AB1279" s="26">
        <v>3922</v>
      </c>
      <c r="AC1279" s="26">
        <v>282</v>
      </c>
      <c r="AD1279" s="26">
        <v>440</v>
      </c>
      <c r="AE1279" s="27">
        <v>44000</v>
      </c>
      <c r="AF1279" s="27">
        <v>4000</v>
      </c>
      <c r="AG1279" s="27">
        <v>237000</v>
      </c>
      <c r="AH1279" s="27">
        <v>17000</v>
      </c>
      <c r="AI1279" s="17">
        <v>2001</v>
      </c>
      <c r="AJ1279" s="17">
        <v>1</v>
      </c>
      <c r="AK1279" s="17">
        <v>0</v>
      </c>
    </row>
    <row r="1280" spans="1:38" ht="16.5" customHeight="1">
      <c r="A1280" s="130" t="s">
        <v>1486</v>
      </c>
      <c r="B1280" s="19" t="s">
        <v>1478</v>
      </c>
      <c r="C1280" s="17">
        <v>149</v>
      </c>
      <c r="D1280" s="142" t="s">
        <v>196</v>
      </c>
      <c r="E1280" s="19">
        <v>0</v>
      </c>
      <c r="F1280" s="19" t="s">
        <v>1470</v>
      </c>
      <c r="G1280" s="19" t="s">
        <v>1479</v>
      </c>
      <c r="H1280" s="19" t="s">
        <v>1472</v>
      </c>
      <c r="I1280" s="17" t="b">
        <v>0</v>
      </c>
      <c r="J1280" s="17" t="s">
        <v>43</v>
      </c>
      <c r="K1280" s="21" t="str">
        <f t="shared" si="28"/>
        <v>https://version2.ice-d.org/antarctica/sample/01-MBL-150-REA/</v>
      </c>
      <c r="L1280" s="130" t="s">
        <v>39</v>
      </c>
      <c r="M1280" s="155"/>
      <c r="O1280" s="17" t="s">
        <v>1480</v>
      </c>
      <c r="P1280" s="103">
        <v>-77.067999999999998</v>
      </c>
      <c r="Q1280" s="103">
        <v>-145.57499999999999</v>
      </c>
      <c r="R1280" s="22"/>
      <c r="S1280" s="103">
        <v>489</v>
      </c>
      <c r="T1280" s="17">
        <v>140</v>
      </c>
      <c r="U1280" s="23">
        <v>500</v>
      </c>
      <c r="V1280" s="152" t="s">
        <v>2440</v>
      </c>
      <c r="W1280" s="44" t="s">
        <v>2441</v>
      </c>
      <c r="X1280" s="17">
        <f t="shared" si="30"/>
        <v>349</v>
      </c>
      <c r="Y1280" s="22">
        <v>6.5</v>
      </c>
      <c r="Z1280" s="22">
        <v>2.65</v>
      </c>
      <c r="AA1280" s="17" t="s">
        <v>58</v>
      </c>
      <c r="AB1280" s="104">
        <v>4710</v>
      </c>
      <c r="AC1280" s="104">
        <v>429</v>
      </c>
      <c r="AD1280" s="60">
        <v>511</v>
      </c>
      <c r="AE1280" s="27">
        <v>44000</v>
      </c>
      <c r="AF1280" s="27">
        <v>4000</v>
      </c>
      <c r="AG1280" s="27">
        <v>237000</v>
      </c>
      <c r="AH1280" s="27">
        <v>17000</v>
      </c>
      <c r="AI1280" s="17">
        <v>2001</v>
      </c>
      <c r="AJ1280" s="17">
        <v>1</v>
      </c>
      <c r="AK1280" s="17">
        <v>0</v>
      </c>
    </row>
    <row r="1281" spans="1:37" ht="15.75" customHeight="1">
      <c r="A1281" s="130" t="s">
        <v>1487</v>
      </c>
      <c r="B1281" s="19" t="s">
        <v>1478</v>
      </c>
      <c r="C1281" s="17">
        <v>149</v>
      </c>
      <c r="D1281" s="142" t="s">
        <v>196</v>
      </c>
      <c r="E1281" s="19">
        <v>0</v>
      </c>
      <c r="F1281" s="19" t="s">
        <v>1470</v>
      </c>
      <c r="G1281" s="19" t="s">
        <v>1479</v>
      </c>
      <c r="H1281" s="19" t="s">
        <v>1472</v>
      </c>
      <c r="I1281" s="17" t="b">
        <v>0</v>
      </c>
      <c r="J1281" s="17" t="s">
        <v>64</v>
      </c>
      <c r="K1281" s="21" t="str">
        <f t="shared" si="28"/>
        <v>https://version2.ice-d.org/antarctica/sample/01-MBL-154-REA/</v>
      </c>
      <c r="L1281" s="130" t="s">
        <v>39</v>
      </c>
      <c r="M1281" s="155"/>
      <c r="O1281" s="17" t="s">
        <v>1480</v>
      </c>
      <c r="P1281" s="103">
        <v>-77.067999999999998</v>
      </c>
      <c r="Q1281" s="103">
        <v>-145.548</v>
      </c>
      <c r="R1281" s="22"/>
      <c r="S1281" s="103">
        <v>287</v>
      </c>
      <c r="T1281" s="17">
        <v>140</v>
      </c>
      <c r="U1281" s="23">
        <v>500</v>
      </c>
      <c r="V1281" s="152" t="s">
        <v>2440</v>
      </c>
      <c r="W1281" s="44" t="s">
        <v>2441</v>
      </c>
      <c r="X1281" s="17">
        <f t="shared" si="30"/>
        <v>147</v>
      </c>
      <c r="Y1281" s="22">
        <v>6.5</v>
      </c>
      <c r="Z1281" s="22">
        <v>2.65</v>
      </c>
      <c r="AA1281" s="17" t="s">
        <v>58</v>
      </c>
      <c r="AB1281" s="104">
        <v>3209</v>
      </c>
      <c r="AC1281" s="104">
        <v>261</v>
      </c>
      <c r="AD1281" s="60">
        <v>380</v>
      </c>
      <c r="AE1281" s="27">
        <v>27000</v>
      </c>
      <c r="AF1281" s="27">
        <v>4000</v>
      </c>
      <c r="AG1281" s="27">
        <v>160000</v>
      </c>
      <c r="AH1281" s="27">
        <v>13000</v>
      </c>
      <c r="AI1281" s="17">
        <v>2001</v>
      </c>
      <c r="AJ1281" s="17">
        <v>1</v>
      </c>
      <c r="AK1281" s="17">
        <v>0</v>
      </c>
    </row>
    <row r="1282" spans="1:37" ht="15.75" customHeight="1">
      <c r="A1282" s="130" t="s">
        <v>1487</v>
      </c>
      <c r="B1282" s="19" t="s">
        <v>1478</v>
      </c>
      <c r="C1282" s="17">
        <v>149</v>
      </c>
      <c r="D1282" s="142" t="s">
        <v>196</v>
      </c>
      <c r="E1282" s="19">
        <v>0</v>
      </c>
      <c r="F1282" s="19" t="s">
        <v>1470</v>
      </c>
      <c r="G1282" s="19" t="s">
        <v>1479</v>
      </c>
      <c r="H1282" s="19" t="s">
        <v>1472</v>
      </c>
      <c r="I1282" s="17" t="b">
        <v>0</v>
      </c>
      <c r="J1282" s="17" t="s">
        <v>43</v>
      </c>
      <c r="K1282" s="21" t="str">
        <f t="shared" si="28"/>
        <v>https://version2.ice-d.org/antarctica/sample/01-MBL-154-REA/</v>
      </c>
      <c r="L1282" s="130" t="s">
        <v>39</v>
      </c>
      <c r="M1282" s="155"/>
      <c r="O1282" s="17" t="s">
        <v>1480</v>
      </c>
      <c r="P1282" s="103">
        <v>-77.067999999999998</v>
      </c>
      <c r="Q1282" s="103">
        <v>-145.548</v>
      </c>
      <c r="R1282" s="22"/>
      <c r="S1282" s="103">
        <v>287</v>
      </c>
      <c r="T1282" s="17">
        <v>140</v>
      </c>
      <c r="U1282" s="23">
        <v>500</v>
      </c>
      <c r="V1282" s="152" t="s">
        <v>2440</v>
      </c>
      <c r="W1282" s="44" t="s">
        <v>2441</v>
      </c>
      <c r="X1282" s="17">
        <f t="shared" si="30"/>
        <v>147</v>
      </c>
      <c r="Y1282" s="22">
        <v>6.5</v>
      </c>
      <c r="Z1282" s="22">
        <v>2.65</v>
      </c>
      <c r="AA1282" s="17" t="s">
        <v>58</v>
      </c>
      <c r="AB1282" s="104">
        <v>3492</v>
      </c>
      <c r="AC1282" s="104">
        <v>518</v>
      </c>
      <c r="AD1282" s="60">
        <v>557</v>
      </c>
      <c r="AE1282" s="27">
        <v>27000</v>
      </c>
      <c r="AF1282" s="27">
        <v>4000</v>
      </c>
      <c r="AG1282" s="27">
        <v>160000</v>
      </c>
      <c r="AH1282" s="27">
        <v>13000</v>
      </c>
      <c r="AI1282" s="17">
        <v>2001</v>
      </c>
      <c r="AJ1282" s="17">
        <v>1</v>
      </c>
      <c r="AK1282" s="17">
        <v>0</v>
      </c>
    </row>
    <row r="1283" spans="1:37" ht="15.75" customHeight="1">
      <c r="A1283" s="130" t="s">
        <v>1488</v>
      </c>
      <c r="B1283" s="19" t="s">
        <v>1478</v>
      </c>
      <c r="C1283" s="17">
        <v>149</v>
      </c>
      <c r="D1283" s="142" t="s">
        <v>196</v>
      </c>
      <c r="E1283" s="19">
        <v>0</v>
      </c>
      <c r="F1283" s="19" t="s">
        <v>1470</v>
      </c>
      <c r="G1283" s="19" t="s">
        <v>1479</v>
      </c>
      <c r="H1283" s="19" t="s">
        <v>1472</v>
      </c>
      <c r="I1283" s="17" t="b">
        <v>0</v>
      </c>
      <c r="J1283" s="17" t="s">
        <v>64</v>
      </c>
      <c r="K1283" s="21" t="str">
        <f t="shared" si="28"/>
        <v>https://version2.ice-d.org/antarctica/sample/01-MBL-167-REA/</v>
      </c>
      <c r="L1283" s="130" t="s">
        <v>39</v>
      </c>
      <c r="M1283" s="155"/>
      <c r="O1283" s="17" t="s">
        <v>1480</v>
      </c>
      <c r="P1283" s="145">
        <v>-77.061000000000007</v>
      </c>
      <c r="Q1283" s="145">
        <v>-145.56800000000001</v>
      </c>
      <c r="S1283" s="145">
        <v>145</v>
      </c>
      <c r="T1283" s="17">
        <v>140</v>
      </c>
      <c r="U1283" s="23">
        <v>500</v>
      </c>
      <c r="V1283" s="152" t="s">
        <v>2440</v>
      </c>
      <c r="W1283" s="44" t="s">
        <v>2441</v>
      </c>
      <c r="X1283" s="17">
        <f t="shared" si="30"/>
        <v>5</v>
      </c>
      <c r="Y1283" s="17">
        <v>6</v>
      </c>
      <c r="Z1283" s="17">
        <v>2.65</v>
      </c>
      <c r="AA1283" s="17" t="s">
        <v>58</v>
      </c>
      <c r="AB1283" s="146">
        <v>1867</v>
      </c>
      <c r="AC1283" s="146">
        <v>369</v>
      </c>
      <c r="AD1283" s="36">
        <v>403</v>
      </c>
      <c r="AE1283" s="28">
        <v>13000</v>
      </c>
      <c r="AF1283" s="28">
        <v>1000</v>
      </c>
      <c r="AG1283" s="28">
        <v>81000</v>
      </c>
      <c r="AH1283" s="28">
        <v>16000</v>
      </c>
      <c r="AI1283" s="17">
        <v>2001</v>
      </c>
      <c r="AJ1283" s="17">
        <v>1</v>
      </c>
      <c r="AK1283" s="17">
        <v>0</v>
      </c>
    </row>
    <row r="1284" spans="1:37" ht="15.75" customHeight="1">
      <c r="A1284" s="130" t="s">
        <v>1488</v>
      </c>
      <c r="B1284" s="19" t="s">
        <v>1478</v>
      </c>
      <c r="C1284" s="17">
        <v>149</v>
      </c>
      <c r="D1284" s="142" t="s">
        <v>196</v>
      </c>
      <c r="E1284" s="19">
        <v>0</v>
      </c>
      <c r="F1284" s="19" t="s">
        <v>1470</v>
      </c>
      <c r="G1284" s="19" t="s">
        <v>1479</v>
      </c>
      <c r="H1284" s="19" t="s">
        <v>1472</v>
      </c>
      <c r="I1284" s="17" t="b">
        <v>0</v>
      </c>
      <c r="J1284" s="17" t="s">
        <v>43</v>
      </c>
      <c r="K1284" s="21" t="str">
        <f t="shared" si="28"/>
        <v>https://version2.ice-d.org/antarctica/sample/01-MBL-167-REA/</v>
      </c>
      <c r="L1284" s="130" t="s">
        <v>39</v>
      </c>
      <c r="M1284" s="155"/>
      <c r="O1284" s="17" t="s">
        <v>1480</v>
      </c>
      <c r="P1284" s="22">
        <v>-77.061000000000007</v>
      </c>
      <c r="Q1284" s="22">
        <v>-145.56800000000001</v>
      </c>
      <c r="R1284" s="22"/>
      <c r="S1284" s="22">
        <v>145</v>
      </c>
      <c r="T1284" s="17">
        <v>140</v>
      </c>
      <c r="U1284" s="23">
        <v>500</v>
      </c>
      <c r="V1284" s="152" t="s">
        <v>2440</v>
      </c>
      <c r="W1284" s="44" t="s">
        <v>2441</v>
      </c>
      <c r="X1284" s="17">
        <f t="shared" si="30"/>
        <v>5</v>
      </c>
      <c r="Y1284" s="22">
        <v>6</v>
      </c>
      <c r="Z1284" s="22">
        <v>2.65</v>
      </c>
      <c r="AA1284" s="17" t="s">
        <v>58</v>
      </c>
      <c r="AB1284" s="26">
        <v>1933</v>
      </c>
      <c r="AC1284" s="26">
        <v>149</v>
      </c>
      <c r="AD1284" s="26">
        <v>188</v>
      </c>
      <c r="AE1284" s="27">
        <v>13000</v>
      </c>
      <c r="AF1284" s="27">
        <v>1000</v>
      </c>
      <c r="AG1284" s="27">
        <v>81000</v>
      </c>
      <c r="AH1284" s="27">
        <v>16000</v>
      </c>
      <c r="AI1284" s="17">
        <v>2001</v>
      </c>
      <c r="AJ1284" s="17">
        <v>1</v>
      </c>
      <c r="AK1284" s="17">
        <v>0</v>
      </c>
    </row>
    <row r="1285" spans="1:37" ht="12.75" customHeight="1">
      <c r="A1285" s="113" t="s">
        <v>1489</v>
      </c>
      <c r="B1285" s="19" t="s">
        <v>1478</v>
      </c>
      <c r="C1285" s="17">
        <v>149</v>
      </c>
      <c r="D1285" s="142" t="s">
        <v>196</v>
      </c>
      <c r="E1285" s="19">
        <v>0</v>
      </c>
      <c r="F1285" s="19" t="s">
        <v>1470</v>
      </c>
      <c r="G1285" s="19" t="s">
        <v>1479</v>
      </c>
      <c r="H1285" s="19" t="s">
        <v>1472</v>
      </c>
      <c r="I1285" s="17" t="b">
        <v>0</v>
      </c>
      <c r="J1285" s="17" t="s">
        <v>64</v>
      </c>
      <c r="K1285" s="21" t="str">
        <f t="shared" si="28"/>
        <v>https://version2.ice-d.org/antarctica/sample/01-MBL-143-REA/</v>
      </c>
      <c r="L1285" s="113" t="s">
        <v>112</v>
      </c>
      <c r="M1285" s="113" t="s">
        <v>44</v>
      </c>
      <c r="O1285" s="28" t="s">
        <v>1490</v>
      </c>
      <c r="P1285" s="17">
        <v>-77.076800000000006</v>
      </c>
      <c r="Q1285" s="17">
        <v>-145.5873</v>
      </c>
      <c r="S1285" s="17">
        <v>685</v>
      </c>
      <c r="T1285" s="17">
        <v>140</v>
      </c>
      <c r="U1285" s="23">
        <v>500</v>
      </c>
      <c r="V1285" s="152" t="s">
        <v>2440</v>
      </c>
      <c r="W1285" s="44" t="s">
        <v>2441</v>
      </c>
      <c r="X1285" s="17">
        <f t="shared" si="30"/>
        <v>545</v>
      </c>
      <c r="Y1285" s="17">
        <v>5</v>
      </c>
      <c r="Z1285" s="17">
        <v>2.7</v>
      </c>
      <c r="AA1285" s="17" t="s">
        <v>73</v>
      </c>
      <c r="AB1285" s="56">
        <v>17700</v>
      </c>
      <c r="AC1285" s="56">
        <v>1257</v>
      </c>
      <c r="AD1285" s="56">
        <v>1984</v>
      </c>
      <c r="AE1285" s="28">
        <v>188223</v>
      </c>
      <c r="AF1285" s="28">
        <v>5573</v>
      </c>
      <c r="AG1285" s="28">
        <v>1282670</v>
      </c>
      <c r="AH1285" s="28">
        <v>90306</v>
      </c>
      <c r="AI1285" s="17">
        <v>2001</v>
      </c>
      <c r="AJ1285" s="17">
        <v>1</v>
      </c>
      <c r="AK1285" s="17">
        <v>0</v>
      </c>
    </row>
    <row r="1286" spans="1:37" ht="12.75" customHeight="1">
      <c r="A1286" s="113" t="s">
        <v>1489</v>
      </c>
      <c r="B1286" s="19" t="s">
        <v>1478</v>
      </c>
      <c r="C1286" s="17">
        <v>149</v>
      </c>
      <c r="D1286" s="142" t="s">
        <v>196</v>
      </c>
      <c r="E1286" s="19">
        <v>0</v>
      </c>
      <c r="F1286" s="19" t="s">
        <v>1470</v>
      </c>
      <c r="G1286" s="19" t="s">
        <v>1479</v>
      </c>
      <c r="H1286" s="19" t="s">
        <v>1472</v>
      </c>
      <c r="I1286" s="17" t="b">
        <v>0</v>
      </c>
      <c r="J1286" s="17" t="s">
        <v>43</v>
      </c>
      <c r="K1286" s="21" t="str">
        <f t="shared" si="28"/>
        <v>https://version2.ice-d.org/antarctica/sample/01-MBL-143-REA/</v>
      </c>
      <c r="L1286" s="113" t="s">
        <v>112</v>
      </c>
      <c r="M1286" s="113"/>
      <c r="O1286" s="28" t="s">
        <v>1490</v>
      </c>
      <c r="P1286" s="17">
        <v>-77.076800000000006</v>
      </c>
      <c r="Q1286" s="17">
        <v>-145.5873</v>
      </c>
      <c r="S1286" s="17">
        <v>685</v>
      </c>
      <c r="T1286" s="17">
        <v>140</v>
      </c>
      <c r="U1286" s="23">
        <v>500</v>
      </c>
      <c r="V1286" s="152" t="s">
        <v>2440</v>
      </c>
      <c r="W1286" s="44" t="s">
        <v>2441</v>
      </c>
      <c r="X1286" s="17">
        <f t="shared" si="30"/>
        <v>545</v>
      </c>
      <c r="Y1286" s="17">
        <v>5</v>
      </c>
      <c r="Z1286" s="17">
        <v>2.7</v>
      </c>
      <c r="AA1286" s="17" t="s">
        <v>73</v>
      </c>
      <c r="AB1286" s="56">
        <v>18342</v>
      </c>
      <c r="AC1286" s="56">
        <v>546</v>
      </c>
      <c r="AD1286" s="56">
        <v>1216</v>
      </c>
      <c r="AE1286" s="28">
        <v>188223</v>
      </c>
      <c r="AF1286" s="28">
        <v>5573</v>
      </c>
      <c r="AG1286" s="28">
        <v>1282670</v>
      </c>
      <c r="AH1286" s="28">
        <v>90306</v>
      </c>
      <c r="AI1286" s="17">
        <v>2001</v>
      </c>
      <c r="AJ1286" s="17">
        <v>1</v>
      </c>
      <c r="AK1286" s="17">
        <v>0</v>
      </c>
    </row>
    <row r="1287" spans="1:37" ht="12.75" customHeight="1">
      <c r="A1287" s="113" t="s">
        <v>1491</v>
      </c>
      <c r="B1287" s="19" t="s">
        <v>1478</v>
      </c>
      <c r="C1287" s="17">
        <v>149</v>
      </c>
      <c r="D1287" s="142" t="s">
        <v>196</v>
      </c>
      <c r="E1287" s="19">
        <v>0</v>
      </c>
      <c r="F1287" s="19" t="s">
        <v>1470</v>
      </c>
      <c r="G1287" s="19" t="s">
        <v>1479</v>
      </c>
      <c r="H1287" s="19" t="s">
        <v>1472</v>
      </c>
      <c r="I1287" s="17" t="b">
        <v>0</v>
      </c>
      <c r="J1287" s="17" t="s">
        <v>43</v>
      </c>
      <c r="K1287" s="21" t="str">
        <f t="shared" si="28"/>
        <v>https://version2.ice-d.org/antarctica/sample/01-MBL-146-REA/</v>
      </c>
      <c r="L1287" s="113" t="s">
        <v>112</v>
      </c>
      <c r="M1287" s="113"/>
      <c r="O1287" s="28" t="s">
        <v>1490</v>
      </c>
      <c r="P1287" s="22">
        <v>-77.070599999999999</v>
      </c>
      <c r="Q1287" s="22">
        <v>-145.59479999999999</v>
      </c>
      <c r="R1287" s="22"/>
      <c r="S1287" s="22">
        <v>616</v>
      </c>
      <c r="T1287" s="17">
        <v>140</v>
      </c>
      <c r="U1287" s="23">
        <v>500</v>
      </c>
      <c r="V1287" s="152" t="s">
        <v>2440</v>
      </c>
      <c r="W1287" s="44" t="s">
        <v>2441</v>
      </c>
      <c r="X1287" s="17">
        <f t="shared" si="30"/>
        <v>476</v>
      </c>
      <c r="Y1287" s="22">
        <v>5</v>
      </c>
      <c r="Z1287" s="22">
        <v>2.7</v>
      </c>
      <c r="AA1287" s="17" t="s">
        <v>73</v>
      </c>
      <c r="AB1287" s="26">
        <v>18524</v>
      </c>
      <c r="AC1287" s="26">
        <v>446</v>
      </c>
      <c r="AD1287" s="26">
        <v>1185</v>
      </c>
      <c r="AE1287" s="27">
        <v>178047</v>
      </c>
      <c r="AF1287" s="27">
        <v>4271</v>
      </c>
      <c r="AG1287" s="27">
        <v>1275260</v>
      </c>
      <c r="AH1287" s="27">
        <v>42785</v>
      </c>
      <c r="AI1287" s="17">
        <v>2001</v>
      </c>
      <c r="AJ1287" s="17">
        <v>1</v>
      </c>
      <c r="AK1287" s="17">
        <v>0</v>
      </c>
    </row>
    <row r="1288" spans="1:37" ht="12.75" customHeight="1">
      <c r="A1288" s="113" t="s">
        <v>1492</v>
      </c>
      <c r="B1288" s="19" t="s">
        <v>1478</v>
      </c>
      <c r="C1288" s="17">
        <v>149</v>
      </c>
      <c r="D1288" s="142" t="s">
        <v>196</v>
      </c>
      <c r="E1288" s="19">
        <v>0</v>
      </c>
      <c r="F1288" s="19" t="s">
        <v>1470</v>
      </c>
      <c r="G1288" s="19" t="s">
        <v>1479</v>
      </c>
      <c r="H1288" s="19" t="s">
        <v>1472</v>
      </c>
      <c r="I1288" s="17" t="b">
        <v>0</v>
      </c>
      <c r="J1288" s="17" t="s">
        <v>43</v>
      </c>
      <c r="K1288" s="21" t="str">
        <f t="shared" si="28"/>
        <v>https://version2.ice-d.org/antarctica/sample/01-MBL-151-REA/</v>
      </c>
      <c r="L1288" s="113" t="s">
        <v>112</v>
      </c>
      <c r="M1288" s="113"/>
      <c r="O1288" s="17" t="s">
        <v>1473</v>
      </c>
      <c r="P1288" s="22">
        <v>-77.067499999999995</v>
      </c>
      <c r="Q1288" s="22">
        <v>-145.5651</v>
      </c>
      <c r="R1288" s="22"/>
      <c r="S1288" s="22">
        <v>433</v>
      </c>
      <c r="T1288" s="17">
        <v>140</v>
      </c>
      <c r="U1288" s="23">
        <v>500</v>
      </c>
      <c r="V1288" s="152" t="s">
        <v>2440</v>
      </c>
      <c r="W1288" s="44" t="s">
        <v>2441</v>
      </c>
      <c r="X1288" s="17">
        <f t="shared" si="30"/>
        <v>293</v>
      </c>
      <c r="Y1288" s="22">
        <v>6</v>
      </c>
      <c r="Z1288" s="22">
        <v>2.7</v>
      </c>
      <c r="AA1288" s="17" t="s">
        <v>73</v>
      </c>
      <c r="AB1288" s="26">
        <v>3278</v>
      </c>
      <c r="AC1288" s="26">
        <v>130</v>
      </c>
      <c r="AD1288" s="26">
        <v>233</v>
      </c>
      <c r="AE1288" s="27">
        <v>26783</v>
      </c>
      <c r="AF1288" s="27">
        <v>1062</v>
      </c>
      <c r="AG1288" s="28"/>
      <c r="AH1288" s="28"/>
      <c r="AI1288" s="17">
        <v>2001</v>
      </c>
      <c r="AJ1288" s="17">
        <v>1</v>
      </c>
      <c r="AK1288" s="17">
        <v>0</v>
      </c>
    </row>
    <row r="1289" spans="1:37" ht="12.75" customHeight="1">
      <c r="A1289" s="113" t="s">
        <v>1493</v>
      </c>
      <c r="B1289" s="19" t="s">
        <v>1478</v>
      </c>
      <c r="C1289" s="17">
        <v>149</v>
      </c>
      <c r="D1289" s="142" t="s">
        <v>196</v>
      </c>
      <c r="E1289" s="19">
        <v>0</v>
      </c>
      <c r="F1289" s="19" t="s">
        <v>1470</v>
      </c>
      <c r="G1289" s="19" t="s">
        <v>1479</v>
      </c>
      <c r="H1289" s="19" t="s">
        <v>1472</v>
      </c>
      <c r="I1289" s="17" t="b">
        <v>0</v>
      </c>
      <c r="J1289" s="17" t="s">
        <v>43</v>
      </c>
      <c r="K1289" s="21" t="str">
        <f t="shared" si="28"/>
        <v>https://version2.ice-d.org/antarctica/sample/01-MBL-153-REA/</v>
      </c>
      <c r="L1289" s="113" t="s">
        <v>112</v>
      </c>
      <c r="M1289" s="113"/>
      <c r="O1289" s="17" t="s">
        <v>1473</v>
      </c>
      <c r="P1289" s="22">
        <v>-77.067099999999996</v>
      </c>
      <c r="Q1289" s="22">
        <v>-145.56209999999999</v>
      </c>
      <c r="R1289" s="22"/>
      <c r="S1289" s="22">
        <v>404</v>
      </c>
      <c r="T1289" s="17">
        <v>140</v>
      </c>
      <c r="U1289" s="23">
        <v>500</v>
      </c>
      <c r="V1289" s="152" t="s">
        <v>2440</v>
      </c>
      <c r="W1289" s="44" t="s">
        <v>2441</v>
      </c>
      <c r="X1289" s="17">
        <f t="shared" si="30"/>
        <v>264</v>
      </c>
      <c r="Y1289" s="22">
        <v>7.5</v>
      </c>
      <c r="Z1289" s="22">
        <v>2.7</v>
      </c>
      <c r="AA1289" s="17" t="s">
        <v>73</v>
      </c>
      <c r="AB1289" s="26">
        <v>2683</v>
      </c>
      <c r="AC1289" s="26">
        <v>108</v>
      </c>
      <c r="AD1289" s="26">
        <v>192</v>
      </c>
      <c r="AE1289" s="27">
        <v>21077</v>
      </c>
      <c r="AF1289" s="27">
        <v>849</v>
      </c>
      <c r="AG1289" s="28"/>
      <c r="AH1289" s="28"/>
      <c r="AI1289" s="17">
        <v>2001</v>
      </c>
      <c r="AJ1289" s="17">
        <v>1</v>
      </c>
      <c r="AK1289" s="17">
        <v>0</v>
      </c>
    </row>
    <row r="1290" spans="1:37" ht="12.75" customHeight="1">
      <c r="A1290" s="113" t="s">
        <v>1494</v>
      </c>
      <c r="B1290" s="19" t="s">
        <v>1478</v>
      </c>
      <c r="C1290" s="17">
        <v>149</v>
      </c>
      <c r="D1290" s="142" t="s">
        <v>196</v>
      </c>
      <c r="E1290" s="19">
        <v>0</v>
      </c>
      <c r="F1290" s="19" t="s">
        <v>1470</v>
      </c>
      <c r="G1290" s="19" t="s">
        <v>1479</v>
      </c>
      <c r="H1290" s="19" t="s">
        <v>1472</v>
      </c>
      <c r="I1290" s="17" t="b">
        <v>0</v>
      </c>
      <c r="J1290" s="17" t="s">
        <v>43</v>
      </c>
      <c r="K1290" s="21" t="str">
        <f t="shared" si="28"/>
        <v>https://version2.ice-d.org/antarctica/sample/01-MBL-161A-REA/</v>
      </c>
      <c r="L1290" s="113" t="s">
        <v>112</v>
      </c>
      <c r="M1290" s="113"/>
      <c r="O1290" s="17" t="s">
        <v>1473</v>
      </c>
      <c r="P1290" s="17">
        <v>-77.060299999999998</v>
      </c>
      <c r="Q1290" s="17">
        <v>-145.5701</v>
      </c>
      <c r="S1290" s="17">
        <v>172</v>
      </c>
      <c r="T1290" s="17">
        <v>140</v>
      </c>
      <c r="U1290" s="23">
        <v>500</v>
      </c>
      <c r="V1290" s="152" t="s">
        <v>2440</v>
      </c>
      <c r="W1290" s="44" t="s">
        <v>2441</v>
      </c>
      <c r="X1290" s="17">
        <f t="shared" si="30"/>
        <v>32</v>
      </c>
      <c r="Y1290" s="17">
        <v>5.5</v>
      </c>
      <c r="Z1290" s="17">
        <v>2.7</v>
      </c>
      <c r="AA1290" s="17" t="s">
        <v>73</v>
      </c>
      <c r="AB1290" s="56">
        <v>2670</v>
      </c>
      <c r="AC1290" s="56">
        <v>139</v>
      </c>
      <c r="AD1290" s="56">
        <v>210</v>
      </c>
      <c r="AE1290" s="28">
        <v>16902</v>
      </c>
      <c r="AF1290" s="28">
        <v>882</v>
      </c>
      <c r="AG1290" s="28"/>
      <c r="AH1290" s="28"/>
      <c r="AI1290" s="17">
        <v>2001</v>
      </c>
      <c r="AJ1290" s="17">
        <v>1</v>
      </c>
      <c r="AK1290" s="17">
        <v>0</v>
      </c>
    </row>
    <row r="1291" spans="1:37" ht="12.75" customHeight="1">
      <c r="A1291" s="113" t="s">
        <v>1495</v>
      </c>
      <c r="B1291" s="19" t="s">
        <v>1478</v>
      </c>
      <c r="C1291" s="17">
        <v>149</v>
      </c>
      <c r="D1291" s="142" t="s">
        <v>196</v>
      </c>
      <c r="E1291" s="19">
        <v>0</v>
      </c>
      <c r="F1291" s="19" t="s">
        <v>1470</v>
      </c>
      <c r="G1291" s="19" t="s">
        <v>1479</v>
      </c>
      <c r="H1291" s="19" t="s">
        <v>1472</v>
      </c>
      <c r="I1291" s="17" t="b">
        <v>0</v>
      </c>
      <c r="J1291" s="17" t="s">
        <v>43</v>
      </c>
      <c r="K1291" s="21" t="str">
        <f t="shared" si="28"/>
        <v>https://version2.ice-d.org/antarctica/sample/01-MBL-163-REA/</v>
      </c>
      <c r="L1291" s="113" t="s">
        <v>112</v>
      </c>
      <c r="M1291" s="113"/>
      <c r="O1291" s="17" t="s">
        <v>1473</v>
      </c>
      <c r="P1291" s="17">
        <v>-77.060500000000005</v>
      </c>
      <c r="Q1291" s="17">
        <v>-145.5685</v>
      </c>
      <c r="S1291" s="17">
        <v>162</v>
      </c>
      <c r="T1291" s="17">
        <v>140</v>
      </c>
      <c r="U1291" s="23">
        <v>500</v>
      </c>
      <c r="V1291" s="152" t="s">
        <v>2440</v>
      </c>
      <c r="W1291" s="44" t="s">
        <v>2441</v>
      </c>
      <c r="X1291" s="17">
        <f t="shared" si="30"/>
        <v>22</v>
      </c>
      <c r="Y1291" s="17">
        <v>8</v>
      </c>
      <c r="Z1291" s="17">
        <v>2.7</v>
      </c>
      <c r="AA1291" s="17" t="s">
        <v>73</v>
      </c>
      <c r="AB1291" s="56">
        <v>2428</v>
      </c>
      <c r="AC1291" s="56">
        <v>141</v>
      </c>
      <c r="AD1291" s="56">
        <v>201</v>
      </c>
      <c r="AE1291" s="28">
        <v>15009</v>
      </c>
      <c r="AF1291" s="28">
        <v>870</v>
      </c>
      <c r="AG1291" s="28"/>
      <c r="AH1291" s="28"/>
      <c r="AI1291" s="17">
        <v>2001</v>
      </c>
      <c r="AJ1291" s="17">
        <v>1</v>
      </c>
      <c r="AK1291" s="17">
        <v>0</v>
      </c>
    </row>
    <row r="1292" spans="1:37" ht="12.75" customHeight="1">
      <c r="A1292" s="113" t="s">
        <v>1496</v>
      </c>
      <c r="B1292" s="19" t="s">
        <v>1497</v>
      </c>
      <c r="C1292" s="17">
        <v>149</v>
      </c>
      <c r="D1292" s="142" t="s">
        <v>196</v>
      </c>
      <c r="E1292" s="19">
        <v>0</v>
      </c>
      <c r="F1292" s="19" t="s">
        <v>1470</v>
      </c>
      <c r="G1292" s="19" t="s">
        <v>1479</v>
      </c>
      <c r="H1292" s="19" t="s">
        <v>1472</v>
      </c>
      <c r="I1292" s="17" t="b">
        <v>0</v>
      </c>
      <c r="J1292" s="17" t="s">
        <v>43</v>
      </c>
      <c r="K1292" s="21" t="str">
        <f t="shared" si="28"/>
        <v>https://version2.ice-d.org/antarctica/sample/99-MBL-056-BBD/</v>
      </c>
      <c r="L1292" s="113" t="s">
        <v>112</v>
      </c>
      <c r="M1292" s="113"/>
      <c r="O1292" s="17" t="s">
        <v>1473</v>
      </c>
      <c r="P1292" s="22">
        <v>-77.072199999999995</v>
      </c>
      <c r="Q1292" s="22">
        <v>-145.68780000000001</v>
      </c>
      <c r="R1292" s="22"/>
      <c r="S1292" s="22">
        <v>715</v>
      </c>
      <c r="T1292" s="17">
        <v>140</v>
      </c>
      <c r="U1292" s="23">
        <v>934</v>
      </c>
      <c r="V1292" s="152" t="s">
        <v>2464</v>
      </c>
      <c r="W1292" s="44" t="s">
        <v>2463</v>
      </c>
      <c r="X1292" s="17">
        <f t="shared" si="30"/>
        <v>575</v>
      </c>
      <c r="Y1292" s="22">
        <v>3.5</v>
      </c>
      <c r="Z1292" s="22">
        <v>2.7</v>
      </c>
      <c r="AA1292" s="17" t="s">
        <v>73</v>
      </c>
      <c r="AB1292" s="26">
        <v>10208</v>
      </c>
      <c r="AC1292" s="26">
        <v>276</v>
      </c>
      <c r="AD1292" s="26">
        <v>664</v>
      </c>
      <c r="AE1292" s="27">
        <v>109788</v>
      </c>
      <c r="AF1292" s="27">
        <v>2963</v>
      </c>
      <c r="AG1292" s="28"/>
      <c r="AH1292" s="28"/>
      <c r="AI1292" s="17">
        <v>1999</v>
      </c>
      <c r="AJ1292" s="17">
        <v>1</v>
      </c>
      <c r="AK1292" s="17">
        <v>0</v>
      </c>
    </row>
    <row r="1293" spans="1:37" ht="12.75" customHeight="1">
      <c r="A1293" s="113" t="s">
        <v>1498</v>
      </c>
      <c r="B1293" s="19" t="s">
        <v>1478</v>
      </c>
      <c r="C1293" s="17">
        <v>149</v>
      </c>
      <c r="D1293" s="142" t="s">
        <v>196</v>
      </c>
      <c r="E1293" s="19">
        <v>0</v>
      </c>
      <c r="F1293" s="19" t="s">
        <v>1470</v>
      </c>
      <c r="G1293" s="19" t="s">
        <v>1479</v>
      </c>
      <c r="H1293" s="19" t="s">
        <v>1472</v>
      </c>
      <c r="I1293" s="17" t="b">
        <v>0</v>
      </c>
      <c r="J1293" s="17" t="s">
        <v>43</v>
      </c>
      <c r="K1293" s="21" t="str">
        <f t="shared" si="28"/>
        <v>https://version2.ice-d.org/antarctica/sample/99-MBL-061-REA/</v>
      </c>
      <c r="L1293" s="113" t="s">
        <v>112</v>
      </c>
      <c r="M1293" s="113"/>
      <c r="O1293" s="17" t="s">
        <v>1473</v>
      </c>
      <c r="P1293" s="22">
        <v>-77.067800000000005</v>
      </c>
      <c r="Q1293" s="22">
        <v>-145.5745</v>
      </c>
      <c r="R1293" s="22"/>
      <c r="S1293" s="22">
        <v>489</v>
      </c>
      <c r="T1293" s="17">
        <v>140</v>
      </c>
      <c r="U1293" s="23">
        <v>500</v>
      </c>
      <c r="V1293" s="152" t="s">
        <v>2440</v>
      </c>
      <c r="W1293" s="44" t="s">
        <v>2441</v>
      </c>
      <c r="X1293" s="17">
        <f t="shared" si="30"/>
        <v>349</v>
      </c>
      <c r="Y1293" s="22">
        <v>7</v>
      </c>
      <c r="Z1293" s="22">
        <v>2.7</v>
      </c>
      <c r="AA1293" s="17" t="s">
        <v>73</v>
      </c>
      <c r="AB1293" s="26">
        <v>3266</v>
      </c>
      <c r="AC1293" s="26">
        <v>211</v>
      </c>
      <c r="AD1293" s="26">
        <v>286</v>
      </c>
      <c r="AE1293" s="27">
        <v>27937</v>
      </c>
      <c r="AF1293" s="27">
        <v>1803</v>
      </c>
      <c r="AG1293" s="28"/>
      <c r="AH1293" s="28"/>
      <c r="AI1293" s="17">
        <v>1999</v>
      </c>
      <c r="AJ1293" s="17">
        <v>1</v>
      </c>
      <c r="AK1293" s="17">
        <v>0</v>
      </c>
    </row>
    <row r="1294" spans="1:37" ht="12.75" customHeight="1">
      <c r="A1294" s="113" t="s">
        <v>1499</v>
      </c>
      <c r="B1294" s="19" t="s">
        <v>1478</v>
      </c>
      <c r="C1294" s="17">
        <v>149</v>
      </c>
      <c r="D1294" s="142" t="s">
        <v>196</v>
      </c>
      <c r="E1294" s="19">
        <v>0</v>
      </c>
      <c r="F1294" s="19" t="s">
        <v>1470</v>
      </c>
      <c r="G1294" s="19" t="s">
        <v>1479</v>
      </c>
      <c r="H1294" s="19" t="s">
        <v>1472</v>
      </c>
      <c r="I1294" s="17" t="b">
        <v>0</v>
      </c>
      <c r="J1294" s="17" t="s">
        <v>43</v>
      </c>
      <c r="K1294" s="21" t="str">
        <f t="shared" si="28"/>
        <v>https://version2.ice-d.org/antarctica/sample/99-MBL-062-REA/</v>
      </c>
      <c r="L1294" s="113" t="s">
        <v>112</v>
      </c>
      <c r="M1294" s="113"/>
      <c r="O1294" s="17" t="s">
        <v>1473</v>
      </c>
      <c r="P1294" s="22">
        <v>-77.067800000000005</v>
      </c>
      <c r="Q1294" s="22">
        <v>-145.5745</v>
      </c>
      <c r="R1294" s="22"/>
      <c r="S1294" s="22">
        <v>489</v>
      </c>
      <c r="T1294" s="17">
        <v>140</v>
      </c>
      <c r="U1294" s="23">
        <v>500</v>
      </c>
      <c r="V1294" s="152" t="s">
        <v>2440</v>
      </c>
      <c r="W1294" s="44" t="s">
        <v>2441</v>
      </c>
      <c r="X1294" s="17">
        <f t="shared" si="30"/>
        <v>349</v>
      </c>
      <c r="Y1294" s="22">
        <v>3.5</v>
      </c>
      <c r="Z1294" s="22">
        <v>2.7</v>
      </c>
      <c r="AA1294" s="17" t="s">
        <v>73</v>
      </c>
      <c r="AB1294" s="26">
        <v>3326</v>
      </c>
      <c r="AC1294" s="26">
        <v>110</v>
      </c>
      <c r="AD1294" s="26">
        <v>225</v>
      </c>
      <c r="AE1294" s="27">
        <v>29278</v>
      </c>
      <c r="AF1294" s="27">
        <v>968</v>
      </c>
      <c r="AG1294" s="28"/>
      <c r="AH1294" s="28"/>
      <c r="AI1294" s="17">
        <v>1999</v>
      </c>
      <c r="AJ1294" s="17">
        <v>1</v>
      </c>
      <c r="AK1294" s="17">
        <v>0</v>
      </c>
    </row>
    <row r="1295" spans="1:37" ht="12.75" customHeight="1">
      <c r="A1295" s="113" t="s">
        <v>1500</v>
      </c>
      <c r="B1295" s="19" t="s">
        <v>1478</v>
      </c>
      <c r="C1295" s="17">
        <v>149</v>
      </c>
      <c r="D1295" s="142" t="s">
        <v>196</v>
      </c>
      <c r="E1295" s="19">
        <v>0</v>
      </c>
      <c r="F1295" s="19" t="s">
        <v>1470</v>
      </c>
      <c r="G1295" s="19" t="s">
        <v>1479</v>
      </c>
      <c r="H1295" s="19" t="s">
        <v>1472</v>
      </c>
      <c r="I1295" s="17" t="b">
        <v>0</v>
      </c>
      <c r="J1295" s="17" t="s">
        <v>43</v>
      </c>
      <c r="K1295" s="21" t="str">
        <f t="shared" si="28"/>
        <v>https://version2.ice-d.org/antarctica/sample/99-MBL-066-REA/</v>
      </c>
      <c r="L1295" s="113" t="s">
        <v>112</v>
      </c>
      <c r="M1295" s="113"/>
      <c r="O1295" s="17" t="s">
        <v>1473</v>
      </c>
      <c r="P1295" s="22">
        <v>-77.068100000000001</v>
      </c>
      <c r="Q1295" s="22">
        <v>-145.54839999999999</v>
      </c>
      <c r="R1295" s="22"/>
      <c r="S1295" s="22">
        <v>287</v>
      </c>
      <c r="T1295" s="17">
        <v>140</v>
      </c>
      <c r="U1295" s="23">
        <v>500</v>
      </c>
      <c r="V1295" s="152" t="s">
        <v>2440</v>
      </c>
      <c r="W1295" s="44" t="s">
        <v>2441</v>
      </c>
      <c r="X1295" s="17">
        <f t="shared" si="30"/>
        <v>147</v>
      </c>
      <c r="Y1295" s="22">
        <v>6.5</v>
      </c>
      <c r="Z1295" s="22">
        <v>2.7</v>
      </c>
      <c r="AA1295" s="17" t="s">
        <v>73</v>
      </c>
      <c r="AB1295" s="26">
        <v>2670</v>
      </c>
      <c r="AC1295" s="26">
        <v>89</v>
      </c>
      <c r="AD1295" s="26">
        <v>181</v>
      </c>
      <c r="AE1295" s="27">
        <v>18759</v>
      </c>
      <c r="AF1295" s="27">
        <v>628</v>
      </c>
      <c r="AG1295" s="28"/>
      <c r="AH1295" s="28"/>
      <c r="AI1295" s="17">
        <v>1999</v>
      </c>
      <c r="AJ1295" s="17">
        <v>1</v>
      </c>
      <c r="AK1295" s="17">
        <v>0</v>
      </c>
    </row>
    <row r="1296" spans="1:37" ht="12.75" customHeight="1">
      <c r="A1296" s="113" t="s">
        <v>1501</v>
      </c>
      <c r="B1296" s="19" t="s">
        <v>1502</v>
      </c>
      <c r="C1296" s="17">
        <v>150</v>
      </c>
      <c r="D1296" s="142" t="s">
        <v>196</v>
      </c>
      <c r="E1296" s="19">
        <v>0</v>
      </c>
      <c r="F1296" s="19" t="s">
        <v>1470</v>
      </c>
      <c r="G1296" s="19" t="s">
        <v>1479</v>
      </c>
      <c r="H1296" s="19" t="s">
        <v>1472</v>
      </c>
      <c r="I1296" s="17" t="b">
        <v>0</v>
      </c>
      <c r="J1296" s="17" t="s">
        <v>43</v>
      </c>
      <c r="K1296" s="21" t="str">
        <f t="shared" si="28"/>
        <v>https://version2.ice-d.org/antarctica/sample/99-MBL-069-BLD/</v>
      </c>
      <c r="L1296" s="113" t="s">
        <v>112</v>
      </c>
      <c r="M1296" s="113"/>
      <c r="O1296" s="17" t="s">
        <v>1473</v>
      </c>
      <c r="P1296" s="22">
        <v>-77.162199999999999</v>
      </c>
      <c r="Q1296" s="22">
        <v>-145.3366</v>
      </c>
      <c r="R1296" s="22"/>
      <c r="S1296" s="22">
        <v>632</v>
      </c>
      <c r="T1296" s="17">
        <v>270</v>
      </c>
      <c r="U1296" s="23">
        <v>500</v>
      </c>
      <c r="V1296" s="152" t="s">
        <v>2440</v>
      </c>
      <c r="W1296" s="44" t="s">
        <v>2441</v>
      </c>
      <c r="X1296" s="17">
        <f t="shared" si="30"/>
        <v>362</v>
      </c>
      <c r="Y1296" s="22">
        <v>6</v>
      </c>
      <c r="Z1296" s="22">
        <v>2.7</v>
      </c>
      <c r="AA1296" s="17" t="s">
        <v>73</v>
      </c>
      <c r="AB1296" s="26">
        <v>7236</v>
      </c>
      <c r="AC1296" s="26">
        <v>223</v>
      </c>
      <c r="AD1296" s="26">
        <v>482</v>
      </c>
      <c r="AE1296" s="27">
        <v>70406</v>
      </c>
      <c r="AF1296" s="27">
        <v>2165</v>
      </c>
      <c r="AG1296" s="28"/>
      <c r="AH1296" s="28"/>
      <c r="AI1296" s="17">
        <v>1999</v>
      </c>
      <c r="AJ1296" s="17">
        <v>1</v>
      </c>
      <c r="AK1296" s="17">
        <v>0</v>
      </c>
    </row>
    <row r="1297" spans="1:38" ht="12.75" customHeight="1">
      <c r="A1297" s="113" t="s">
        <v>1503</v>
      </c>
      <c r="B1297" s="19" t="s">
        <v>1502</v>
      </c>
      <c r="C1297" s="17">
        <v>150</v>
      </c>
      <c r="D1297" s="142" t="s">
        <v>196</v>
      </c>
      <c r="E1297" s="19">
        <v>0</v>
      </c>
      <c r="F1297" s="19" t="s">
        <v>1470</v>
      </c>
      <c r="G1297" s="19" t="s">
        <v>1479</v>
      </c>
      <c r="H1297" s="19" t="s">
        <v>1472</v>
      </c>
      <c r="I1297" s="17" t="b">
        <v>0</v>
      </c>
      <c r="J1297" s="17" t="s">
        <v>43</v>
      </c>
      <c r="K1297" s="21" t="str">
        <f t="shared" si="28"/>
        <v>https://version2.ice-d.org/antarctica/sample/99-MBL-073-BLD/</v>
      </c>
      <c r="L1297" s="113" t="s">
        <v>112</v>
      </c>
      <c r="M1297" s="113"/>
      <c r="O1297" s="17" t="s">
        <v>1473</v>
      </c>
      <c r="P1297" s="22">
        <v>-77.161500000000004</v>
      </c>
      <c r="Q1297" s="22">
        <v>-145.3159</v>
      </c>
      <c r="R1297" s="22"/>
      <c r="S1297" s="22">
        <v>506</v>
      </c>
      <c r="T1297" s="17">
        <v>270</v>
      </c>
      <c r="U1297" s="23">
        <v>500</v>
      </c>
      <c r="V1297" s="152" t="s">
        <v>2440</v>
      </c>
      <c r="W1297" s="44" t="s">
        <v>2441</v>
      </c>
      <c r="X1297" s="17">
        <f t="shared" si="30"/>
        <v>236</v>
      </c>
      <c r="Y1297" s="22">
        <v>5.5</v>
      </c>
      <c r="Z1297" s="22">
        <v>2.7</v>
      </c>
      <c r="AA1297" s="17" t="s">
        <v>73</v>
      </c>
      <c r="AB1297" s="26">
        <v>3605</v>
      </c>
      <c r="AC1297" s="26">
        <v>146</v>
      </c>
      <c r="AD1297" s="26">
        <v>258</v>
      </c>
      <c r="AE1297" s="27">
        <v>31324</v>
      </c>
      <c r="AF1297" s="27">
        <v>1266</v>
      </c>
      <c r="AG1297" s="28"/>
      <c r="AH1297" s="28"/>
      <c r="AI1297" s="17">
        <v>1999</v>
      </c>
      <c r="AJ1297" s="17">
        <v>1</v>
      </c>
      <c r="AK1297" s="17">
        <v>0</v>
      </c>
    </row>
    <row r="1298" spans="1:38" ht="12.75" customHeight="1">
      <c r="A1298" s="113" t="s">
        <v>1504</v>
      </c>
      <c r="B1298" s="19" t="s">
        <v>1502</v>
      </c>
      <c r="C1298" s="17">
        <v>150</v>
      </c>
      <c r="D1298" s="142" t="s">
        <v>196</v>
      </c>
      <c r="E1298" s="19">
        <v>0</v>
      </c>
      <c r="F1298" s="19" t="s">
        <v>1470</v>
      </c>
      <c r="G1298" s="19" t="s">
        <v>1479</v>
      </c>
      <c r="H1298" s="19" t="s">
        <v>1472</v>
      </c>
      <c r="I1298" s="17" t="b">
        <v>0</v>
      </c>
      <c r="J1298" s="17" t="s">
        <v>43</v>
      </c>
      <c r="K1298" s="21" t="str">
        <f t="shared" si="28"/>
        <v>https://version2.ice-d.org/antarctica/sample/99-MBL-076-BLD/</v>
      </c>
      <c r="L1298" s="113" t="s">
        <v>112</v>
      </c>
      <c r="M1298" s="113"/>
      <c r="O1298" s="17" t="s">
        <v>1473</v>
      </c>
      <c r="P1298" s="22">
        <v>-77.162999999999997</v>
      </c>
      <c r="Q1298" s="22">
        <v>-145.3081</v>
      </c>
      <c r="R1298" s="22"/>
      <c r="S1298" s="22">
        <v>482</v>
      </c>
      <c r="T1298" s="17">
        <v>270</v>
      </c>
      <c r="U1298" s="23">
        <v>500</v>
      </c>
      <c r="V1298" s="152" t="s">
        <v>2440</v>
      </c>
      <c r="W1298" s="44" t="s">
        <v>2441</v>
      </c>
      <c r="X1298" s="17">
        <f t="shared" si="30"/>
        <v>212</v>
      </c>
      <c r="Y1298" s="22">
        <v>6</v>
      </c>
      <c r="Z1298" s="22">
        <v>2.7</v>
      </c>
      <c r="AA1298" s="17" t="s">
        <v>73</v>
      </c>
      <c r="AB1298" s="26">
        <v>3208</v>
      </c>
      <c r="AC1298" s="26">
        <v>345</v>
      </c>
      <c r="AD1298" s="26">
        <v>393</v>
      </c>
      <c r="AE1298" s="27">
        <v>27148</v>
      </c>
      <c r="AF1298" s="27">
        <v>2916</v>
      </c>
      <c r="AG1298" s="28"/>
      <c r="AH1298" s="28"/>
      <c r="AI1298" s="17">
        <v>1999</v>
      </c>
      <c r="AJ1298" s="17">
        <v>1</v>
      </c>
      <c r="AK1298" s="17">
        <v>0</v>
      </c>
    </row>
    <row r="1299" spans="1:38" ht="12.75" customHeight="1">
      <c r="A1299" s="113" t="s">
        <v>1505</v>
      </c>
      <c r="B1299" s="19" t="s">
        <v>1506</v>
      </c>
      <c r="C1299" s="17">
        <v>151</v>
      </c>
      <c r="D1299" s="142" t="s">
        <v>196</v>
      </c>
      <c r="E1299" s="19">
        <v>0</v>
      </c>
      <c r="F1299" s="19" t="s">
        <v>1470</v>
      </c>
      <c r="G1299" s="19" t="s">
        <v>1479</v>
      </c>
      <c r="H1299" s="19" t="s">
        <v>1472</v>
      </c>
      <c r="I1299" s="17" t="b">
        <v>0</v>
      </c>
      <c r="J1299" s="17" t="s">
        <v>43</v>
      </c>
      <c r="K1299" s="21" t="str">
        <f t="shared" si="28"/>
        <v>https://version2.ice-d.org/antarctica/sample/01-MBL-157-3-GAP/</v>
      </c>
      <c r="L1299" s="113" t="s">
        <v>112</v>
      </c>
      <c r="M1299" s="113"/>
      <c r="O1299" s="17" t="s">
        <v>1473</v>
      </c>
      <c r="P1299" s="17">
        <v>-77.081199999999995</v>
      </c>
      <c r="Q1299" s="17">
        <v>-145.54400000000001</v>
      </c>
      <c r="S1299" s="17">
        <v>226</v>
      </c>
      <c r="T1299" s="17">
        <v>140</v>
      </c>
      <c r="U1299" s="23">
        <v>500</v>
      </c>
      <c r="V1299" s="152" t="s">
        <v>2440</v>
      </c>
      <c r="W1299" s="44" t="s">
        <v>2441</v>
      </c>
      <c r="X1299" s="17">
        <f t="shared" si="30"/>
        <v>86</v>
      </c>
      <c r="Y1299" s="17">
        <v>6.5</v>
      </c>
      <c r="Z1299" s="17">
        <v>2.7</v>
      </c>
      <c r="AA1299" s="17" t="s">
        <v>73</v>
      </c>
      <c r="AB1299" s="56">
        <v>332</v>
      </c>
      <c r="AC1299" s="56">
        <v>89</v>
      </c>
      <c r="AD1299" s="56">
        <v>91</v>
      </c>
      <c r="AE1299" s="28">
        <v>2143</v>
      </c>
      <c r="AF1299" s="28">
        <v>573</v>
      </c>
      <c r="AG1299" s="28"/>
      <c r="AH1299" s="28"/>
      <c r="AI1299" s="17">
        <v>2001</v>
      </c>
      <c r="AJ1299" s="17">
        <v>1</v>
      </c>
      <c r="AK1299" s="17">
        <v>0</v>
      </c>
    </row>
    <row r="1300" spans="1:38" ht="12.75" customHeight="1">
      <c r="A1300" s="113" t="s">
        <v>1507</v>
      </c>
      <c r="B1300" s="19" t="s">
        <v>1506</v>
      </c>
      <c r="C1300" s="17">
        <v>151</v>
      </c>
      <c r="D1300" s="142" t="s">
        <v>196</v>
      </c>
      <c r="E1300" s="19">
        <v>0</v>
      </c>
      <c r="F1300" s="19" t="s">
        <v>1470</v>
      </c>
      <c r="G1300" s="19" t="s">
        <v>1479</v>
      </c>
      <c r="H1300" s="19" t="s">
        <v>1472</v>
      </c>
      <c r="I1300" s="17" t="b">
        <v>0</v>
      </c>
      <c r="J1300" s="17" t="s">
        <v>43</v>
      </c>
      <c r="K1300" s="21" t="str">
        <f t="shared" si="28"/>
        <v>https://version2.ice-d.org/antarctica/sample/99-MBL-080-GAP/</v>
      </c>
      <c r="L1300" s="113" t="s">
        <v>112</v>
      </c>
      <c r="M1300" s="113"/>
      <c r="O1300" s="17" t="s">
        <v>1473</v>
      </c>
      <c r="P1300" s="22">
        <v>-77.084800000000001</v>
      </c>
      <c r="Q1300" s="22">
        <v>-145.5538</v>
      </c>
      <c r="R1300" s="22"/>
      <c r="S1300" s="22">
        <v>352</v>
      </c>
      <c r="T1300" s="17">
        <v>140</v>
      </c>
      <c r="U1300" s="23">
        <v>500</v>
      </c>
      <c r="V1300" s="152" t="s">
        <v>2440</v>
      </c>
      <c r="W1300" s="44" t="s">
        <v>2441</v>
      </c>
      <c r="X1300" s="17">
        <f t="shared" si="30"/>
        <v>212</v>
      </c>
      <c r="Y1300" s="22">
        <v>5.5</v>
      </c>
      <c r="Z1300" s="22">
        <v>2.7</v>
      </c>
      <c r="AA1300" s="17" t="s">
        <v>73</v>
      </c>
      <c r="AB1300" s="26">
        <v>2521</v>
      </c>
      <c r="AC1300" s="26">
        <v>192</v>
      </c>
      <c r="AD1300" s="26">
        <v>243</v>
      </c>
      <c r="AE1300" s="27">
        <v>19173</v>
      </c>
      <c r="AF1300" s="27">
        <v>1463</v>
      </c>
      <c r="AG1300" s="28"/>
      <c r="AH1300" s="28"/>
      <c r="AI1300" s="17">
        <v>1999</v>
      </c>
      <c r="AJ1300" s="17">
        <v>1</v>
      </c>
      <c r="AK1300" s="17">
        <v>0</v>
      </c>
    </row>
    <row r="1301" spans="1:38" ht="12.75" customHeight="1">
      <c r="A1301" s="113" t="s">
        <v>1508</v>
      </c>
      <c r="B1301" s="19" t="s">
        <v>1506</v>
      </c>
      <c r="C1301" s="17">
        <v>151</v>
      </c>
      <c r="D1301" s="142" t="s">
        <v>196</v>
      </c>
      <c r="E1301" s="19">
        <v>0</v>
      </c>
      <c r="F1301" s="19" t="s">
        <v>1470</v>
      </c>
      <c r="G1301" s="19" t="s">
        <v>1479</v>
      </c>
      <c r="H1301" s="19" t="s">
        <v>1472</v>
      </c>
      <c r="I1301" s="17" t="b">
        <v>0</v>
      </c>
      <c r="J1301" s="17" t="s">
        <v>43</v>
      </c>
      <c r="K1301" s="21" t="str">
        <f t="shared" si="28"/>
        <v>https://version2.ice-d.org/antarctica/sample/99-MBL-081-GAP/</v>
      </c>
      <c r="L1301" s="113" t="s">
        <v>112</v>
      </c>
      <c r="M1301" s="113"/>
      <c r="O1301" s="17" t="s">
        <v>1473</v>
      </c>
      <c r="P1301" s="22">
        <v>-77.084699999999998</v>
      </c>
      <c r="Q1301" s="22">
        <v>-145.55359999999999</v>
      </c>
      <c r="R1301" s="22"/>
      <c r="S1301" s="22">
        <v>350</v>
      </c>
      <c r="T1301" s="17">
        <v>140</v>
      </c>
      <c r="U1301" s="23">
        <v>500</v>
      </c>
      <c r="V1301" s="152" t="s">
        <v>2440</v>
      </c>
      <c r="W1301" s="44" t="s">
        <v>2441</v>
      </c>
      <c r="X1301" s="17">
        <f t="shared" si="30"/>
        <v>210</v>
      </c>
      <c r="Y1301" s="22">
        <v>5.5</v>
      </c>
      <c r="Z1301" s="22">
        <v>2.7</v>
      </c>
      <c r="AA1301" s="17" t="s">
        <v>73</v>
      </c>
      <c r="AB1301" s="26">
        <v>2439</v>
      </c>
      <c r="AC1301" s="26">
        <v>135</v>
      </c>
      <c r="AD1301" s="26">
        <v>197</v>
      </c>
      <c r="AE1301" s="27">
        <v>18538</v>
      </c>
      <c r="AF1301" s="27">
        <v>1026</v>
      </c>
      <c r="AG1301" s="28"/>
      <c r="AH1301" s="28"/>
      <c r="AI1301" s="17">
        <v>1999</v>
      </c>
      <c r="AJ1301" s="17">
        <v>1</v>
      </c>
      <c r="AK1301" s="17">
        <v>0</v>
      </c>
    </row>
    <row r="1302" spans="1:38" ht="12.75" customHeight="1">
      <c r="A1302" s="113" t="s">
        <v>1509</v>
      </c>
      <c r="B1302" s="19" t="s">
        <v>1506</v>
      </c>
      <c r="C1302" s="17">
        <v>151</v>
      </c>
      <c r="D1302" s="142" t="s">
        <v>196</v>
      </c>
      <c r="E1302" s="19">
        <v>0</v>
      </c>
      <c r="F1302" s="19" t="s">
        <v>1470</v>
      </c>
      <c r="G1302" s="19" t="s">
        <v>1479</v>
      </c>
      <c r="H1302" s="19" t="s">
        <v>1472</v>
      </c>
      <c r="I1302" s="17" t="b">
        <v>0</v>
      </c>
      <c r="J1302" s="17" t="s">
        <v>215</v>
      </c>
      <c r="K1302" s="21" t="str">
        <f t="shared" si="28"/>
        <v>https://version2.ice-d.org/antarctica/sample/99-MBL-083-3-GAP/</v>
      </c>
      <c r="L1302" s="113" t="s">
        <v>112</v>
      </c>
      <c r="M1302" s="113"/>
      <c r="O1302" s="17" t="s">
        <v>1473</v>
      </c>
      <c r="P1302" s="22">
        <v>-77.081699999999998</v>
      </c>
      <c r="Q1302" s="22">
        <v>-145.5461</v>
      </c>
      <c r="R1302" s="22"/>
      <c r="S1302" s="22">
        <v>245</v>
      </c>
      <c r="T1302" s="17">
        <v>140</v>
      </c>
      <c r="U1302" s="23">
        <v>500</v>
      </c>
      <c r="V1302" s="152" t="s">
        <v>2440</v>
      </c>
      <c r="W1302" s="44" t="s">
        <v>2441</v>
      </c>
      <c r="X1302" s="17">
        <f t="shared" si="30"/>
        <v>105</v>
      </c>
      <c r="Y1302" s="22">
        <v>4.5</v>
      </c>
      <c r="Z1302" s="22">
        <v>2.7</v>
      </c>
      <c r="AA1302" s="17" t="s">
        <v>73</v>
      </c>
      <c r="AB1302" s="26">
        <v>1887</v>
      </c>
      <c r="AC1302" s="26">
        <v>102</v>
      </c>
      <c r="AD1302" s="26">
        <v>151</v>
      </c>
      <c r="AE1302" s="27">
        <v>13089</v>
      </c>
      <c r="AF1302" s="27">
        <v>710</v>
      </c>
      <c r="AG1302" s="28"/>
      <c r="AH1302" s="28"/>
      <c r="AI1302" s="17">
        <v>1999</v>
      </c>
      <c r="AJ1302" s="17">
        <v>1</v>
      </c>
      <c r="AK1302" s="17">
        <v>0</v>
      </c>
    </row>
    <row r="1303" spans="1:38" ht="12.75" customHeight="1">
      <c r="A1303" s="113" t="s">
        <v>1510</v>
      </c>
      <c r="B1303" s="19" t="s">
        <v>1506</v>
      </c>
      <c r="C1303" s="17">
        <v>151</v>
      </c>
      <c r="D1303" s="142" t="s">
        <v>196</v>
      </c>
      <c r="E1303" s="19">
        <v>0</v>
      </c>
      <c r="F1303" s="19" t="s">
        <v>1470</v>
      </c>
      <c r="G1303" s="19" t="s">
        <v>1479</v>
      </c>
      <c r="H1303" s="19" t="s">
        <v>1472</v>
      </c>
      <c r="I1303" s="17" t="b">
        <v>0</v>
      </c>
      <c r="J1303" s="17" t="s">
        <v>43</v>
      </c>
      <c r="K1303" s="21" t="str">
        <f t="shared" si="28"/>
        <v>https://version2.ice-d.org/antarctica/sample/99-MBL-084-GAP/</v>
      </c>
      <c r="L1303" s="113" t="s">
        <v>112</v>
      </c>
      <c r="M1303" s="113"/>
      <c r="O1303" s="17" t="s">
        <v>1473</v>
      </c>
      <c r="P1303" s="22">
        <v>-77.081400000000002</v>
      </c>
      <c r="Q1303" s="22">
        <v>-145.54570000000001</v>
      </c>
      <c r="R1303" s="22"/>
      <c r="S1303" s="22">
        <v>237</v>
      </c>
      <c r="T1303" s="17">
        <v>140</v>
      </c>
      <c r="U1303" s="23">
        <v>500</v>
      </c>
      <c r="V1303" s="152" t="s">
        <v>2440</v>
      </c>
      <c r="W1303" s="44" t="s">
        <v>2441</v>
      </c>
      <c r="X1303" s="17">
        <f t="shared" si="30"/>
        <v>97</v>
      </c>
      <c r="Y1303" s="22">
        <v>7</v>
      </c>
      <c r="Z1303" s="22">
        <v>2.7</v>
      </c>
      <c r="AA1303" s="17" t="s">
        <v>73</v>
      </c>
      <c r="AB1303" s="26">
        <v>597</v>
      </c>
      <c r="AC1303" s="26">
        <v>58</v>
      </c>
      <c r="AD1303" s="26">
        <v>68</v>
      </c>
      <c r="AE1303" s="27">
        <v>4071</v>
      </c>
      <c r="AF1303" s="27">
        <v>394</v>
      </c>
      <c r="AG1303" s="28"/>
      <c r="AH1303" s="28"/>
      <c r="AI1303" s="17">
        <v>1999</v>
      </c>
      <c r="AJ1303" s="17">
        <v>1</v>
      </c>
      <c r="AK1303" s="17">
        <v>0</v>
      </c>
    </row>
    <row r="1304" spans="1:38" ht="12.75" customHeight="1">
      <c r="A1304" s="18" t="s">
        <v>1511</v>
      </c>
      <c r="B1304" s="19" t="s">
        <v>1512</v>
      </c>
      <c r="C1304" s="17">
        <v>152</v>
      </c>
      <c r="D1304" s="142" t="s">
        <v>196</v>
      </c>
      <c r="E1304" s="19">
        <v>0</v>
      </c>
      <c r="F1304" s="19" t="s">
        <v>1470</v>
      </c>
      <c r="G1304" s="19" t="s">
        <v>1471</v>
      </c>
      <c r="H1304" s="19" t="s">
        <v>1472</v>
      </c>
      <c r="I1304" s="17" t="b">
        <v>0</v>
      </c>
      <c r="J1304" s="17" t="s">
        <v>43</v>
      </c>
      <c r="K1304" s="21" t="str">
        <f t="shared" si="28"/>
        <v>https://version2.ice-d.org/antarctica/sample/01-MBL-039-SPC/</v>
      </c>
      <c r="L1304" s="18" t="s">
        <v>39</v>
      </c>
      <c r="M1304" s="183" t="s">
        <v>44</v>
      </c>
      <c r="O1304" s="17" t="s">
        <v>1473</v>
      </c>
      <c r="P1304" s="17">
        <v>-77.289500000000004</v>
      </c>
      <c r="Q1304" s="17">
        <v>-143.3391</v>
      </c>
      <c r="S1304" s="17">
        <v>751</v>
      </c>
      <c r="T1304" s="17">
        <v>690</v>
      </c>
      <c r="U1304" s="23">
        <v>500</v>
      </c>
      <c r="V1304" s="152" t="s">
        <v>2440</v>
      </c>
      <c r="W1304" s="44" t="s">
        <v>2441</v>
      </c>
      <c r="X1304" s="17">
        <f t="shared" si="30"/>
        <v>61</v>
      </c>
      <c r="Y1304" s="17">
        <v>8</v>
      </c>
      <c r="Z1304" s="17">
        <v>2.7</v>
      </c>
      <c r="AA1304" s="17" t="s">
        <v>73</v>
      </c>
      <c r="AB1304" s="56">
        <v>16382</v>
      </c>
      <c r="AC1304" s="56">
        <v>400</v>
      </c>
      <c r="AD1304" s="56">
        <v>1050</v>
      </c>
      <c r="AE1304" s="28">
        <v>174479</v>
      </c>
      <c r="AF1304" s="28">
        <v>4246</v>
      </c>
      <c r="AG1304" s="28">
        <v>492701</v>
      </c>
      <c r="AH1304" s="28">
        <v>27322</v>
      </c>
      <c r="AI1304" s="17">
        <v>2001</v>
      </c>
      <c r="AJ1304" s="17">
        <v>1</v>
      </c>
      <c r="AK1304" s="17">
        <v>1</v>
      </c>
      <c r="AL1304" s="17" t="s">
        <v>1513</v>
      </c>
    </row>
    <row r="1305" spans="1:38" ht="12.75" customHeight="1">
      <c r="A1305" s="18" t="s">
        <v>1514</v>
      </c>
      <c r="B1305" s="19" t="s">
        <v>1512</v>
      </c>
      <c r="C1305" s="17">
        <v>152</v>
      </c>
      <c r="D1305" s="142" t="s">
        <v>196</v>
      </c>
      <c r="E1305" s="19">
        <v>0</v>
      </c>
      <c r="F1305" s="19" t="s">
        <v>1470</v>
      </c>
      <c r="G1305" s="19" t="s">
        <v>1471</v>
      </c>
      <c r="H1305" s="19" t="s">
        <v>1472</v>
      </c>
      <c r="I1305" s="17" t="b">
        <v>0</v>
      </c>
      <c r="J1305" s="17" t="s">
        <v>43</v>
      </c>
      <c r="K1305" s="21" t="str">
        <f t="shared" si="28"/>
        <v>https://version2.ice-d.org/antarctica/sample/01-MBL-041-SPC/</v>
      </c>
      <c r="L1305" s="18" t="s">
        <v>39</v>
      </c>
      <c r="M1305" s="155"/>
      <c r="O1305" s="17" t="s">
        <v>1473</v>
      </c>
      <c r="P1305" s="17">
        <v>-77.290599999999998</v>
      </c>
      <c r="Q1305" s="17">
        <v>-143.34899999999999</v>
      </c>
      <c r="S1305" s="17">
        <v>694</v>
      </c>
      <c r="T1305" s="17">
        <v>690</v>
      </c>
      <c r="U1305" s="23">
        <v>500</v>
      </c>
      <c r="V1305" s="152" t="s">
        <v>2440</v>
      </c>
      <c r="W1305" s="44" t="s">
        <v>2441</v>
      </c>
      <c r="X1305" s="17">
        <f t="shared" si="30"/>
        <v>4</v>
      </c>
      <c r="Y1305" s="17">
        <v>7.5</v>
      </c>
      <c r="Z1305" s="17">
        <v>2.7</v>
      </c>
      <c r="AA1305" s="17" t="s">
        <v>73</v>
      </c>
      <c r="AB1305" s="56">
        <v>11272</v>
      </c>
      <c r="AC1305" s="56">
        <v>348</v>
      </c>
      <c r="AD1305" s="56">
        <v>752</v>
      </c>
      <c r="AE1305" s="28">
        <v>114920</v>
      </c>
      <c r="AF1305" s="28">
        <v>3534</v>
      </c>
      <c r="AG1305" s="28"/>
      <c r="AH1305" s="28"/>
      <c r="AI1305" s="17">
        <v>2001</v>
      </c>
      <c r="AJ1305" s="17">
        <v>1</v>
      </c>
      <c r="AK1305" s="17">
        <v>1</v>
      </c>
      <c r="AL1305" s="17" t="s">
        <v>1513</v>
      </c>
    </row>
    <row r="1306" spans="1:38" ht="12.75" customHeight="1">
      <c r="A1306" s="18" t="s">
        <v>1511</v>
      </c>
      <c r="B1306" s="19" t="s">
        <v>1512</v>
      </c>
      <c r="C1306" s="17">
        <v>152</v>
      </c>
      <c r="D1306" s="142" t="s">
        <v>196</v>
      </c>
      <c r="E1306" s="19">
        <v>0</v>
      </c>
      <c r="F1306" s="19" t="s">
        <v>1470</v>
      </c>
      <c r="G1306" s="19" t="s">
        <v>1471</v>
      </c>
      <c r="H1306" s="19" t="s">
        <v>1472</v>
      </c>
      <c r="I1306" s="17" t="b">
        <v>0</v>
      </c>
      <c r="J1306" s="17" t="s">
        <v>64</v>
      </c>
      <c r="K1306" s="21" t="str">
        <f t="shared" si="28"/>
        <v>https://version2.ice-d.org/antarctica/sample/01-MBL-039-SPC/</v>
      </c>
      <c r="L1306" s="18" t="s">
        <v>39</v>
      </c>
      <c r="M1306" s="155"/>
      <c r="O1306" s="17" t="s">
        <v>1473</v>
      </c>
      <c r="P1306" s="17">
        <v>-77.289500000000004</v>
      </c>
      <c r="Q1306" s="17">
        <v>-143.3391</v>
      </c>
      <c r="S1306" s="17">
        <v>751</v>
      </c>
      <c r="T1306" s="17">
        <v>690</v>
      </c>
      <c r="U1306" s="23">
        <v>500</v>
      </c>
      <c r="V1306" s="152" t="s">
        <v>2440</v>
      </c>
      <c r="W1306" s="44" t="s">
        <v>2441</v>
      </c>
      <c r="X1306" s="17">
        <f t="shared" si="30"/>
        <v>61</v>
      </c>
      <c r="Y1306" s="17">
        <v>8</v>
      </c>
      <c r="Z1306" s="17">
        <v>2.7</v>
      </c>
      <c r="AA1306" s="17" t="s">
        <v>73</v>
      </c>
      <c r="AB1306" s="56">
        <v>6528</v>
      </c>
      <c r="AC1306" s="56">
        <v>363</v>
      </c>
      <c r="AD1306" s="56">
        <v>670</v>
      </c>
      <c r="AE1306" s="28">
        <v>174479</v>
      </c>
      <c r="AF1306" s="28">
        <v>4246</v>
      </c>
      <c r="AG1306" s="28">
        <v>492701</v>
      </c>
      <c r="AH1306" s="28">
        <v>27322</v>
      </c>
      <c r="AI1306" s="17">
        <v>2001</v>
      </c>
      <c r="AJ1306" s="17">
        <v>1</v>
      </c>
      <c r="AK1306" s="17">
        <v>1</v>
      </c>
      <c r="AL1306" s="17" t="s">
        <v>1513</v>
      </c>
    </row>
    <row r="1307" spans="1:38" ht="12.75" customHeight="1">
      <c r="A1307" s="29" t="s">
        <v>1515</v>
      </c>
      <c r="B1307" s="19" t="s">
        <v>1512</v>
      </c>
      <c r="C1307" s="17">
        <v>152</v>
      </c>
      <c r="D1307" s="142" t="s">
        <v>196</v>
      </c>
      <c r="E1307" s="19">
        <v>0</v>
      </c>
      <c r="F1307" s="19" t="s">
        <v>1470</v>
      </c>
      <c r="G1307" s="19" t="s">
        <v>1471</v>
      </c>
      <c r="H1307" s="19" t="s">
        <v>1472</v>
      </c>
      <c r="I1307" s="17" t="b">
        <v>0</v>
      </c>
      <c r="J1307" s="17" t="s">
        <v>43</v>
      </c>
      <c r="K1307" s="21" t="str">
        <f t="shared" si="28"/>
        <v>https://version2.ice-d.org/antarctica/sample/01-MBL-055-DAR/</v>
      </c>
      <c r="L1307" s="29" t="s">
        <v>39</v>
      </c>
      <c r="M1307" s="184" t="s">
        <v>44</v>
      </c>
      <c r="O1307" s="17" t="s">
        <v>1473</v>
      </c>
      <c r="P1307" s="17">
        <v>-77.261099999999999</v>
      </c>
      <c r="Q1307" s="17">
        <v>-143.3389</v>
      </c>
      <c r="S1307" s="17">
        <v>1076</v>
      </c>
      <c r="T1307" s="17">
        <v>840</v>
      </c>
      <c r="U1307" s="23">
        <v>500</v>
      </c>
      <c r="V1307" s="152" t="s">
        <v>2440</v>
      </c>
      <c r="W1307" s="44" t="s">
        <v>2441</v>
      </c>
      <c r="X1307" s="17">
        <f t="shared" si="30"/>
        <v>236</v>
      </c>
      <c r="Y1307" s="17">
        <v>5</v>
      </c>
      <c r="Z1307" s="17">
        <v>2.7</v>
      </c>
      <c r="AA1307" s="17" t="s">
        <v>73</v>
      </c>
      <c r="AB1307" s="56">
        <v>9047</v>
      </c>
      <c r="AC1307" s="56">
        <v>250</v>
      </c>
      <c r="AD1307" s="56">
        <v>590</v>
      </c>
      <c r="AE1307" s="28">
        <v>133697</v>
      </c>
      <c r="AF1307" s="28">
        <v>3680</v>
      </c>
      <c r="AG1307" s="28"/>
      <c r="AH1307" s="28"/>
      <c r="AI1307" s="17">
        <v>2001</v>
      </c>
      <c r="AJ1307" s="17">
        <v>1</v>
      </c>
      <c r="AK1307" s="17">
        <v>0</v>
      </c>
    </row>
    <row r="1308" spans="1:38" ht="12.75" customHeight="1">
      <c r="A1308" s="29" t="s">
        <v>1516</v>
      </c>
      <c r="B1308" s="19" t="s">
        <v>1512</v>
      </c>
      <c r="C1308" s="17">
        <v>152</v>
      </c>
      <c r="D1308" s="142" t="s">
        <v>196</v>
      </c>
      <c r="E1308" s="19">
        <v>0</v>
      </c>
      <c r="F1308" s="19" t="s">
        <v>1470</v>
      </c>
      <c r="G1308" s="19" t="s">
        <v>1471</v>
      </c>
      <c r="H1308" s="19" t="s">
        <v>1472</v>
      </c>
      <c r="I1308" s="17" t="b">
        <v>0</v>
      </c>
      <c r="J1308" s="17" t="s">
        <v>43</v>
      </c>
      <c r="K1308" s="21" t="str">
        <f t="shared" si="28"/>
        <v>https://version2.ice-d.org/antarctica/sample/01-MBL-058-DAR/</v>
      </c>
      <c r="L1308" s="29" t="s">
        <v>39</v>
      </c>
      <c r="M1308" s="155"/>
      <c r="O1308" s="17" t="s">
        <v>1473</v>
      </c>
      <c r="P1308" s="17">
        <v>-77.262299999999996</v>
      </c>
      <c r="Q1308" s="17">
        <v>-143.33969999999999</v>
      </c>
      <c r="S1308" s="17">
        <v>1075</v>
      </c>
      <c r="T1308" s="17">
        <v>840</v>
      </c>
      <c r="U1308" s="23">
        <v>500</v>
      </c>
      <c r="V1308" s="152" t="s">
        <v>2440</v>
      </c>
      <c r="W1308" s="44" t="s">
        <v>2441</v>
      </c>
      <c r="X1308" s="17">
        <f t="shared" si="30"/>
        <v>235</v>
      </c>
      <c r="Y1308" s="17">
        <v>7</v>
      </c>
      <c r="Z1308" s="17">
        <v>2.7</v>
      </c>
      <c r="AA1308" s="17" t="s">
        <v>73</v>
      </c>
      <c r="AB1308" s="56">
        <v>8953</v>
      </c>
      <c r="AC1308" s="56">
        <v>256</v>
      </c>
      <c r="AD1308" s="56">
        <v>588</v>
      </c>
      <c r="AE1308" s="28">
        <v>130143</v>
      </c>
      <c r="AF1308" s="28">
        <v>3714</v>
      </c>
      <c r="AG1308" s="28"/>
      <c r="AH1308" s="28"/>
      <c r="AI1308" s="17">
        <v>2001</v>
      </c>
      <c r="AJ1308" s="17">
        <v>1</v>
      </c>
      <c r="AK1308" s="17">
        <v>0</v>
      </c>
    </row>
    <row r="1309" spans="1:38" ht="12.75" customHeight="1">
      <c r="A1309" s="29" t="s">
        <v>1517</v>
      </c>
      <c r="B1309" s="19" t="s">
        <v>1512</v>
      </c>
      <c r="C1309" s="17">
        <v>152</v>
      </c>
      <c r="D1309" s="142" t="s">
        <v>196</v>
      </c>
      <c r="E1309" s="19">
        <v>0</v>
      </c>
      <c r="F1309" s="19" t="s">
        <v>1470</v>
      </c>
      <c r="G1309" s="19" t="s">
        <v>1471</v>
      </c>
      <c r="H1309" s="19" t="s">
        <v>1472</v>
      </c>
      <c r="I1309" s="17" t="b">
        <v>0</v>
      </c>
      <c r="J1309" s="17" t="s">
        <v>43</v>
      </c>
      <c r="K1309" s="21" t="str">
        <f t="shared" si="28"/>
        <v>https://version2.ice-d.org/antarctica/sample/01-MBL-064-DAR/</v>
      </c>
      <c r="L1309" s="29" t="s">
        <v>39</v>
      </c>
      <c r="M1309" s="155"/>
      <c r="O1309" s="17" t="s">
        <v>1473</v>
      </c>
      <c r="P1309" s="17">
        <v>-77.265000000000001</v>
      </c>
      <c r="Q1309" s="17">
        <v>-143.32830000000001</v>
      </c>
      <c r="S1309" s="17">
        <v>988</v>
      </c>
      <c r="T1309" s="17">
        <v>840</v>
      </c>
      <c r="U1309" s="23">
        <v>500</v>
      </c>
      <c r="V1309" s="152" t="s">
        <v>2440</v>
      </c>
      <c r="W1309" s="44" t="s">
        <v>2441</v>
      </c>
      <c r="X1309" s="17">
        <f t="shared" si="30"/>
        <v>148</v>
      </c>
      <c r="Y1309" s="17">
        <v>6</v>
      </c>
      <c r="Z1309" s="17">
        <v>2.7</v>
      </c>
      <c r="AA1309" s="17" t="s">
        <v>73</v>
      </c>
      <c r="AB1309" s="56">
        <v>6773</v>
      </c>
      <c r="AC1309" s="56">
        <v>166</v>
      </c>
      <c r="AD1309" s="56">
        <v>433</v>
      </c>
      <c r="AE1309" s="28">
        <v>91122</v>
      </c>
      <c r="AF1309" s="28">
        <v>2224</v>
      </c>
      <c r="AG1309" s="28"/>
      <c r="AH1309" s="28"/>
      <c r="AI1309" s="17">
        <v>2001</v>
      </c>
      <c r="AJ1309" s="17">
        <v>1</v>
      </c>
      <c r="AK1309" s="17">
        <v>0</v>
      </c>
    </row>
    <row r="1310" spans="1:38" ht="12.75" customHeight="1">
      <c r="A1310" s="29" t="s">
        <v>1518</v>
      </c>
      <c r="B1310" s="19" t="s">
        <v>1512</v>
      </c>
      <c r="C1310" s="17">
        <v>152</v>
      </c>
      <c r="D1310" s="142" t="s">
        <v>196</v>
      </c>
      <c r="E1310" s="19">
        <v>0</v>
      </c>
      <c r="F1310" s="19" t="s">
        <v>1470</v>
      </c>
      <c r="G1310" s="19" t="s">
        <v>1471</v>
      </c>
      <c r="H1310" s="19" t="s">
        <v>1472</v>
      </c>
      <c r="I1310" s="17" t="b">
        <v>0</v>
      </c>
      <c r="J1310" s="17" t="s">
        <v>43</v>
      </c>
      <c r="K1310" s="21" t="str">
        <f t="shared" si="28"/>
        <v>https://version2.ice-d.org/antarctica/sample/01-MBL-070-DAR/</v>
      </c>
      <c r="L1310" s="29" t="s">
        <v>39</v>
      </c>
      <c r="M1310" s="155"/>
      <c r="O1310" s="17" t="s">
        <v>1473</v>
      </c>
      <c r="P1310" s="17">
        <v>-77.267899999999997</v>
      </c>
      <c r="Q1310" s="17">
        <v>-143.32310000000001</v>
      </c>
      <c r="S1310" s="17">
        <v>884</v>
      </c>
      <c r="T1310" s="17">
        <v>840</v>
      </c>
      <c r="U1310" s="23">
        <v>500</v>
      </c>
      <c r="V1310" s="152" t="s">
        <v>2440</v>
      </c>
      <c r="W1310" s="44" t="s">
        <v>2441</v>
      </c>
      <c r="X1310" s="17">
        <f t="shared" si="30"/>
        <v>44</v>
      </c>
      <c r="Y1310" s="17">
        <v>5.5</v>
      </c>
      <c r="Z1310" s="17">
        <v>2.7</v>
      </c>
      <c r="AA1310" s="17" t="s">
        <v>73</v>
      </c>
      <c r="AB1310" s="56">
        <v>4509</v>
      </c>
      <c r="AC1310" s="56">
        <v>121</v>
      </c>
      <c r="AD1310" s="56">
        <v>292</v>
      </c>
      <c r="AE1310" s="28">
        <v>55385</v>
      </c>
      <c r="AF1310" s="28">
        <v>1483</v>
      </c>
      <c r="AG1310" s="28"/>
      <c r="AH1310" s="28"/>
      <c r="AI1310" s="17">
        <v>2001</v>
      </c>
      <c r="AJ1310" s="17">
        <v>1</v>
      </c>
      <c r="AK1310" s="17">
        <v>0</v>
      </c>
    </row>
    <row r="1311" spans="1:38" ht="12.75" customHeight="1">
      <c r="A1311" s="29" t="s">
        <v>1519</v>
      </c>
      <c r="B1311" s="19" t="s">
        <v>1512</v>
      </c>
      <c r="C1311" s="17">
        <v>152</v>
      </c>
      <c r="D1311" s="142" t="s">
        <v>196</v>
      </c>
      <c r="E1311" s="19">
        <v>0</v>
      </c>
      <c r="F1311" s="19" t="s">
        <v>1470</v>
      </c>
      <c r="G1311" s="19" t="s">
        <v>1471</v>
      </c>
      <c r="H1311" s="19" t="s">
        <v>1472</v>
      </c>
      <c r="I1311" s="17" t="b">
        <v>0</v>
      </c>
      <c r="J1311" s="17" t="s">
        <v>43</v>
      </c>
      <c r="K1311" s="21" t="str">
        <f t="shared" si="28"/>
        <v>https://version2.ice-d.org/antarctica/sample/01-MBL-073-DAR/</v>
      </c>
      <c r="L1311" s="29" t="s">
        <v>39</v>
      </c>
      <c r="M1311" s="155"/>
      <c r="O1311" s="17" t="s">
        <v>1473</v>
      </c>
      <c r="P1311" s="17">
        <v>-77.268900000000002</v>
      </c>
      <c r="Q1311" s="17">
        <v>-143.32249999999999</v>
      </c>
      <c r="S1311" s="17">
        <v>849</v>
      </c>
      <c r="T1311" s="17">
        <v>840</v>
      </c>
      <c r="U1311" s="23">
        <v>500</v>
      </c>
      <c r="V1311" s="152" t="s">
        <v>2440</v>
      </c>
      <c r="W1311" s="44" t="s">
        <v>2441</v>
      </c>
      <c r="X1311" s="17">
        <f t="shared" si="30"/>
        <v>9</v>
      </c>
      <c r="Y1311" s="17">
        <v>4</v>
      </c>
      <c r="Z1311" s="17">
        <v>2.7</v>
      </c>
      <c r="AA1311" s="17" t="s">
        <v>73</v>
      </c>
      <c r="AB1311" s="56">
        <v>3755</v>
      </c>
      <c r="AC1311" s="56">
        <v>103</v>
      </c>
      <c r="AD1311" s="56">
        <v>245</v>
      </c>
      <c r="AE1311" s="28">
        <v>45297</v>
      </c>
      <c r="AF1311" s="28">
        <v>1247</v>
      </c>
      <c r="AG1311" s="28"/>
      <c r="AH1311" s="28"/>
      <c r="AI1311" s="17">
        <v>2001</v>
      </c>
      <c r="AJ1311" s="17">
        <v>1</v>
      </c>
      <c r="AK1311" s="17">
        <v>0</v>
      </c>
    </row>
    <row r="1312" spans="1:38" ht="15.75" customHeight="1">
      <c r="A1312" s="30" t="s">
        <v>1520</v>
      </c>
      <c r="B1312" s="19" t="s">
        <v>1521</v>
      </c>
      <c r="C1312" s="17">
        <v>153</v>
      </c>
      <c r="D1312" s="142" t="s">
        <v>196</v>
      </c>
      <c r="E1312" s="19">
        <v>0</v>
      </c>
      <c r="F1312" s="19" t="s">
        <v>1522</v>
      </c>
      <c r="G1312" s="19" t="s">
        <v>1523</v>
      </c>
      <c r="H1312" s="19" t="s">
        <v>1472</v>
      </c>
      <c r="I1312" s="17" t="b">
        <v>0</v>
      </c>
      <c r="J1312" s="17" t="s">
        <v>64</v>
      </c>
      <c r="K1312" s="21" t="s">
        <v>1524</v>
      </c>
      <c r="L1312" s="30" t="s">
        <v>1525</v>
      </c>
      <c r="M1312" s="190" t="s">
        <v>2420</v>
      </c>
      <c r="O1312" s="17" t="s">
        <v>1473</v>
      </c>
      <c r="P1312" s="22">
        <v>-76.539000000000001</v>
      </c>
      <c r="Q1312" s="22">
        <v>-144.5</v>
      </c>
      <c r="R1312" s="22"/>
      <c r="S1312" s="22">
        <v>990</v>
      </c>
      <c r="T1312" s="80">
        <v>710</v>
      </c>
      <c r="U1312" s="23">
        <v>500</v>
      </c>
      <c r="V1312" s="152" t="s">
        <v>2440</v>
      </c>
      <c r="W1312" s="44" t="s">
        <v>2441</v>
      </c>
      <c r="X1312" s="17">
        <f t="shared" si="30"/>
        <v>280</v>
      </c>
      <c r="Y1312" s="22">
        <v>5.5</v>
      </c>
      <c r="Z1312" s="22">
        <v>2.65</v>
      </c>
      <c r="AA1312" s="17" t="s">
        <v>58</v>
      </c>
      <c r="AB1312" s="26">
        <v>6390</v>
      </c>
      <c r="AC1312" s="26">
        <v>495</v>
      </c>
      <c r="AD1312" s="26"/>
      <c r="AE1312" s="27">
        <v>280251.5392</v>
      </c>
      <c r="AF1312" s="27">
        <v>6555.0547569999999</v>
      </c>
      <c r="AG1312" s="27">
        <v>612174.88190000004</v>
      </c>
      <c r="AH1312" s="27">
        <v>47270.626499999998</v>
      </c>
      <c r="AI1312" s="17">
        <v>1999</v>
      </c>
      <c r="AJ1312" s="17">
        <v>1</v>
      </c>
      <c r="AK1312" s="17">
        <v>1</v>
      </c>
      <c r="AL1312" s="17" t="s">
        <v>316</v>
      </c>
    </row>
    <row r="1313" spans="1:38" ht="15.75" customHeight="1">
      <c r="A1313" s="30" t="s">
        <v>1520</v>
      </c>
      <c r="B1313" s="19" t="s">
        <v>1521</v>
      </c>
      <c r="C1313" s="17">
        <v>153</v>
      </c>
      <c r="D1313" s="142" t="s">
        <v>196</v>
      </c>
      <c r="E1313" s="19">
        <v>0</v>
      </c>
      <c r="F1313" s="19" t="s">
        <v>1522</v>
      </c>
      <c r="G1313" s="19" t="s">
        <v>1523</v>
      </c>
      <c r="H1313" s="19" t="s">
        <v>1472</v>
      </c>
      <c r="I1313" s="17" t="b">
        <v>0</v>
      </c>
      <c r="J1313" s="17" t="s">
        <v>247</v>
      </c>
      <c r="K1313" s="21" t="s">
        <v>1524</v>
      </c>
      <c r="L1313" s="30" t="s">
        <v>1525</v>
      </c>
      <c r="M1313" s="155"/>
      <c r="O1313" s="17" t="s">
        <v>1473</v>
      </c>
      <c r="P1313" s="22">
        <v>-76.539000000000001</v>
      </c>
      <c r="Q1313" s="22">
        <v>-144.5</v>
      </c>
      <c r="R1313" s="22"/>
      <c r="S1313" s="22">
        <v>990</v>
      </c>
      <c r="T1313" s="80">
        <v>710</v>
      </c>
      <c r="U1313" s="23">
        <v>500</v>
      </c>
      <c r="V1313" s="152" t="s">
        <v>2440</v>
      </c>
      <c r="W1313" s="44" t="s">
        <v>2441</v>
      </c>
      <c r="X1313" s="17">
        <f t="shared" si="30"/>
        <v>280</v>
      </c>
      <c r="Y1313" s="22">
        <v>5.5</v>
      </c>
      <c r="Z1313" s="22">
        <v>2.65</v>
      </c>
      <c r="AA1313" s="17" t="s">
        <v>58</v>
      </c>
      <c r="AB1313" s="26">
        <v>10684</v>
      </c>
      <c r="AC1313" s="26">
        <v>293</v>
      </c>
      <c r="AD1313" s="26"/>
      <c r="AE1313" s="27">
        <v>280251.5392</v>
      </c>
      <c r="AF1313" s="27">
        <v>6555.0547569999999</v>
      </c>
      <c r="AG1313" s="27">
        <v>612174.88190000004</v>
      </c>
      <c r="AH1313" s="27">
        <v>47270.626499999998</v>
      </c>
      <c r="AI1313" s="17">
        <v>1999</v>
      </c>
      <c r="AJ1313" s="17">
        <v>1</v>
      </c>
      <c r="AK1313" s="17">
        <v>1</v>
      </c>
      <c r="AL1313" s="17" t="s">
        <v>316</v>
      </c>
    </row>
    <row r="1314" spans="1:38" ht="15.75" customHeight="1">
      <c r="A1314" s="30" t="s">
        <v>1520</v>
      </c>
      <c r="B1314" s="19" t="s">
        <v>1521</v>
      </c>
      <c r="C1314" s="17">
        <v>153</v>
      </c>
      <c r="D1314" s="142" t="s">
        <v>196</v>
      </c>
      <c r="E1314" s="19">
        <v>0</v>
      </c>
      <c r="F1314" s="19" t="s">
        <v>1522</v>
      </c>
      <c r="G1314" s="19" t="s">
        <v>1523</v>
      </c>
      <c r="H1314" s="19" t="s">
        <v>1472</v>
      </c>
      <c r="I1314" s="17" t="b">
        <v>0</v>
      </c>
      <c r="J1314" s="17" t="s">
        <v>43</v>
      </c>
      <c r="K1314" s="21" t="s">
        <v>1524</v>
      </c>
      <c r="L1314" s="30" t="s">
        <v>1525</v>
      </c>
      <c r="M1314" s="155"/>
      <c r="O1314" s="17" t="s">
        <v>1473</v>
      </c>
      <c r="P1314" s="22">
        <v>-76.539000000000001</v>
      </c>
      <c r="Q1314" s="22">
        <v>-144.5</v>
      </c>
      <c r="R1314" s="22"/>
      <c r="S1314" s="22">
        <v>990</v>
      </c>
      <c r="T1314" s="80">
        <v>710</v>
      </c>
      <c r="U1314" s="23">
        <v>500</v>
      </c>
      <c r="V1314" s="152" t="s">
        <v>2440</v>
      </c>
      <c r="W1314" s="44" t="s">
        <v>2441</v>
      </c>
      <c r="X1314" s="17">
        <f t="shared" si="30"/>
        <v>280</v>
      </c>
      <c r="Y1314" s="22">
        <v>5.5</v>
      </c>
      <c r="Z1314" s="22">
        <v>2.65</v>
      </c>
      <c r="AA1314" s="17" t="s">
        <v>58</v>
      </c>
      <c r="AB1314" s="26">
        <v>18718</v>
      </c>
      <c r="AC1314" s="26">
        <v>440</v>
      </c>
      <c r="AD1314" s="26"/>
      <c r="AE1314" s="27">
        <v>280251.5392</v>
      </c>
      <c r="AF1314" s="27">
        <v>6555.0547569999999</v>
      </c>
      <c r="AG1314" s="27">
        <v>612174.88190000004</v>
      </c>
      <c r="AH1314" s="27">
        <v>47270.626499999998</v>
      </c>
      <c r="AI1314" s="17">
        <v>1999</v>
      </c>
      <c r="AJ1314" s="17">
        <v>1</v>
      </c>
      <c r="AK1314" s="17">
        <v>1</v>
      </c>
      <c r="AL1314" s="17" t="s">
        <v>316</v>
      </c>
    </row>
    <row r="1315" spans="1:38" ht="15.75" customHeight="1">
      <c r="A1315" s="30" t="s">
        <v>1526</v>
      </c>
      <c r="B1315" s="19" t="s">
        <v>1521</v>
      </c>
      <c r="C1315" s="17">
        <v>153</v>
      </c>
      <c r="D1315" s="142" t="s">
        <v>196</v>
      </c>
      <c r="E1315" s="19">
        <v>0</v>
      </c>
      <c r="F1315" s="19" t="s">
        <v>1522</v>
      </c>
      <c r="G1315" s="19" t="s">
        <v>1523</v>
      </c>
      <c r="H1315" s="19" t="s">
        <v>1472</v>
      </c>
      <c r="I1315" s="17" t="b">
        <v>0</v>
      </c>
      <c r="J1315" s="17" t="s">
        <v>64</v>
      </c>
      <c r="K1315" s="21" t="s">
        <v>1527</v>
      </c>
      <c r="L1315" s="30" t="s">
        <v>1525</v>
      </c>
      <c r="M1315" s="155"/>
      <c r="O1315" s="17" t="s">
        <v>1473</v>
      </c>
      <c r="P1315" s="22">
        <v>-76.531999999999996</v>
      </c>
      <c r="Q1315" s="22">
        <v>-144.46199999999999</v>
      </c>
      <c r="R1315" s="22"/>
      <c r="S1315" s="22">
        <v>1018</v>
      </c>
      <c r="T1315" s="80">
        <v>710</v>
      </c>
      <c r="U1315" s="23">
        <v>500</v>
      </c>
      <c r="V1315" s="152" t="s">
        <v>2440</v>
      </c>
      <c r="W1315" s="44" t="s">
        <v>2441</v>
      </c>
      <c r="X1315" s="17">
        <f t="shared" si="30"/>
        <v>308</v>
      </c>
      <c r="Y1315" s="22">
        <v>3.3</v>
      </c>
      <c r="Z1315" s="22">
        <v>2.65</v>
      </c>
      <c r="AA1315" s="17" t="s">
        <v>58</v>
      </c>
      <c r="AB1315" s="26">
        <v>6857</v>
      </c>
      <c r="AC1315" s="26">
        <v>461</v>
      </c>
      <c r="AD1315" s="26"/>
      <c r="AE1315" s="27">
        <v>248950.67329999999</v>
      </c>
      <c r="AF1315" s="27">
        <v>10895.92259</v>
      </c>
      <c r="AG1315" s="27">
        <v>685111.50470000005</v>
      </c>
      <c r="AH1315" s="27">
        <v>45890.821069999998</v>
      </c>
      <c r="AI1315" s="17">
        <v>1999</v>
      </c>
      <c r="AJ1315" s="17">
        <v>1</v>
      </c>
      <c r="AK1315" s="17">
        <v>1</v>
      </c>
      <c r="AL1315" s="17" t="s">
        <v>316</v>
      </c>
    </row>
    <row r="1316" spans="1:38" ht="15.75" customHeight="1">
      <c r="A1316" s="30" t="s">
        <v>1526</v>
      </c>
      <c r="B1316" s="19" t="s">
        <v>1521</v>
      </c>
      <c r="C1316" s="17">
        <v>153</v>
      </c>
      <c r="D1316" s="142" t="s">
        <v>196</v>
      </c>
      <c r="E1316" s="19">
        <v>0</v>
      </c>
      <c r="F1316" s="19" t="s">
        <v>1522</v>
      </c>
      <c r="G1316" s="19" t="s">
        <v>1523</v>
      </c>
      <c r="H1316" s="19" t="s">
        <v>1472</v>
      </c>
      <c r="I1316" s="17" t="b">
        <v>0</v>
      </c>
      <c r="J1316" s="17" t="s">
        <v>43</v>
      </c>
      <c r="K1316" s="21" t="s">
        <v>1527</v>
      </c>
      <c r="L1316" s="30" t="s">
        <v>1525</v>
      </c>
      <c r="M1316" s="155"/>
      <c r="O1316" s="17" t="s">
        <v>1473</v>
      </c>
      <c r="P1316" s="22">
        <v>-76.531999999999996</v>
      </c>
      <c r="Q1316" s="22">
        <v>-144.46199999999999</v>
      </c>
      <c r="R1316" s="22"/>
      <c r="S1316" s="22">
        <v>1018</v>
      </c>
      <c r="T1316" s="80">
        <v>710</v>
      </c>
      <c r="U1316" s="23">
        <v>500</v>
      </c>
      <c r="V1316" s="152" t="s">
        <v>2440</v>
      </c>
      <c r="W1316" s="44" t="s">
        <v>2441</v>
      </c>
      <c r="X1316" s="17">
        <f t="shared" si="30"/>
        <v>308</v>
      </c>
      <c r="Y1316" s="22">
        <v>3.3</v>
      </c>
      <c r="Z1316" s="22">
        <v>2.65</v>
      </c>
      <c r="AA1316" s="17" t="s">
        <v>58</v>
      </c>
      <c r="AB1316" s="26">
        <v>15217</v>
      </c>
      <c r="AC1316" s="26">
        <v>669</v>
      </c>
      <c r="AD1316" s="26"/>
      <c r="AE1316" s="27">
        <v>248950.67329999999</v>
      </c>
      <c r="AF1316" s="27">
        <v>10895.92259</v>
      </c>
      <c r="AG1316" s="27">
        <v>685111.50470000005</v>
      </c>
      <c r="AH1316" s="27">
        <v>45890.821069999998</v>
      </c>
      <c r="AI1316" s="17">
        <v>1999</v>
      </c>
      <c r="AJ1316" s="17">
        <v>1</v>
      </c>
      <c r="AK1316" s="17">
        <v>1</v>
      </c>
      <c r="AL1316" s="17" t="s">
        <v>316</v>
      </c>
    </row>
    <row r="1317" spans="1:38" ht="12.75" customHeight="1">
      <c r="A1317" s="30" t="s">
        <v>1528</v>
      </c>
      <c r="B1317" s="19" t="s">
        <v>1521</v>
      </c>
      <c r="C1317" s="17">
        <v>153</v>
      </c>
      <c r="D1317" s="142" t="s">
        <v>196</v>
      </c>
      <c r="E1317" s="19">
        <v>0</v>
      </c>
      <c r="F1317" s="19" t="s">
        <v>1522</v>
      </c>
      <c r="G1317" s="19" t="s">
        <v>1529</v>
      </c>
      <c r="H1317" s="19" t="s">
        <v>1472</v>
      </c>
      <c r="I1317" s="17" t="b">
        <v>0</v>
      </c>
      <c r="J1317" s="17" t="s">
        <v>247</v>
      </c>
      <c r="K1317" s="21" t="str">
        <f t="shared" ref="K1317:K1331" si="31">CONCATENATE("https://version2.ice-d.org/antarctica/sample/", A1317, "/")</f>
        <v>https://version2.ice-d.org/antarctica/sample/99-MBL-020-MGM/</v>
      </c>
      <c r="L1317" s="30" t="s">
        <v>800</v>
      </c>
      <c r="M1317" s="190" t="s">
        <v>2420</v>
      </c>
      <c r="O1317" s="17" t="s">
        <v>44</v>
      </c>
      <c r="P1317" s="22">
        <v>-76.55</v>
      </c>
      <c r="Q1317" s="22">
        <v>-144.5</v>
      </c>
      <c r="R1317" s="22"/>
      <c r="S1317" s="22">
        <v>818</v>
      </c>
      <c r="T1317" s="17">
        <v>710</v>
      </c>
      <c r="U1317" s="23">
        <v>500</v>
      </c>
      <c r="V1317" s="152" t="s">
        <v>2440</v>
      </c>
      <c r="W1317" s="44" t="s">
        <v>2441</v>
      </c>
      <c r="X1317" s="22">
        <f t="shared" si="30"/>
        <v>108</v>
      </c>
      <c r="Y1317" s="22">
        <v>6.5</v>
      </c>
      <c r="Z1317" s="22">
        <v>2.65</v>
      </c>
      <c r="AA1317" s="17" t="s">
        <v>58</v>
      </c>
      <c r="AB1317" s="26">
        <v>3658</v>
      </c>
      <c r="AC1317" s="26">
        <v>72</v>
      </c>
      <c r="AD1317" s="26"/>
      <c r="AE1317" s="27">
        <v>361752.06150000001</v>
      </c>
      <c r="AF1317" s="27">
        <v>8476.0392449999999</v>
      </c>
      <c r="AG1317" s="27">
        <v>497772.26539999997</v>
      </c>
      <c r="AH1317" s="27">
        <v>27088.100610000001</v>
      </c>
      <c r="AI1317" s="17">
        <v>1999</v>
      </c>
      <c r="AJ1317" s="17">
        <v>1</v>
      </c>
      <c r="AK1317" s="17">
        <v>1</v>
      </c>
      <c r="AL1317" s="17" t="s">
        <v>1530</v>
      </c>
    </row>
    <row r="1318" spans="1:38" ht="12.75" customHeight="1">
      <c r="A1318" s="30" t="s">
        <v>1528</v>
      </c>
      <c r="B1318" s="19" t="s">
        <v>1521</v>
      </c>
      <c r="C1318" s="17">
        <v>153</v>
      </c>
      <c r="D1318" s="142" t="s">
        <v>196</v>
      </c>
      <c r="E1318" s="19">
        <v>0</v>
      </c>
      <c r="F1318" s="19" t="s">
        <v>1522</v>
      </c>
      <c r="G1318" s="19" t="s">
        <v>1529</v>
      </c>
      <c r="H1318" s="19" t="s">
        <v>1472</v>
      </c>
      <c r="I1318" s="17" t="b">
        <v>0</v>
      </c>
      <c r="J1318" s="17" t="s">
        <v>64</v>
      </c>
      <c r="K1318" s="21" t="str">
        <f t="shared" si="31"/>
        <v>https://version2.ice-d.org/antarctica/sample/99-MBL-020-MGM/</v>
      </c>
      <c r="L1318" s="30" t="s">
        <v>800</v>
      </c>
      <c r="M1318" s="155"/>
      <c r="O1318" s="17" t="s">
        <v>44</v>
      </c>
      <c r="P1318" s="22">
        <v>-76.55</v>
      </c>
      <c r="Q1318" s="22">
        <v>-144.5</v>
      </c>
      <c r="R1318" s="22"/>
      <c r="S1318" s="22">
        <v>818</v>
      </c>
      <c r="T1318" s="17">
        <v>710</v>
      </c>
      <c r="U1318" s="23">
        <v>500</v>
      </c>
      <c r="V1318" s="152" t="s">
        <v>2440</v>
      </c>
      <c r="W1318" s="44" t="s">
        <v>2441</v>
      </c>
      <c r="X1318" s="22">
        <f t="shared" si="30"/>
        <v>108</v>
      </c>
      <c r="Y1318" s="22">
        <v>6.5</v>
      </c>
      <c r="Z1318" s="22">
        <v>2.65</v>
      </c>
      <c r="AA1318" s="17" t="s">
        <v>58</v>
      </c>
      <c r="AB1318" s="26">
        <v>6112</v>
      </c>
      <c r="AC1318" s="26">
        <v>334</v>
      </c>
      <c r="AD1318" s="26"/>
      <c r="AE1318" s="27">
        <v>361752.06150000001</v>
      </c>
      <c r="AF1318" s="27">
        <v>8476.0392449999999</v>
      </c>
      <c r="AG1318" s="27">
        <v>497772.26539999997</v>
      </c>
      <c r="AH1318" s="27">
        <v>27088.100610000001</v>
      </c>
      <c r="AI1318" s="17">
        <v>1999</v>
      </c>
      <c r="AJ1318" s="17">
        <v>1</v>
      </c>
      <c r="AK1318" s="17">
        <v>1</v>
      </c>
      <c r="AL1318" s="17" t="s">
        <v>1530</v>
      </c>
    </row>
    <row r="1319" spans="1:38" ht="12.75" customHeight="1">
      <c r="A1319" s="30" t="s">
        <v>1528</v>
      </c>
      <c r="B1319" s="19" t="s">
        <v>1521</v>
      </c>
      <c r="C1319" s="17">
        <v>153</v>
      </c>
      <c r="D1319" s="142" t="s">
        <v>196</v>
      </c>
      <c r="E1319" s="19">
        <v>0</v>
      </c>
      <c r="F1319" s="19" t="s">
        <v>1522</v>
      </c>
      <c r="G1319" s="19" t="s">
        <v>1529</v>
      </c>
      <c r="H1319" s="19" t="s">
        <v>1472</v>
      </c>
      <c r="I1319" s="17" t="b">
        <v>0</v>
      </c>
      <c r="J1319" s="17" t="s">
        <v>247</v>
      </c>
      <c r="K1319" s="21" t="str">
        <f t="shared" si="31"/>
        <v>https://version2.ice-d.org/antarctica/sample/99-MBL-020-MGM/</v>
      </c>
      <c r="L1319" s="30" t="s">
        <v>800</v>
      </c>
      <c r="M1319" s="155"/>
      <c r="O1319" s="17" t="s">
        <v>44</v>
      </c>
      <c r="P1319" s="22">
        <v>-76.55</v>
      </c>
      <c r="Q1319" s="22">
        <v>-144.5</v>
      </c>
      <c r="R1319" s="22"/>
      <c r="S1319" s="22">
        <v>818</v>
      </c>
      <c r="T1319" s="17">
        <v>710</v>
      </c>
      <c r="U1319" s="23">
        <v>500</v>
      </c>
      <c r="V1319" s="152" t="s">
        <v>2440</v>
      </c>
      <c r="W1319" s="44" t="s">
        <v>2441</v>
      </c>
      <c r="X1319" s="22">
        <f t="shared" si="30"/>
        <v>108</v>
      </c>
      <c r="Y1319" s="22">
        <v>6.5</v>
      </c>
      <c r="Z1319" s="22">
        <v>2.65</v>
      </c>
      <c r="AA1319" s="17" t="s">
        <v>58</v>
      </c>
      <c r="AB1319" s="26">
        <v>6879</v>
      </c>
      <c r="AC1319" s="26">
        <v>223</v>
      </c>
      <c r="AD1319" s="26"/>
      <c r="AE1319" s="27">
        <v>361752.06150000001</v>
      </c>
      <c r="AF1319" s="27">
        <v>8476.0392449999999</v>
      </c>
      <c r="AG1319" s="27">
        <v>497772.26539999997</v>
      </c>
      <c r="AH1319" s="27">
        <v>27088.100610000001</v>
      </c>
      <c r="AI1319" s="17">
        <v>1999</v>
      </c>
      <c r="AJ1319" s="17">
        <v>1</v>
      </c>
      <c r="AK1319" s="17">
        <v>1</v>
      </c>
      <c r="AL1319" s="17" t="s">
        <v>1530</v>
      </c>
    </row>
    <row r="1320" spans="1:38" ht="12.75" customHeight="1">
      <c r="A1320" s="30" t="s">
        <v>1531</v>
      </c>
      <c r="B1320" s="19" t="s">
        <v>1521</v>
      </c>
      <c r="C1320" s="17">
        <v>153</v>
      </c>
      <c r="D1320" s="142" t="s">
        <v>196</v>
      </c>
      <c r="E1320" s="19">
        <v>0</v>
      </c>
      <c r="F1320" s="19" t="s">
        <v>1522</v>
      </c>
      <c r="G1320" s="19" t="s">
        <v>1529</v>
      </c>
      <c r="H1320" s="19" t="s">
        <v>1472</v>
      </c>
      <c r="I1320" s="17" t="b">
        <v>0</v>
      </c>
      <c r="J1320" s="17" t="s">
        <v>247</v>
      </c>
      <c r="K1320" s="21" t="str">
        <f t="shared" si="31"/>
        <v>https://version2.ice-d.org/antarctica/sample/99-MBL-031-MGM/</v>
      </c>
      <c r="L1320" s="30" t="s">
        <v>800</v>
      </c>
      <c r="M1320" s="155"/>
      <c r="O1320" s="17" t="s">
        <v>44</v>
      </c>
      <c r="P1320" s="22">
        <v>-76.531999999999996</v>
      </c>
      <c r="Q1320" s="22">
        <v>-144.46199999999999</v>
      </c>
      <c r="R1320" s="22"/>
      <c r="S1320" s="22">
        <v>965</v>
      </c>
      <c r="T1320" s="17">
        <v>710</v>
      </c>
      <c r="U1320" s="23">
        <v>500</v>
      </c>
      <c r="V1320" s="152" t="s">
        <v>2440</v>
      </c>
      <c r="W1320" s="44" t="s">
        <v>2441</v>
      </c>
      <c r="X1320" s="22">
        <f t="shared" si="30"/>
        <v>255</v>
      </c>
      <c r="Y1320" s="22">
        <v>3.8</v>
      </c>
      <c r="Z1320" s="22">
        <v>2.65</v>
      </c>
      <c r="AA1320" s="17" t="s">
        <v>58</v>
      </c>
      <c r="AB1320" s="26">
        <v>4462</v>
      </c>
      <c r="AC1320" s="26">
        <v>1058</v>
      </c>
      <c r="AD1320" s="26"/>
      <c r="AE1320" s="27">
        <v>268019.2647</v>
      </c>
      <c r="AF1320" s="27">
        <v>11036.1505</v>
      </c>
      <c r="AG1320" s="27">
        <v>489422.36609999998</v>
      </c>
      <c r="AH1320" s="27">
        <v>40034.085149999999</v>
      </c>
      <c r="AI1320" s="17">
        <v>1999</v>
      </c>
      <c r="AJ1320" s="17">
        <v>1</v>
      </c>
      <c r="AK1320" s="17">
        <v>1</v>
      </c>
      <c r="AL1320" s="17" t="s">
        <v>316</v>
      </c>
    </row>
    <row r="1321" spans="1:38" ht="12.75" customHeight="1">
      <c r="A1321" s="30" t="s">
        <v>1531</v>
      </c>
      <c r="B1321" s="19" t="s">
        <v>1521</v>
      </c>
      <c r="C1321" s="17">
        <v>153</v>
      </c>
      <c r="D1321" s="142" t="s">
        <v>196</v>
      </c>
      <c r="E1321" s="19">
        <v>0</v>
      </c>
      <c r="F1321" s="19" t="s">
        <v>1522</v>
      </c>
      <c r="G1321" s="19" t="s">
        <v>1529</v>
      </c>
      <c r="H1321" s="19" t="s">
        <v>1472</v>
      </c>
      <c r="I1321" s="17" t="b">
        <v>0</v>
      </c>
      <c r="J1321" s="17" t="s">
        <v>64</v>
      </c>
      <c r="K1321" s="21" t="str">
        <f t="shared" si="31"/>
        <v>https://version2.ice-d.org/antarctica/sample/99-MBL-031-MGM/</v>
      </c>
      <c r="L1321" s="30" t="s">
        <v>800</v>
      </c>
      <c r="M1321" s="155"/>
      <c r="O1321" s="17" t="s">
        <v>44</v>
      </c>
      <c r="P1321" s="22">
        <v>-76.531999999999996</v>
      </c>
      <c r="Q1321" s="22">
        <v>-144.46199999999999</v>
      </c>
      <c r="R1321" s="22"/>
      <c r="S1321" s="22">
        <v>965</v>
      </c>
      <c r="T1321" s="17">
        <v>710</v>
      </c>
      <c r="U1321" s="23">
        <v>500</v>
      </c>
      <c r="V1321" s="152" t="s">
        <v>2440</v>
      </c>
      <c r="W1321" s="44" t="s">
        <v>2441</v>
      </c>
      <c r="X1321" s="22">
        <f t="shared" si="30"/>
        <v>255</v>
      </c>
      <c r="Y1321" s="22">
        <v>3.8</v>
      </c>
      <c r="Z1321" s="22">
        <v>2.65</v>
      </c>
      <c r="AA1321" s="17" t="s">
        <v>58</v>
      </c>
      <c r="AB1321" s="26">
        <v>5168</v>
      </c>
      <c r="AC1321" s="26">
        <v>424</v>
      </c>
      <c r="AD1321" s="26"/>
      <c r="AE1321" s="27">
        <v>268019.2647</v>
      </c>
      <c r="AF1321" s="27">
        <v>11036.1505</v>
      </c>
      <c r="AG1321" s="27">
        <v>489422.36609999998</v>
      </c>
      <c r="AH1321" s="27">
        <v>40034.085149999999</v>
      </c>
      <c r="AI1321" s="17">
        <v>1999</v>
      </c>
      <c r="AJ1321" s="17">
        <v>1</v>
      </c>
      <c r="AK1321" s="17">
        <v>1</v>
      </c>
      <c r="AL1321" s="17" t="s">
        <v>316</v>
      </c>
    </row>
    <row r="1322" spans="1:38" ht="12.75" customHeight="1">
      <c r="A1322" s="30" t="s">
        <v>1531</v>
      </c>
      <c r="B1322" s="19" t="s">
        <v>1521</v>
      </c>
      <c r="C1322" s="17">
        <v>153</v>
      </c>
      <c r="D1322" s="142" t="s">
        <v>196</v>
      </c>
      <c r="E1322" s="19">
        <v>0</v>
      </c>
      <c r="F1322" s="19" t="s">
        <v>1522</v>
      </c>
      <c r="G1322" s="19" t="s">
        <v>1529</v>
      </c>
      <c r="H1322" s="19" t="s">
        <v>1472</v>
      </c>
      <c r="I1322" s="17" t="b">
        <v>0</v>
      </c>
      <c r="J1322" s="17" t="s">
        <v>247</v>
      </c>
      <c r="K1322" s="21" t="str">
        <f t="shared" si="31"/>
        <v>https://version2.ice-d.org/antarctica/sample/99-MBL-031-MGM/</v>
      </c>
      <c r="L1322" s="30" t="s">
        <v>800</v>
      </c>
      <c r="M1322" s="185"/>
      <c r="O1322" s="17" t="s">
        <v>44</v>
      </c>
      <c r="P1322" s="22">
        <v>-76.531999999999996</v>
      </c>
      <c r="Q1322" s="22">
        <v>-144.46199999999999</v>
      </c>
      <c r="R1322" s="22"/>
      <c r="S1322" s="22">
        <v>965</v>
      </c>
      <c r="T1322" s="17">
        <v>710</v>
      </c>
      <c r="U1322" s="23">
        <v>500</v>
      </c>
      <c r="V1322" s="152" t="s">
        <v>2440</v>
      </c>
      <c r="W1322" s="44" t="s">
        <v>2441</v>
      </c>
      <c r="X1322" s="22">
        <f t="shared" si="30"/>
        <v>255</v>
      </c>
      <c r="Y1322" s="22">
        <v>3.8</v>
      </c>
      <c r="Z1322" s="22">
        <v>2.65</v>
      </c>
      <c r="AA1322" s="17" t="s">
        <v>58</v>
      </c>
      <c r="AB1322" s="26">
        <v>6615</v>
      </c>
      <c r="AC1322" s="26">
        <v>140</v>
      </c>
      <c r="AD1322" s="26"/>
      <c r="AE1322" s="27">
        <v>268019.2647</v>
      </c>
      <c r="AF1322" s="27">
        <v>11036.1505</v>
      </c>
      <c r="AG1322" s="27">
        <v>489422.36609999998</v>
      </c>
      <c r="AH1322" s="27">
        <v>40034.085149999999</v>
      </c>
      <c r="AI1322" s="17">
        <v>1999</v>
      </c>
      <c r="AJ1322" s="17">
        <v>1</v>
      </c>
      <c r="AK1322" s="17">
        <v>1</v>
      </c>
      <c r="AL1322" s="17" t="s">
        <v>316</v>
      </c>
    </row>
    <row r="1323" spans="1:38" ht="12.75" customHeight="1">
      <c r="A1323" s="30" t="s">
        <v>1531</v>
      </c>
      <c r="B1323" s="19" t="s">
        <v>1521</v>
      </c>
      <c r="C1323" s="17">
        <v>153</v>
      </c>
      <c r="D1323" s="142" t="s">
        <v>196</v>
      </c>
      <c r="E1323" s="19">
        <v>0</v>
      </c>
      <c r="F1323" s="19" t="s">
        <v>1522</v>
      </c>
      <c r="G1323" s="19" t="s">
        <v>1529</v>
      </c>
      <c r="H1323" s="19" t="s">
        <v>1472</v>
      </c>
      <c r="I1323" s="17" t="b">
        <v>0</v>
      </c>
      <c r="J1323" s="17" t="s">
        <v>43</v>
      </c>
      <c r="K1323" s="21" t="str">
        <f t="shared" si="31"/>
        <v>https://version2.ice-d.org/antarctica/sample/99-MBL-031-MGM/</v>
      </c>
      <c r="L1323" s="30" t="s">
        <v>800</v>
      </c>
      <c r="M1323" s="155"/>
      <c r="O1323" s="17" t="s">
        <v>44</v>
      </c>
      <c r="P1323" s="22">
        <v>-76.531999999999996</v>
      </c>
      <c r="Q1323" s="22">
        <v>-144.46199999999999</v>
      </c>
      <c r="R1323" s="22"/>
      <c r="S1323" s="22">
        <v>965</v>
      </c>
      <c r="T1323" s="17">
        <v>710</v>
      </c>
      <c r="U1323" s="23">
        <v>500</v>
      </c>
      <c r="V1323" s="152" t="s">
        <v>2440</v>
      </c>
      <c r="W1323" s="44" t="s">
        <v>2441</v>
      </c>
      <c r="X1323" s="22">
        <f t="shared" si="30"/>
        <v>255</v>
      </c>
      <c r="Y1323" s="22">
        <v>3.8</v>
      </c>
      <c r="Z1323" s="22">
        <v>2.65</v>
      </c>
      <c r="AA1323" s="17" t="s">
        <v>58</v>
      </c>
      <c r="AB1323" s="26">
        <v>17249</v>
      </c>
      <c r="AC1323" s="26">
        <v>713</v>
      </c>
      <c r="AD1323" s="26"/>
      <c r="AE1323" s="27">
        <v>268019.2647</v>
      </c>
      <c r="AF1323" s="27">
        <v>11036.1505</v>
      </c>
      <c r="AG1323" s="27">
        <v>489422.36609999998</v>
      </c>
      <c r="AH1323" s="27">
        <v>40034.085149999999</v>
      </c>
      <c r="AI1323" s="17">
        <v>1999</v>
      </c>
      <c r="AJ1323" s="17">
        <v>1</v>
      </c>
      <c r="AK1323" s="17">
        <v>1</v>
      </c>
      <c r="AL1323" s="17" t="s">
        <v>316</v>
      </c>
    </row>
    <row r="1324" spans="1:38" ht="12.75" customHeight="1">
      <c r="A1324" s="30" t="s">
        <v>1532</v>
      </c>
      <c r="B1324" s="19" t="s">
        <v>1521</v>
      </c>
      <c r="C1324" s="17">
        <v>153</v>
      </c>
      <c r="D1324" s="142" t="s">
        <v>196</v>
      </c>
      <c r="E1324" s="19">
        <v>0</v>
      </c>
      <c r="F1324" s="19" t="s">
        <v>1522</v>
      </c>
      <c r="G1324" s="19" t="s">
        <v>1529</v>
      </c>
      <c r="H1324" s="19" t="s">
        <v>1472</v>
      </c>
      <c r="I1324" s="17" t="b">
        <v>0</v>
      </c>
      <c r="J1324" s="17" t="s">
        <v>43</v>
      </c>
      <c r="K1324" s="21" t="str">
        <f t="shared" si="31"/>
        <v>https://version2.ice-d.org/antarctica/sample/99-MBL-008-MGM/</v>
      </c>
      <c r="L1324" s="30" t="s">
        <v>800</v>
      </c>
      <c r="M1324" s="155"/>
      <c r="O1324" s="17" t="s">
        <v>1473</v>
      </c>
      <c r="P1324" s="22">
        <v>-76.540300000000002</v>
      </c>
      <c r="Q1324" s="22">
        <v>-144.51609999999999</v>
      </c>
      <c r="R1324" s="22"/>
      <c r="S1324" s="22">
        <v>991</v>
      </c>
      <c r="T1324" s="17">
        <v>710</v>
      </c>
      <c r="U1324" s="23">
        <v>500</v>
      </c>
      <c r="V1324" s="152" t="s">
        <v>2440</v>
      </c>
      <c r="W1324" s="44" t="s">
        <v>2441</v>
      </c>
      <c r="X1324" s="17">
        <f t="shared" si="30"/>
        <v>281</v>
      </c>
      <c r="Y1324" s="22">
        <v>7.5</v>
      </c>
      <c r="Z1324" s="22">
        <v>2.7</v>
      </c>
      <c r="AA1324" s="17" t="s">
        <v>73</v>
      </c>
      <c r="AB1324" s="26">
        <v>4382</v>
      </c>
      <c r="AC1324" s="26">
        <v>148</v>
      </c>
      <c r="AD1324" s="26">
        <v>298</v>
      </c>
      <c r="AE1324" s="27">
        <v>58613</v>
      </c>
      <c r="AF1324" s="27">
        <v>1980</v>
      </c>
      <c r="AG1324" s="28"/>
      <c r="AH1324" s="28"/>
      <c r="AI1324" s="27">
        <v>1999</v>
      </c>
      <c r="AJ1324" s="17">
        <v>1</v>
      </c>
      <c r="AK1324" s="17">
        <v>0</v>
      </c>
    </row>
    <row r="1325" spans="1:38" ht="12.75" customHeight="1">
      <c r="A1325" s="30" t="s">
        <v>1533</v>
      </c>
      <c r="B1325" s="19" t="s">
        <v>1521</v>
      </c>
      <c r="C1325" s="17">
        <v>153</v>
      </c>
      <c r="D1325" s="142" t="s">
        <v>196</v>
      </c>
      <c r="E1325" s="19">
        <v>0</v>
      </c>
      <c r="F1325" s="19" t="s">
        <v>1522</v>
      </c>
      <c r="G1325" s="19" t="s">
        <v>1529</v>
      </c>
      <c r="H1325" s="19" t="s">
        <v>1472</v>
      </c>
      <c r="I1325" s="17" t="b">
        <v>0</v>
      </c>
      <c r="J1325" s="17" t="s">
        <v>43</v>
      </c>
      <c r="K1325" s="21" t="str">
        <f t="shared" si="31"/>
        <v>https://version2.ice-d.org/antarctica/sample/99-MBL-009-MGM/</v>
      </c>
      <c r="L1325" s="30" t="s">
        <v>800</v>
      </c>
      <c r="M1325" s="155"/>
      <c r="O1325" s="17" t="s">
        <v>1473</v>
      </c>
      <c r="P1325" s="22">
        <v>-76.540300000000002</v>
      </c>
      <c r="Q1325" s="22">
        <v>-144.51609999999999</v>
      </c>
      <c r="R1325" s="22"/>
      <c r="S1325" s="22">
        <v>991</v>
      </c>
      <c r="T1325" s="17">
        <v>710</v>
      </c>
      <c r="U1325" s="23">
        <v>500</v>
      </c>
      <c r="V1325" s="152" t="s">
        <v>2440</v>
      </c>
      <c r="W1325" s="44" t="s">
        <v>2441</v>
      </c>
      <c r="X1325" s="17">
        <f t="shared" si="30"/>
        <v>281</v>
      </c>
      <c r="Y1325" s="22">
        <v>5</v>
      </c>
      <c r="Z1325" s="22">
        <v>2.7</v>
      </c>
      <c r="AA1325" s="17" t="s">
        <v>73</v>
      </c>
      <c r="AB1325" s="26">
        <v>4269</v>
      </c>
      <c r="AC1325" s="26">
        <v>141</v>
      </c>
      <c r="AD1325" s="26">
        <v>289</v>
      </c>
      <c r="AE1325" s="27">
        <v>58334</v>
      </c>
      <c r="AF1325" s="27">
        <v>1931</v>
      </c>
      <c r="AG1325" s="28"/>
      <c r="AH1325" s="28"/>
      <c r="AI1325" s="17">
        <v>1999</v>
      </c>
      <c r="AJ1325" s="17">
        <v>1</v>
      </c>
      <c r="AK1325" s="17">
        <v>0</v>
      </c>
    </row>
    <row r="1326" spans="1:38" ht="12.75" customHeight="1">
      <c r="A1326" s="30" t="s">
        <v>1534</v>
      </c>
      <c r="B1326" s="19" t="s">
        <v>1521</v>
      </c>
      <c r="C1326" s="17">
        <v>153</v>
      </c>
      <c r="D1326" s="142" t="s">
        <v>196</v>
      </c>
      <c r="E1326" s="19">
        <v>0</v>
      </c>
      <c r="F1326" s="19" t="s">
        <v>1522</v>
      </c>
      <c r="G1326" s="19" t="s">
        <v>1529</v>
      </c>
      <c r="H1326" s="19" t="s">
        <v>1472</v>
      </c>
      <c r="I1326" s="17" t="b">
        <v>0</v>
      </c>
      <c r="J1326" s="17" t="s">
        <v>43</v>
      </c>
      <c r="K1326" s="21" t="str">
        <f t="shared" si="31"/>
        <v>https://version2.ice-d.org/antarctica/sample/99-MBL-011-MGM/</v>
      </c>
      <c r="L1326" s="30" t="s">
        <v>800</v>
      </c>
      <c r="M1326" s="155"/>
      <c r="O1326" s="17" t="s">
        <v>1473</v>
      </c>
      <c r="P1326" s="22">
        <v>-76.530299999999997</v>
      </c>
      <c r="Q1326" s="22">
        <v>-144.5027</v>
      </c>
      <c r="R1326" s="22"/>
      <c r="S1326" s="22">
        <v>1042</v>
      </c>
      <c r="T1326" s="17">
        <v>710</v>
      </c>
      <c r="U1326" s="23">
        <v>500</v>
      </c>
      <c r="V1326" s="152" t="s">
        <v>2440</v>
      </c>
      <c r="W1326" s="44" t="s">
        <v>2441</v>
      </c>
      <c r="X1326" s="17">
        <f t="shared" si="30"/>
        <v>332</v>
      </c>
      <c r="Y1326" s="22">
        <v>6</v>
      </c>
      <c r="Z1326" s="22">
        <v>2.7</v>
      </c>
      <c r="AA1326" s="17" t="s">
        <v>73</v>
      </c>
      <c r="AB1326" s="26">
        <v>4997</v>
      </c>
      <c r="AC1326" s="26">
        <v>227</v>
      </c>
      <c r="AD1326" s="26">
        <v>372</v>
      </c>
      <c r="AE1326" s="27">
        <v>70568</v>
      </c>
      <c r="AF1326" s="27">
        <v>3204</v>
      </c>
      <c r="AG1326" s="28"/>
      <c r="AH1326" s="28"/>
      <c r="AI1326" s="17">
        <v>1999</v>
      </c>
      <c r="AJ1326" s="17">
        <v>1</v>
      </c>
      <c r="AK1326" s="17">
        <v>0</v>
      </c>
    </row>
    <row r="1327" spans="1:38" ht="12.75" customHeight="1">
      <c r="A1327" s="30" t="s">
        <v>1535</v>
      </c>
      <c r="B1327" s="19" t="s">
        <v>1521</v>
      </c>
      <c r="C1327" s="17">
        <v>153</v>
      </c>
      <c r="D1327" s="142" t="s">
        <v>196</v>
      </c>
      <c r="E1327" s="19">
        <v>0</v>
      </c>
      <c r="F1327" s="19" t="s">
        <v>1522</v>
      </c>
      <c r="G1327" s="19" t="s">
        <v>1529</v>
      </c>
      <c r="H1327" s="19" t="s">
        <v>1472</v>
      </c>
      <c r="I1327" s="17" t="b">
        <v>0</v>
      </c>
      <c r="J1327" s="17" t="s">
        <v>43</v>
      </c>
      <c r="K1327" s="21" t="str">
        <f t="shared" si="31"/>
        <v>https://version2.ice-d.org/antarctica/sample/99-MBL-019-MGM/</v>
      </c>
      <c r="L1327" s="30" t="s">
        <v>800</v>
      </c>
      <c r="M1327" s="155"/>
      <c r="O1327" s="17" t="s">
        <v>1473</v>
      </c>
      <c r="P1327" s="22">
        <v>-76.547200000000004</v>
      </c>
      <c r="Q1327" s="22">
        <v>-144.47030000000001</v>
      </c>
      <c r="R1327" s="22"/>
      <c r="S1327" s="22">
        <v>817</v>
      </c>
      <c r="T1327" s="17">
        <v>710</v>
      </c>
      <c r="U1327" s="23">
        <v>500</v>
      </c>
      <c r="V1327" s="152" t="s">
        <v>2440</v>
      </c>
      <c r="W1327" s="44" t="s">
        <v>2441</v>
      </c>
      <c r="X1327" s="17">
        <f t="shared" si="30"/>
        <v>107</v>
      </c>
      <c r="Y1327" s="22">
        <v>6</v>
      </c>
      <c r="Z1327" s="22">
        <v>2.7</v>
      </c>
      <c r="AA1327" s="17" t="s">
        <v>73</v>
      </c>
      <c r="AB1327" s="26">
        <v>2314</v>
      </c>
      <c r="AC1327" s="26">
        <v>154</v>
      </c>
      <c r="AD1327" s="26">
        <v>206</v>
      </c>
      <c r="AE1327" s="27">
        <v>27497</v>
      </c>
      <c r="AF1327" s="27">
        <v>1833</v>
      </c>
      <c r="AG1327" s="28"/>
      <c r="AH1327" s="28"/>
      <c r="AI1327" s="17">
        <v>1999</v>
      </c>
      <c r="AJ1327" s="17">
        <v>1</v>
      </c>
      <c r="AK1327" s="17">
        <v>0</v>
      </c>
    </row>
    <row r="1328" spans="1:38" ht="12.75" customHeight="1">
      <c r="A1328" s="30" t="s">
        <v>1536</v>
      </c>
      <c r="B1328" s="19" t="s">
        <v>1521</v>
      </c>
      <c r="C1328" s="17">
        <v>153</v>
      </c>
      <c r="D1328" s="142" t="s">
        <v>196</v>
      </c>
      <c r="E1328" s="19">
        <v>0</v>
      </c>
      <c r="F1328" s="19" t="s">
        <v>1522</v>
      </c>
      <c r="G1328" s="19" t="s">
        <v>1529</v>
      </c>
      <c r="H1328" s="19" t="s">
        <v>1472</v>
      </c>
      <c r="I1328" s="17" t="b">
        <v>0</v>
      </c>
      <c r="J1328" s="17" t="s">
        <v>43</v>
      </c>
      <c r="K1328" s="21" t="str">
        <f t="shared" si="31"/>
        <v>https://version2.ice-d.org/antarctica/sample/99-MBL-021-MGM/</v>
      </c>
      <c r="L1328" s="30" t="s">
        <v>800</v>
      </c>
      <c r="M1328" s="155"/>
      <c r="O1328" s="17" t="s">
        <v>1473</v>
      </c>
      <c r="P1328" s="22">
        <v>-76.547200000000004</v>
      </c>
      <c r="Q1328" s="22">
        <v>-144.47030000000001</v>
      </c>
      <c r="R1328" s="22"/>
      <c r="S1328" s="22">
        <v>817</v>
      </c>
      <c r="T1328" s="17">
        <v>710</v>
      </c>
      <c r="U1328" s="23">
        <v>500</v>
      </c>
      <c r="V1328" s="152" t="s">
        <v>2440</v>
      </c>
      <c r="W1328" s="44" t="s">
        <v>2441</v>
      </c>
      <c r="X1328" s="17">
        <f t="shared" si="30"/>
        <v>107</v>
      </c>
      <c r="Y1328" s="22">
        <v>8</v>
      </c>
      <c r="Z1328" s="22">
        <v>2.7</v>
      </c>
      <c r="AA1328" s="17" t="s">
        <v>73</v>
      </c>
      <c r="AB1328" s="26">
        <v>2340</v>
      </c>
      <c r="AC1328" s="26">
        <v>108</v>
      </c>
      <c r="AD1328" s="26">
        <v>176</v>
      </c>
      <c r="AE1328" s="27">
        <v>27340</v>
      </c>
      <c r="AF1328" s="27">
        <v>1264</v>
      </c>
      <c r="AG1328" s="28"/>
      <c r="AH1328" s="28"/>
      <c r="AI1328" s="17">
        <v>1999</v>
      </c>
      <c r="AJ1328" s="17">
        <v>1</v>
      </c>
      <c r="AK1328" s="17">
        <v>0</v>
      </c>
    </row>
    <row r="1329" spans="1:38" ht="12.75" customHeight="1">
      <c r="A1329" s="31" t="s">
        <v>1537</v>
      </c>
      <c r="B1329" s="19" t="s">
        <v>1538</v>
      </c>
      <c r="C1329" s="17">
        <v>154</v>
      </c>
      <c r="D1329" s="142" t="s">
        <v>196</v>
      </c>
      <c r="E1329" s="19">
        <v>0</v>
      </c>
      <c r="F1329" s="19" t="s">
        <v>1470</v>
      </c>
      <c r="G1329" s="19" t="s">
        <v>1539</v>
      </c>
      <c r="H1329" s="19" t="s">
        <v>1472</v>
      </c>
      <c r="I1329" s="17" t="b">
        <v>0</v>
      </c>
      <c r="J1329" s="17" t="s">
        <v>43</v>
      </c>
      <c r="K1329" s="21" t="str">
        <f t="shared" si="31"/>
        <v>https://version2.ice-d.org/antarctica/sample/99-MBL-038-PAS/</v>
      </c>
      <c r="L1329" s="31" t="s">
        <v>39</v>
      </c>
      <c r="M1329" s="170" t="s">
        <v>44</v>
      </c>
      <c r="O1329" s="17" t="s">
        <v>1473</v>
      </c>
      <c r="P1329" s="22">
        <v>-76.88</v>
      </c>
      <c r="Q1329" s="22">
        <v>-144.96789999999999</v>
      </c>
      <c r="R1329" s="22"/>
      <c r="S1329" s="22">
        <v>726</v>
      </c>
      <c r="T1329" s="17">
        <v>370</v>
      </c>
      <c r="U1329" s="23">
        <v>500</v>
      </c>
      <c r="V1329" s="152" t="s">
        <v>2440</v>
      </c>
      <c r="W1329" s="44" t="s">
        <v>2441</v>
      </c>
      <c r="X1329" s="17">
        <f t="shared" si="30"/>
        <v>356</v>
      </c>
      <c r="Y1329" s="22">
        <v>5.5</v>
      </c>
      <c r="Z1329" s="22">
        <v>2.7</v>
      </c>
      <c r="AA1329" s="17" t="s">
        <v>73</v>
      </c>
      <c r="AB1329" s="26">
        <v>3763</v>
      </c>
      <c r="AC1329" s="26">
        <v>224</v>
      </c>
      <c r="AD1329" s="26">
        <v>316</v>
      </c>
      <c r="AE1329" s="27">
        <v>40515</v>
      </c>
      <c r="AF1329" s="27">
        <v>2414</v>
      </c>
      <c r="AG1329" s="28"/>
      <c r="AH1329" s="28"/>
      <c r="AI1329" s="17">
        <v>1999</v>
      </c>
      <c r="AJ1329" s="17">
        <v>1</v>
      </c>
      <c r="AK1329" s="17">
        <v>0</v>
      </c>
    </row>
    <row r="1330" spans="1:38" ht="12.75" customHeight="1">
      <c r="A1330" s="31" t="s">
        <v>1540</v>
      </c>
      <c r="B1330" s="19" t="s">
        <v>1538</v>
      </c>
      <c r="C1330" s="17">
        <v>154</v>
      </c>
      <c r="D1330" s="142" t="s">
        <v>196</v>
      </c>
      <c r="E1330" s="19">
        <v>0</v>
      </c>
      <c r="F1330" s="19" t="s">
        <v>1470</v>
      </c>
      <c r="G1330" s="19" t="s">
        <v>1539</v>
      </c>
      <c r="H1330" s="19" t="s">
        <v>1472</v>
      </c>
      <c r="I1330" s="17" t="b">
        <v>0</v>
      </c>
      <c r="J1330" s="17" t="s">
        <v>43</v>
      </c>
      <c r="K1330" s="21" t="str">
        <f t="shared" si="31"/>
        <v>https://version2.ice-d.org/antarctica/sample/99-MBL-043-PAS/</v>
      </c>
      <c r="L1330" s="31" t="s">
        <v>39</v>
      </c>
      <c r="M1330" s="155"/>
      <c r="O1330" s="17" t="s">
        <v>1473</v>
      </c>
      <c r="P1330" s="22">
        <v>-76.863399999999999</v>
      </c>
      <c r="Q1330" s="22">
        <v>-145.08969999999999</v>
      </c>
      <c r="R1330" s="22"/>
      <c r="S1330" s="22">
        <v>569</v>
      </c>
      <c r="T1330" s="17">
        <v>370</v>
      </c>
      <c r="U1330" s="23">
        <v>500</v>
      </c>
      <c r="V1330" s="152" t="s">
        <v>2440</v>
      </c>
      <c r="W1330" s="44" t="s">
        <v>2441</v>
      </c>
      <c r="X1330" s="17">
        <f t="shared" si="30"/>
        <v>199</v>
      </c>
      <c r="Y1330" s="22">
        <v>5.5</v>
      </c>
      <c r="Z1330" s="22">
        <v>2.7</v>
      </c>
      <c r="AA1330" s="17" t="s">
        <v>73</v>
      </c>
      <c r="AB1330" s="26">
        <v>1748</v>
      </c>
      <c r="AC1330" s="26">
        <v>68</v>
      </c>
      <c r="AD1330" s="26">
        <v>123</v>
      </c>
      <c r="AE1330" s="27">
        <v>16734</v>
      </c>
      <c r="AF1330" s="27">
        <v>647</v>
      </c>
      <c r="AG1330" s="28"/>
      <c r="AH1330" s="28"/>
      <c r="AI1330" s="17">
        <v>1999</v>
      </c>
      <c r="AJ1330" s="17">
        <v>1</v>
      </c>
      <c r="AK1330" s="17">
        <v>0</v>
      </c>
    </row>
    <row r="1331" spans="1:38" ht="12.75" customHeight="1">
      <c r="A1331" s="31" t="s">
        <v>1541</v>
      </c>
      <c r="B1331" s="19" t="s">
        <v>1538</v>
      </c>
      <c r="C1331" s="17">
        <v>154</v>
      </c>
      <c r="D1331" s="142" t="s">
        <v>196</v>
      </c>
      <c r="E1331" s="19">
        <v>0</v>
      </c>
      <c r="F1331" s="19" t="s">
        <v>1470</v>
      </c>
      <c r="G1331" s="19" t="s">
        <v>1539</v>
      </c>
      <c r="H1331" s="19" t="s">
        <v>1472</v>
      </c>
      <c r="I1331" s="17" t="b">
        <v>0</v>
      </c>
      <c r="J1331" s="17" t="s">
        <v>43</v>
      </c>
      <c r="K1331" s="21" t="str">
        <f t="shared" si="31"/>
        <v>https://version2.ice-d.org/antarctica/sample/99-MBL-044-PAS/</v>
      </c>
      <c r="L1331" s="31" t="s">
        <v>39</v>
      </c>
      <c r="M1331" s="155"/>
      <c r="O1331" s="17" t="s">
        <v>1473</v>
      </c>
      <c r="P1331" s="22">
        <v>-76.875100000000003</v>
      </c>
      <c r="Q1331" s="22">
        <v>-145.0043</v>
      </c>
      <c r="R1331" s="22"/>
      <c r="S1331" s="22">
        <v>443</v>
      </c>
      <c r="T1331" s="17">
        <v>370</v>
      </c>
      <c r="U1331" s="23">
        <v>500</v>
      </c>
      <c r="V1331" s="152" t="s">
        <v>2440</v>
      </c>
      <c r="W1331" s="44" t="s">
        <v>2441</v>
      </c>
      <c r="X1331" s="17">
        <f t="shared" si="30"/>
        <v>73</v>
      </c>
      <c r="Y1331" s="22">
        <v>6</v>
      </c>
      <c r="Z1331" s="22">
        <v>2.7</v>
      </c>
      <c r="AA1331" s="17" t="s">
        <v>73</v>
      </c>
      <c r="AB1331" s="26">
        <v>1818</v>
      </c>
      <c r="AC1331" s="26">
        <v>321</v>
      </c>
      <c r="AD1331" s="26">
        <v>338</v>
      </c>
      <c r="AE1331" s="27">
        <v>15194</v>
      </c>
      <c r="AF1331" s="27">
        <v>2678</v>
      </c>
      <c r="AG1331" s="28"/>
      <c r="AH1331" s="28"/>
      <c r="AI1331" s="17">
        <v>1999</v>
      </c>
      <c r="AJ1331" s="17">
        <v>1</v>
      </c>
      <c r="AK1331" s="17">
        <v>0</v>
      </c>
    </row>
    <row r="1332" spans="1:38" ht="15.75" customHeight="1">
      <c r="A1332" s="43" t="s">
        <v>1542</v>
      </c>
      <c r="B1332" s="19" t="s">
        <v>1543</v>
      </c>
      <c r="C1332" s="17">
        <v>155</v>
      </c>
      <c r="D1332" s="142" t="s">
        <v>196</v>
      </c>
      <c r="E1332" s="19">
        <v>0</v>
      </c>
      <c r="F1332" s="19" t="s">
        <v>1470</v>
      </c>
      <c r="G1332" s="19" t="s">
        <v>1523</v>
      </c>
      <c r="H1332" s="19" t="s">
        <v>1472</v>
      </c>
      <c r="I1332" s="17" t="b">
        <v>0</v>
      </c>
      <c r="K1332" s="21" t="s">
        <v>1544</v>
      </c>
      <c r="L1332" s="43" t="s">
        <v>1545</v>
      </c>
      <c r="M1332" s="178" t="s">
        <v>44</v>
      </c>
      <c r="O1332" s="17" t="s">
        <v>44</v>
      </c>
      <c r="P1332" s="17">
        <v>-77.251999999999995</v>
      </c>
      <c r="Q1332" s="17">
        <v>-144.49600000000001</v>
      </c>
      <c r="S1332" s="17">
        <v>564</v>
      </c>
      <c r="T1332" s="17">
        <v>520</v>
      </c>
      <c r="U1332" s="23">
        <v>500</v>
      </c>
      <c r="V1332" s="152" t="s">
        <v>2440</v>
      </c>
      <c r="W1332" s="44" t="s">
        <v>2441</v>
      </c>
      <c r="X1332" s="17">
        <f t="shared" si="30"/>
        <v>44</v>
      </c>
      <c r="Y1332" s="17">
        <v>5.5</v>
      </c>
      <c r="Z1332" s="17">
        <v>2.65</v>
      </c>
      <c r="AA1332" s="17" t="s">
        <v>58</v>
      </c>
      <c r="AB1332" s="56">
        <v>6813</v>
      </c>
      <c r="AC1332" s="56">
        <v>411</v>
      </c>
      <c r="AD1332" s="56"/>
      <c r="AE1332" s="28">
        <v>118802.2984</v>
      </c>
      <c r="AF1332" s="28">
        <v>8249.2629120000001</v>
      </c>
      <c r="AG1332" s="28">
        <v>443119.8959</v>
      </c>
      <c r="AH1332" s="28">
        <v>26610.099450000002</v>
      </c>
      <c r="AI1332" s="17">
        <v>2001</v>
      </c>
      <c r="AJ1332" s="17">
        <v>1</v>
      </c>
      <c r="AK1332" s="17">
        <v>1</v>
      </c>
      <c r="AL1332" s="17" t="s">
        <v>316</v>
      </c>
    </row>
    <row r="1333" spans="1:38" ht="15.75" customHeight="1">
      <c r="A1333" s="43" t="s">
        <v>1542</v>
      </c>
      <c r="B1333" s="19" t="s">
        <v>1543</v>
      </c>
      <c r="C1333" s="17">
        <v>155</v>
      </c>
      <c r="D1333" s="142" t="s">
        <v>196</v>
      </c>
      <c r="E1333" s="19">
        <v>0</v>
      </c>
      <c r="F1333" s="19" t="s">
        <v>1470</v>
      </c>
      <c r="G1333" s="19" t="s">
        <v>1523</v>
      </c>
      <c r="H1333" s="19" t="s">
        <v>1472</v>
      </c>
      <c r="I1333" s="17" t="b">
        <v>0</v>
      </c>
      <c r="K1333" s="21" t="s">
        <v>1544</v>
      </c>
      <c r="L1333" s="43" t="s">
        <v>1545</v>
      </c>
      <c r="M1333" s="155"/>
      <c r="O1333" s="17" t="s">
        <v>44</v>
      </c>
      <c r="P1333" s="17">
        <v>-77.251999999999995</v>
      </c>
      <c r="Q1333" s="17">
        <v>-144.49600000000001</v>
      </c>
      <c r="S1333" s="17">
        <v>564</v>
      </c>
      <c r="T1333" s="17">
        <v>520</v>
      </c>
      <c r="U1333" s="23">
        <v>500</v>
      </c>
      <c r="V1333" s="152" t="s">
        <v>2440</v>
      </c>
      <c r="W1333" s="44" t="s">
        <v>2441</v>
      </c>
      <c r="X1333" s="17">
        <f t="shared" si="30"/>
        <v>44</v>
      </c>
      <c r="Y1333" s="17">
        <v>5.5</v>
      </c>
      <c r="Z1333" s="17">
        <v>2.65</v>
      </c>
      <c r="AA1333" s="17" t="s">
        <v>58</v>
      </c>
      <c r="AB1333" s="56">
        <v>11170</v>
      </c>
      <c r="AC1333" s="56">
        <v>778</v>
      </c>
      <c r="AD1333" s="56"/>
      <c r="AE1333" s="28">
        <v>118802.2984</v>
      </c>
      <c r="AF1333" s="28">
        <v>8249.2629120000001</v>
      </c>
      <c r="AG1333" s="28">
        <v>443119.8959</v>
      </c>
      <c r="AH1333" s="28">
        <v>26610.099450000002</v>
      </c>
      <c r="AI1333" s="17">
        <v>2001</v>
      </c>
      <c r="AJ1333" s="17">
        <v>1</v>
      </c>
      <c r="AK1333" s="17">
        <v>1</v>
      </c>
      <c r="AL1333" s="17" t="s">
        <v>316</v>
      </c>
    </row>
    <row r="1334" spans="1:38" ht="12.75" customHeight="1">
      <c r="A1334" s="43" t="s">
        <v>1546</v>
      </c>
      <c r="B1334" s="19" t="s">
        <v>1543</v>
      </c>
      <c r="C1334" s="17">
        <v>155</v>
      </c>
      <c r="D1334" s="142" t="s">
        <v>196</v>
      </c>
      <c r="E1334" s="19">
        <v>0</v>
      </c>
      <c r="F1334" s="19" t="s">
        <v>1470</v>
      </c>
      <c r="G1334" s="19" t="s">
        <v>1471</v>
      </c>
      <c r="H1334" s="19" t="s">
        <v>1472</v>
      </c>
      <c r="I1334" s="17" t="b">
        <v>0</v>
      </c>
      <c r="J1334" s="17" t="s">
        <v>43</v>
      </c>
      <c r="K1334" s="21" t="str">
        <f t="shared" ref="K1334:K1335" si="32">CONCATENATE("https://version2.ice-d.org/antarctica/sample/", A1334, "/")</f>
        <v>https://version2.ice-d.org/antarctica/sample/01-MBL-083-FLM/</v>
      </c>
      <c r="L1334" s="43" t="s">
        <v>148</v>
      </c>
      <c r="M1334" s="155"/>
      <c r="O1334" s="17" t="s">
        <v>1473</v>
      </c>
      <c r="P1334" s="17">
        <v>-77.254400000000004</v>
      </c>
      <c r="Q1334" s="17">
        <v>-144.4348</v>
      </c>
      <c r="S1334" s="17">
        <v>691</v>
      </c>
      <c r="T1334" s="17">
        <v>520</v>
      </c>
      <c r="U1334" s="23">
        <v>500</v>
      </c>
      <c r="V1334" s="152" t="s">
        <v>2440</v>
      </c>
      <c r="W1334" s="44" t="s">
        <v>2441</v>
      </c>
      <c r="X1334" s="17">
        <f t="shared" si="30"/>
        <v>171</v>
      </c>
      <c r="Y1334" s="17">
        <v>4</v>
      </c>
      <c r="Z1334" s="17">
        <v>2.7</v>
      </c>
      <c r="AA1334" s="17" t="s">
        <v>73</v>
      </c>
      <c r="AB1334" s="56">
        <v>4891</v>
      </c>
      <c r="AC1334" s="56">
        <v>131</v>
      </c>
      <c r="AD1334" s="56">
        <v>317</v>
      </c>
      <c r="AE1334" s="28">
        <v>51065</v>
      </c>
      <c r="AF1334" s="28">
        <v>1364</v>
      </c>
      <c r="AG1334" s="28"/>
      <c r="AH1334" s="28"/>
      <c r="AI1334" s="17">
        <v>2001</v>
      </c>
      <c r="AJ1334" s="17">
        <v>1</v>
      </c>
      <c r="AK1334" s="17">
        <v>0</v>
      </c>
      <c r="AL1334" s="17" t="s">
        <v>1547</v>
      </c>
    </row>
    <row r="1335" spans="1:38" ht="11.25" customHeight="1">
      <c r="A1335" s="43" t="s">
        <v>1548</v>
      </c>
      <c r="B1335" s="19" t="s">
        <v>1543</v>
      </c>
      <c r="C1335" s="17">
        <v>155</v>
      </c>
      <c r="D1335" s="142" t="s">
        <v>196</v>
      </c>
      <c r="E1335" s="19">
        <v>0</v>
      </c>
      <c r="F1335" s="19" t="s">
        <v>1470</v>
      </c>
      <c r="G1335" s="19" t="s">
        <v>1471</v>
      </c>
      <c r="H1335" s="19" t="s">
        <v>1472</v>
      </c>
      <c r="I1335" s="17" t="b">
        <v>0</v>
      </c>
      <c r="J1335" s="17" t="s">
        <v>43</v>
      </c>
      <c r="K1335" s="21" t="str">
        <f t="shared" si="32"/>
        <v>https://version2.ice-d.org/antarctica/sample/01-MBL-088-FLM/</v>
      </c>
      <c r="L1335" s="43" t="s">
        <v>148</v>
      </c>
      <c r="M1335" s="155"/>
      <c r="O1335" s="17" t="s">
        <v>1473</v>
      </c>
      <c r="P1335" s="17">
        <v>-77.254999999999995</v>
      </c>
      <c r="Q1335" s="17">
        <v>-144.4442</v>
      </c>
      <c r="S1335" s="17">
        <v>660</v>
      </c>
      <c r="T1335" s="17">
        <v>520</v>
      </c>
      <c r="U1335" s="23">
        <v>500</v>
      </c>
      <c r="V1335" s="152" t="s">
        <v>2440</v>
      </c>
      <c r="W1335" s="44" t="s">
        <v>2441</v>
      </c>
      <c r="X1335" s="17">
        <f t="shared" si="30"/>
        <v>140</v>
      </c>
      <c r="Y1335" s="17">
        <v>7.5</v>
      </c>
      <c r="Z1335" s="17">
        <v>2.7</v>
      </c>
      <c r="AA1335" s="17" t="s">
        <v>73</v>
      </c>
      <c r="AB1335" s="56">
        <v>4218</v>
      </c>
      <c r="AC1335" s="56">
        <v>150</v>
      </c>
      <c r="AD1335" s="56">
        <v>291</v>
      </c>
      <c r="AE1335" s="28">
        <v>41729</v>
      </c>
      <c r="AF1335" s="28">
        <v>1483</v>
      </c>
      <c r="AG1335" s="28"/>
      <c r="AH1335" s="28"/>
      <c r="AI1335" s="17">
        <v>2001</v>
      </c>
      <c r="AJ1335" s="17">
        <v>1</v>
      </c>
      <c r="AK1335" s="17">
        <v>0</v>
      </c>
      <c r="AL1335" s="17" t="s">
        <v>1547</v>
      </c>
    </row>
    <row r="1336" spans="1:38" ht="14" customHeight="1">
      <c r="A1336" s="61" t="s">
        <v>1549</v>
      </c>
      <c r="B1336" s="19" t="s">
        <v>1550</v>
      </c>
      <c r="C1336" s="17">
        <v>156</v>
      </c>
      <c r="D1336" s="142" t="s">
        <v>196</v>
      </c>
      <c r="E1336" s="19">
        <v>0</v>
      </c>
      <c r="F1336" s="19" t="s">
        <v>1551</v>
      </c>
      <c r="G1336" s="19" t="s">
        <v>1552</v>
      </c>
      <c r="H1336" s="19" t="s">
        <v>1553</v>
      </c>
      <c r="I1336" s="17" t="b">
        <v>0</v>
      </c>
      <c r="K1336" s="21" t="str">
        <f>CONCATENATE("https://version2.ice-d.org/antarctica/sample/", A1336, "/")</f>
        <v>https://version2.ice-d.org/antarctica/sample/JS2010-R9-4-2/</v>
      </c>
      <c r="L1336" s="61" t="s">
        <v>1554</v>
      </c>
      <c r="M1336" s="62"/>
      <c r="O1336" s="17" t="s">
        <v>1555</v>
      </c>
      <c r="P1336" s="22">
        <v>-75.444500000000005</v>
      </c>
      <c r="Q1336" s="22">
        <v>-111.36783</v>
      </c>
      <c r="R1336" s="22"/>
      <c r="S1336" s="22">
        <v>699</v>
      </c>
      <c r="T1336" s="22">
        <v>410</v>
      </c>
      <c r="U1336" s="23">
        <v>560</v>
      </c>
      <c r="V1336" s="153" t="s">
        <v>2261</v>
      </c>
      <c r="W1336" s="44" t="s">
        <v>2457</v>
      </c>
      <c r="X1336" s="22">
        <f>S1336-T1336</f>
        <v>289</v>
      </c>
      <c r="Y1336" s="22">
        <v>3.59</v>
      </c>
      <c r="AA1336" s="17" t="s">
        <v>84</v>
      </c>
      <c r="AB1336" s="26">
        <v>7010</v>
      </c>
      <c r="AC1336" s="26">
        <v>176</v>
      </c>
      <c r="AD1336" s="26"/>
      <c r="AE1336" s="27">
        <v>75558.886859999999</v>
      </c>
      <c r="AF1336" s="27">
        <v>1888.972172</v>
      </c>
      <c r="AG1336" s="28"/>
      <c r="AH1336" s="28"/>
      <c r="AI1336" s="17">
        <v>2010</v>
      </c>
      <c r="AJ1336" s="17">
        <v>1</v>
      </c>
      <c r="AK1336" s="17">
        <v>1</v>
      </c>
      <c r="AL1336" s="17" t="s">
        <v>1556</v>
      </c>
    </row>
    <row r="1337" spans="1:38" ht="12.75" customHeight="1">
      <c r="A1337" s="64" t="s">
        <v>1557</v>
      </c>
      <c r="B1337" s="19" t="s">
        <v>1550</v>
      </c>
      <c r="C1337" s="17">
        <v>156</v>
      </c>
      <c r="D1337" s="142" t="s">
        <v>196</v>
      </c>
      <c r="E1337" s="19">
        <v>0</v>
      </c>
      <c r="F1337" s="19" t="s">
        <v>1551</v>
      </c>
      <c r="G1337" s="19" t="s">
        <v>1558</v>
      </c>
      <c r="H1337" s="19" t="s">
        <v>1559</v>
      </c>
      <c r="I1337" s="17" t="b">
        <v>0</v>
      </c>
      <c r="J1337" s="17" t="s">
        <v>43</v>
      </c>
      <c r="K1337" s="17" t="s">
        <v>1560</v>
      </c>
      <c r="L1337" s="88" t="s">
        <v>520</v>
      </c>
      <c r="M1337" s="88" t="s">
        <v>44</v>
      </c>
      <c r="O1337" s="17" t="s">
        <v>1555</v>
      </c>
      <c r="P1337" s="22">
        <v>-75.444879666666665</v>
      </c>
      <c r="Q1337" s="22">
        <v>-111.36655549999999</v>
      </c>
      <c r="R1337" s="22"/>
      <c r="S1337" s="22">
        <v>674.21966666666674</v>
      </c>
      <c r="T1337" s="22">
        <v>410</v>
      </c>
      <c r="U1337" s="23">
        <v>560</v>
      </c>
      <c r="V1337" s="153" t="s">
        <v>2262</v>
      </c>
      <c r="W1337" s="44" t="s">
        <v>2457</v>
      </c>
      <c r="X1337" s="22">
        <v>264.21966666666674</v>
      </c>
      <c r="Y1337" s="22"/>
      <c r="AB1337" s="60">
        <v>6635.166666666667</v>
      </c>
      <c r="AC1337" s="60">
        <v>210.16666666666666</v>
      </c>
      <c r="AD1337" s="60">
        <v>210.16666666666666</v>
      </c>
      <c r="AE1337" s="27"/>
      <c r="AF1337" s="27"/>
      <c r="AG1337" s="28"/>
      <c r="AH1337" s="28"/>
      <c r="AK1337" s="17">
        <v>0</v>
      </c>
      <c r="AL1337" s="17" t="s">
        <v>1561</v>
      </c>
    </row>
    <row r="1338" spans="1:38" ht="15.75" customHeight="1">
      <c r="A1338" s="76" t="s">
        <v>1562</v>
      </c>
      <c r="B1338" s="19" t="s">
        <v>1550</v>
      </c>
      <c r="C1338" s="17">
        <v>156</v>
      </c>
      <c r="D1338" s="142" t="s">
        <v>196</v>
      </c>
      <c r="E1338" s="19">
        <v>0</v>
      </c>
      <c r="F1338" s="19" t="s">
        <v>1551</v>
      </c>
      <c r="G1338" s="19" t="s">
        <v>1558</v>
      </c>
      <c r="H1338" s="19" t="s">
        <v>1559</v>
      </c>
      <c r="I1338" s="17" t="b">
        <v>0</v>
      </c>
      <c r="J1338" s="17" t="s">
        <v>43</v>
      </c>
      <c r="K1338" s="21" t="str">
        <f t="shared" ref="K1338:K1358" si="33">CONCATENATE("https://version2.ice-d.org/antarctica/sample/", A1338, "/")</f>
        <v>https://version2.ice-d.org/antarctica/sample/JJ2015-DOR-101/</v>
      </c>
      <c r="L1338" s="76" t="s">
        <v>39</v>
      </c>
      <c r="M1338" s="173" t="s">
        <v>44</v>
      </c>
      <c r="O1338" s="17" t="s">
        <v>1555</v>
      </c>
      <c r="P1338" s="22">
        <v>-75.444565999999995</v>
      </c>
      <c r="Q1338" s="22">
        <v>-111.36870399999999</v>
      </c>
      <c r="R1338" s="22"/>
      <c r="S1338" s="22">
        <v>694</v>
      </c>
      <c r="T1338" s="22">
        <v>410</v>
      </c>
      <c r="U1338" s="23">
        <v>560</v>
      </c>
      <c r="V1338" s="153" t="s">
        <v>2263</v>
      </c>
      <c r="W1338" s="44" t="s">
        <v>2457</v>
      </c>
      <c r="X1338" s="22">
        <f t="shared" ref="X1338:X1353" si="34">S1338-T1338</f>
        <v>284</v>
      </c>
      <c r="Y1338" s="22">
        <v>2.97</v>
      </c>
      <c r="AA1338" s="17" t="s">
        <v>84</v>
      </c>
      <c r="AB1338" s="26">
        <v>5552</v>
      </c>
      <c r="AC1338" s="26">
        <v>139</v>
      </c>
      <c r="AD1338" s="26"/>
      <c r="AE1338" s="27">
        <v>59556.755830000002</v>
      </c>
      <c r="AF1338" s="27">
        <v>1488.9188959999999</v>
      </c>
      <c r="AG1338" s="28"/>
      <c r="AH1338" s="28"/>
      <c r="AI1338" s="17">
        <v>2016</v>
      </c>
      <c r="AJ1338" s="17">
        <v>1</v>
      </c>
      <c r="AK1338" s="17">
        <v>1</v>
      </c>
      <c r="AL1338" s="17" t="s">
        <v>1563</v>
      </c>
    </row>
    <row r="1339" spans="1:38" ht="15.75" customHeight="1">
      <c r="A1339" s="76" t="s">
        <v>1564</v>
      </c>
      <c r="B1339" s="19" t="s">
        <v>1550</v>
      </c>
      <c r="C1339" s="17">
        <v>156</v>
      </c>
      <c r="D1339" s="142" t="s">
        <v>196</v>
      </c>
      <c r="E1339" s="19">
        <v>0</v>
      </c>
      <c r="F1339" s="19" t="s">
        <v>1551</v>
      </c>
      <c r="G1339" s="19" t="s">
        <v>1558</v>
      </c>
      <c r="H1339" s="19" t="s">
        <v>1559</v>
      </c>
      <c r="I1339" s="17" t="b">
        <v>0</v>
      </c>
      <c r="J1339" s="17" t="s">
        <v>43</v>
      </c>
      <c r="K1339" s="21" t="str">
        <f t="shared" si="33"/>
        <v>https://version2.ice-d.org/antarctica/sample/JJ2015-DOR-102/</v>
      </c>
      <c r="L1339" s="76" t="s">
        <v>39</v>
      </c>
      <c r="M1339" s="155"/>
      <c r="O1339" s="17" t="s">
        <v>1555</v>
      </c>
      <c r="P1339" s="22">
        <v>-75.443996999999996</v>
      </c>
      <c r="Q1339" s="22">
        <v>-111.374887</v>
      </c>
      <c r="R1339" s="22"/>
      <c r="S1339" s="22">
        <v>681.80499999999995</v>
      </c>
      <c r="T1339" s="22">
        <v>410</v>
      </c>
      <c r="U1339" s="23">
        <v>560</v>
      </c>
      <c r="V1339" s="153" t="s">
        <v>2264</v>
      </c>
      <c r="W1339" s="44" t="s">
        <v>2457</v>
      </c>
      <c r="X1339" s="22">
        <f t="shared" si="34"/>
        <v>271.80499999999995</v>
      </c>
      <c r="Y1339" s="22">
        <v>3.9</v>
      </c>
      <c r="AA1339" s="17" t="s">
        <v>84</v>
      </c>
      <c r="AB1339" s="26">
        <v>7734</v>
      </c>
      <c r="AC1339" s="26">
        <v>221</v>
      </c>
      <c r="AD1339" s="26"/>
      <c r="AE1339" s="27">
        <v>82430.606020000007</v>
      </c>
      <c r="AF1339" s="27">
        <v>2348.9309469999998</v>
      </c>
      <c r="AG1339" s="28"/>
      <c r="AH1339" s="28"/>
      <c r="AI1339" s="17">
        <v>2016</v>
      </c>
      <c r="AJ1339" s="17">
        <v>1</v>
      </c>
      <c r="AK1339" s="17">
        <v>1</v>
      </c>
      <c r="AL1339" s="17" t="s">
        <v>1563</v>
      </c>
    </row>
    <row r="1340" spans="1:38" ht="15.75" customHeight="1">
      <c r="A1340" s="76" t="s">
        <v>1565</v>
      </c>
      <c r="B1340" s="19" t="s">
        <v>1550</v>
      </c>
      <c r="C1340" s="17">
        <v>156</v>
      </c>
      <c r="D1340" s="142" t="s">
        <v>196</v>
      </c>
      <c r="E1340" s="19">
        <v>0</v>
      </c>
      <c r="F1340" s="19" t="s">
        <v>1551</v>
      </c>
      <c r="G1340" s="19" t="s">
        <v>1558</v>
      </c>
      <c r="H1340" s="19" t="s">
        <v>1559</v>
      </c>
      <c r="I1340" s="17" t="b">
        <v>0</v>
      </c>
      <c r="J1340" s="17" t="s">
        <v>43</v>
      </c>
      <c r="K1340" s="21" t="str">
        <f t="shared" si="33"/>
        <v>https://version2.ice-d.org/antarctica/sample/JJ2015-DOR-104/</v>
      </c>
      <c r="L1340" s="76" t="s">
        <v>39</v>
      </c>
      <c r="M1340" s="155"/>
      <c r="O1340" s="17" t="s">
        <v>1555</v>
      </c>
      <c r="P1340" s="22">
        <v>-75.444676000000001</v>
      </c>
      <c r="Q1340" s="22">
        <v>-111.366499</v>
      </c>
      <c r="R1340" s="22"/>
      <c r="S1340" s="22">
        <v>685.10400000000004</v>
      </c>
      <c r="T1340" s="22">
        <v>410</v>
      </c>
      <c r="U1340" s="23">
        <v>560</v>
      </c>
      <c r="V1340" s="153" t="s">
        <v>2265</v>
      </c>
      <c r="W1340" s="44" t="s">
        <v>2457</v>
      </c>
      <c r="X1340" s="22">
        <f t="shared" si="34"/>
        <v>275.10400000000004</v>
      </c>
      <c r="Y1340" s="22">
        <v>3.57</v>
      </c>
      <c r="AA1340" s="17" t="s">
        <v>84</v>
      </c>
      <c r="AB1340" s="26">
        <v>8002</v>
      </c>
      <c r="AC1340" s="26">
        <v>200</v>
      </c>
      <c r="AD1340" s="26"/>
      <c r="AE1340" s="27">
        <v>85471.740699999995</v>
      </c>
      <c r="AF1340" s="27">
        <v>2136.7935170000001</v>
      </c>
      <c r="AG1340" s="28"/>
      <c r="AH1340" s="28"/>
      <c r="AI1340" s="17">
        <v>2016</v>
      </c>
      <c r="AJ1340" s="17">
        <v>1</v>
      </c>
      <c r="AK1340" s="17">
        <v>1</v>
      </c>
      <c r="AL1340" s="17" t="s">
        <v>1563</v>
      </c>
    </row>
    <row r="1341" spans="1:38" ht="15.75" customHeight="1">
      <c r="A1341" s="76" t="s">
        <v>1566</v>
      </c>
      <c r="B1341" s="19" t="s">
        <v>1550</v>
      </c>
      <c r="C1341" s="17">
        <v>156</v>
      </c>
      <c r="D1341" s="142" t="s">
        <v>196</v>
      </c>
      <c r="E1341" s="19">
        <v>0</v>
      </c>
      <c r="F1341" s="19" t="s">
        <v>1551</v>
      </c>
      <c r="G1341" s="19" t="s">
        <v>1558</v>
      </c>
      <c r="H1341" s="19" t="s">
        <v>1559</v>
      </c>
      <c r="I1341" s="17" t="b">
        <v>0</v>
      </c>
      <c r="J1341" s="17" t="s">
        <v>43</v>
      </c>
      <c r="K1341" s="21" t="str">
        <f t="shared" si="33"/>
        <v>https://version2.ice-d.org/antarctica/sample/JJ2015-DOR-106/</v>
      </c>
      <c r="L1341" s="76" t="s">
        <v>39</v>
      </c>
      <c r="M1341" s="155"/>
      <c r="O1341" s="17" t="s">
        <v>1555</v>
      </c>
      <c r="P1341" s="22">
        <v>-75.445008999999999</v>
      </c>
      <c r="Q1341" s="22">
        <v>-111.36462400000001</v>
      </c>
      <c r="R1341" s="22"/>
      <c r="S1341" s="22">
        <v>672.09</v>
      </c>
      <c r="T1341" s="22">
        <v>410</v>
      </c>
      <c r="U1341" s="23">
        <v>560</v>
      </c>
      <c r="V1341" s="153" t="s">
        <v>2266</v>
      </c>
      <c r="W1341" s="44" t="s">
        <v>2457</v>
      </c>
      <c r="X1341" s="22">
        <f t="shared" si="34"/>
        <v>262.09000000000003</v>
      </c>
      <c r="Y1341" s="22">
        <v>2.4900000000000002</v>
      </c>
      <c r="AA1341" s="17" t="s">
        <v>84</v>
      </c>
      <c r="AB1341" s="26">
        <v>5803</v>
      </c>
      <c r="AC1341" s="26">
        <v>278</v>
      </c>
      <c r="AD1341" s="26"/>
      <c r="AE1341" s="27">
        <v>61066.629379999998</v>
      </c>
      <c r="AF1341" s="27">
        <v>2917.9017800000001</v>
      </c>
      <c r="AG1341" s="28"/>
      <c r="AH1341" s="28"/>
      <c r="AI1341" s="17">
        <v>2016</v>
      </c>
      <c r="AJ1341" s="17">
        <v>1</v>
      </c>
      <c r="AK1341" s="17">
        <v>1</v>
      </c>
      <c r="AL1341" s="17" t="s">
        <v>1563</v>
      </c>
    </row>
    <row r="1342" spans="1:38" ht="15.75" customHeight="1">
      <c r="A1342" s="76" t="s">
        <v>1567</v>
      </c>
      <c r="B1342" s="19" t="s">
        <v>1550</v>
      </c>
      <c r="C1342" s="17">
        <v>156</v>
      </c>
      <c r="D1342" s="142" t="s">
        <v>196</v>
      </c>
      <c r="E1342" s="19">
        <v>0</v>
      </c>
      <c r="F1342" s="19" t="s">
        <v>1551</v>
      </c>
      <c r="G1342" s="19" t="s">
        <v>1558</v>
      </c>
      <c r="H1342" s="19" t="s">
        <v>1559</v>
      </c>
      <c r="I1342" s="17" t="b">
        <v>0</v>
      </c>
      <c r="J1342" s="17" t="s">
        <v>43</v>
      </c>
      <c r="K1342" s="21" t="str">
        <f t="shared" si="33"/>
        <v>https://version2.ice-d.org/antarctica/sample/JJ2015-DOR-107/</v>
      </c>
      <c r="L1342" s="76" t="s">
        <v>39</v>
      </c>
      <c r="M1342" s="155"/>
      <c r="O1342" s="17" t="s">
        <v>1555</v>
      </c>
      <c r="P1342" s="22">
        <v>-75.44556</v>
      </c>
      <c r="Q1342" s="22">
        <v>-111.36203</v>
      </c>
      <c r="R1342" s="22"/>
      <c r="S1342" s="22">
        <v>650.452</v>
      </c>
      <c r="T1342" s="22">
        <v>410</v>
      </c>
      <c r="U1342" s="23">
        <v>560</v>
      </c>
      <c r="V1342" s="153" t="s">
        <v>2267</v>
      </c>
      <c r="W1342" s="44" t="s">
        <v>2457</v>
      </c>
      <c r="X1342" s="22">
        <f t="shared" si="34"/>
        <v>240.452</v>
      </c>
      <c r="Y1342" s="22">
        <v>3.03</v>
      </c>
      <c r="AA1342" s="17" t="s">
        <v>84</v>
      </c>
      <c r="AB1342" s="26">
        <v>5727</v>
      </c>
      <c r="AC1342" s="26">
        <v>180</v>
      </c>
      <c r="AD1342" s="26"/>
      <c r="AE1342" s="27">
        <v>58353.33627</v>
      </c>
      <c r="AF1342" s="27">
        <v>1831.9602179999999</v>
      </c>
      <c r="AG1342" s="28"/>
      <c r="AH1342" s="28"/>
      <c r="AI1342" s="17">
        <v>2016</v>
      </c>
      <c r="AJ1342" s="17">
        <v>1</v>
      </c>
      <c r="AK1342" s="17">
        <v>1</v>
      </c>
      <c r="AL1342" s="17" t="s">
        <v>1563</v>
      </c>
    </row>
    <row r="1343" spans="1:38" ht="15.75" customHeight="1">
      <c r="A1343" s="76" t="s">
        <v>1568</v>
      </c>
      <c r="B1343" s="19" t="s">
        <v>1550</v>
      </c>
      <c r="C1343" s="17">
        <v>156</v>
      </c>
      <c r="D1343" s="142" t="s">
        <v>196</v>
      </c>
      <c r="E1343" s="19">
        <v>0</v>
      </c>
      <c r="F1343" s="19" t="s">
        <v>1551</v>
      </c>
      <c r="G1343" s="19" t="s">
        <v>1558</v>
      </c>
      <c r="H1343" s="19" t="s">
        <v>1559</v>
      </c>
      <c r="I1343" s="17" t="b">
        <v>0</v>
      </c>
      <c r="J1343" s="17" t="s">
        <v>43</v>
      </c>
      <c r="K1343" s="21" t="str">
        <f t="shared" si="33"/>
        <v>https://version2.ice-d.org/antarctica/sample/JJ2015-DOR-108/</v>
      </c>
      <c r="L1343" s="76" t="s">
        <v>39</v>
      </c>
      <c r="M1343" s="155"/>
      <c r="O1343" s="17" t="s">
        <v>1555</v>
      </c>
      <c r="P1343" s="22">
        <v>-75.44547</v>
      </c>
      <c r="Q1343" s="22">
        <v>-111.362589</v>
      </c>
      <c r="R1343" s="22"/>
      <c r="S1343" s="22">
        <v>661.86699999999996</v>
      </c>
      <c r="T1343" s="22">
        <v>410</v>
      </c>
      <c r="U1343" s="23">
        <v>560</v>
      </c>
      <c r="V1343" s="153" t="s">
        <v>2268</v>
      </c>
      <c r="W1343" s="44" t="s">
        <v>2457</v>
      </c>
      <c r="X1343" s="22">
        <f t="shared" si="34"/>
        <v>251.86699999999996</v>
      </c>
      <c r="Y1343" s="22">
        <v>3.45</v>
      </c>
      <c r="AA1343" s="17" t="s">
        <v>84</v>
      </c>
      <c r="AB1343" s="26">
        <v>6993</v>
      </c>
      <c r="AC1343" s="26">
        <v>243</v>
      </c>
      <c r="AD1343" s="26"/>
      <c r="AE1343" s="27">
        <v>72756.291519999999</v>
      </c>
      <c r="AF1343" s="27">
        <v>2521.7627980000002</v>
      </c>
      <c r="AG1343" s="28"/>
      <c r="AH1343" s="28"/>
      <c r="AI1343" s="17">
        <v>2016</v>
      </c>
      <c r="AJ1343" s="17">
        <v>1</v>
      </c>
      <c r="AK1343" s="17">
        <v>1</v>
      </c>
      <c r="AL1343" s="17" t="s">
        <v>1563</v>
      </c>
    </row>
    <row r="1344" spans="1:38" ht="15.75" customHeight="1">
      <c r="A1344" s="70" t="s">
        <v>1569</v>
      </c>
      <c r="B1344" s="19" t="s">
        <v>1570</v>
      </c>
      <c r="C1344" s="17">
        <v>156</v>
      </c>
      <c r="D1344" s="142" t="s">
        <v>196</v>
      </c>
      <c r="E1344" s="19">
        <v>0</v>
      </c>
      <c r="F1344" s="19" t="s">
        <v>1551</v>
      </c>
      <c r="G1344" s="19" t="s">
        <v>1558</v>
      </c>
      <c r="H1344" s="19" t="s">
        <v>1559</v>
      </c>
      <c r="I1344" s="17" t="b">
        <v>0</v>
      </c>
      <c r="J1344" s="17" t="s">
        <v>43</v>
      </c>
      <c r="K1344" s="21" t="str">
        <f t="shared" si="33"/>
        <v>https://version2.ice-d.org/antarctica/sample/JJ2015-ICE-102/</v>
      </c>
      <c r="L1344" s="70" t="s">
        <v>39</v>
      </c>
      <c r="M1344" s="186" t="s">
        <v>44</v>
      </c>
      <c r="O1344" s="17" t="s">
        <v>1555</v>
      </c>
      <c r="P1344" s="22">
        <v>-75.390150000000006</v>
      </c>
      <c r="Q1344" s="22">
        <v>-111.24245999999999</v>
      </c>
      <c r="R1344" s="22"/>
      <c r="S1344" s="22">
        <v>645</v>
      </c>
      <c r="T1344" s="17">
        <v>320</v>
      </c>
      <c r="U1344" s="23">
        <v>560</v>
      </c>
      <c r="V1344" s="153" t="s">
        <v>2269</v>
      </c>
      <c r="W1344" s="44" t="s">
        <v>2457</v>
      </c>
      <c r="X1344" s="22">
        <f t="shared" si="34"/>
        <v>325</v>
      </c>
      <c r="Y1344" s="22">
        <v>4.58</v>
      </c>
      <c r="AA1344" s="17" t="s">
        <v>84</v>
      </c>
      <c r="AB1344" s="26">
        <v>7227</v>
      </c>
      <c r="AC1344" s="26">
        <v>201</v>
      </c>
      <c r="AD1344" s="26">
        <v>472</v>
      </c>
      <c r="AE1344" s="27">
        <v>73586.358980000005</v>
      </c>
      <c r="AF1344" s="27">
        <v>2046.5411340000001</v>
      </c>
      <c r="AG1344" s="28"/>
      <c r="AH1344" s="28"/>
      <c r="AI1344" s="17">
        <v>2015</v>
      </c>
      <c r="AJ1344" s="17">
        <v>1</v>
      </c>
      <c r="AK1344" s="17">
        <v>0</v>
      </c>
    </row>
    <row r="1345" spans="1:38" ht="15.75" customHeight="1">
      <c r="A1345" s="70" t="s">
        <v>1571</v>
      </c>
      <c r="B1345" s="19" t="s">
        <v>1570</v>
      </c>
      <c r="C1345" s="17">
        <v>156</v>
      </c>
      <c r="D1345" s="142" t="s">
        <v>196</v>
      </c>
      <c r="E1345" s="19">
        <v>0</v>
      </c>
      <c r="F1345" s="19" t="s">
        <v>1551</v>
      </c>
      <c r="G1345" s="19" t="s">
        <v>1558</v>
      </c>
      <c r="H1345" s="19" t="s">
        <v>1559</v>
      </c>
      <c r="I1345" s="17" t="b">
        <v>0</v>
      </c>
      <c r="J1345" s="17" t="s">
        <v>43</v>
      </c>
      <c r="K1345" s="21" t="str">
        <f t="shared" si="33"/>
        <v>https://version2.ice-d.org/antarctica/sample/JJ2015-ICE-104/</v>
      </c>
      <c r="L1345" s="70" t="s">
        <v>39</v>
      </c>
      <c r="M1345" s="155"/>
      <c r="O1345" s="17" t="s">
        <v>1555</v>
      </c>
      <c r="P1345" s="22">
        <v>-75.386259999999993</v>
      </c>
      <c r="Q1345" s="22">
        <v>-111.26643799999999</v>
      </c>
      <c r="R1345" s="22"/>
      <c r="S1345" s="22">
        <v>512</v>
      </c>
      <c r="T1345" s="17">
        <v>320</v>
      </c>
      <c r="U1345" s="23">
        <v>560</v>
      </c>
      <c r="V1345" s="153" t="s">
        <v>2270</v>
      </c>
      <c r="W1345" s="44" t="s">
        <v>2457</v>
      </c>
      <c r="X1345" s="22">
        <f t="shared" si="34"/>
        <v>192</v>
      </c>
      <c r="Y1345" s="22">
        <v>2.94</v>
      </c>
      <c r="AA1345" s="17" t="s">
        <v>84</v>
      </c>
      <c r="AB1345" s="26">
        <v>6771</v>
      </c>
      <c r="AC1345" s="26">
        <v>211</v>
      </c>
      <c r="AD1345" s="26">
        <v>452</v>
      </c>
      <c r="AE1345" s="27">
        <v>61228.343860000001</v>
      </c>
      <c r="AF1345" s="27">
        <v>1901.9213649999999</v>
      </c>
      <c r="AG1345" s="28"/>
      <c r="AH1345" s="28"/>
      <c r="AI1345" s="17">
        <v>2015</v>
      </c>
      <c r="AJ1345" s="17">
        <v>1</v>
      </c>
      <c r="AK1345" s="17">
        <v>0</v>
      </c>
    </row>
    <row r="1346" spans="1:38" ht="15.75" customHeight="1">
      <c r="A1346" s="70" t="s">
        <v>1572</v>
      </c>
      <c r="B1346" s="19" t="s">
        <v>1570</v>
      </c>
      <c r="C1346" s="17">
        <v>156</v>
      </c>
      <c r="D1346" s="142" t="s">
        <v>196</v>
      </c>
      <c r="E1346" s="19">
        <v>0</v>
      </c>
      <c r="F1346" s="19" t="s">
        <v>1551</v>
      </c>
      <c r="G1346" s="19" t="s">
        <v>1558</v>
      </c>
      <c r="H1346" s="19" t="s">
        <v>1559</v>
      </c>
      <c r="I1346" s="17" t="b">
        <v>0</v>
      </c>
      <c r="J1346" s="17" t="s">
        <v>43</v>
      </c>
      <c r="K1346" s="21" t="str">
        <f t="shared" si="33"/>
        <v>https://version2.ice-d.org/antarctica/sample/JJ2015-ICE-109/</v>
      </c>
      <c r="L1346" s="70" t="s">
        <v>39</v>
      </c>
      <c r="M1346" s="155"/>
      <c r="O1346" s="17" t="s">
        <v>1555</v>
      </c>
      <c r="P1346" s="22">
        <v>-75.387191999999999</v>
      </c>
      <c r="Q1346" s="22">
        <v>-111.261691</v>
      </c>
      <c r="R1346" s="22"/>
      <c r="S1346" s="22">
        <v>542.13699899999995</v>
      </c>
      <c r="T1346" s="17">
        <v>320</v>
      </c>
      <c r="U1346" s="23">
        <v>560</v>
      </c>
      <c r="V1346" s="153" t="s">
        <v>2271</v>
      </c>
      <c r="W1346" s="44" t="s">
        <v>2457</v>
      </c>
      <c r="X1346" s="22">
        <f t="shared" si="34"/>
        <v>222.13699899999995</v>
      </c>
      <c r="Y1346" s="22">
        <v>3.99</v>
      </c>
      <c r="AA1346" s="17" t="s">
        <v>84</v>
      </c>
      <c r="AB1346" s="26">
        <v>6766</v>
      </c>
      <c r="AC1346" s="26">
        <v>194</v>
      </c>
      <c r="AD1346" s="26">
        <v>445</v>
      </c>
      <c r="AE1346" s="27">
        <v>62759.198750000003</v>
      </c>
      <c r="AF1346" s="27">
        <v>1798.860572</v>
      </c>
      <c r="AG1346" s="28"/>
      <c r="AH1346" s="28"/>
      <c r="AI1346" s="17">
        <v>2015</v>
      </c>
      <c r="AJ1346" s="17">
        <v>1</v>
      </c>
      <c r="AK1346" s="17">
        <v>0</v>
      </c>
    </row>
    <row r="1347" spans="1:38" ht="15.75" customHeight="1">
      <c r="A1347" s="70" t="s">
        <v>1573</v>
      </c>
      <c r="B1347" s="19" t="s">
        <v>1570</v>
      </c>
      <c r="C1347" s="17">
        <v>156</v>
      </c>
      <c r="D1347" s="142" t="s">
        <v>196</v>
      </c>
      <c r="E1347" s="19">
        <v>0</v>
      </c>
      <c r="F1347" s="19" t="s">
        <v>1551</v>
      </c>
      <c r="G1347" s="19" t="s">
        <v>1558</v>
      </c>
      <c r="H1347" s="19" t="s">
        <v>1559</v>
      </c>
      <c r="I1347" s="17" t="b">
        <v>0</v>
      </c>
      <c r="J1347" s="17" t="s">
        <v>43</v>
      </c>
      <c r="K1347" s="21" t="str">
        <f t="shared" si="33"/>
        <v>https://version2.ice-d.org/antarctica/sample/JJ2015-ICE-111/</v>
      </c>
      <c r="L1347" s="70" t="s">
        <v>39</v>
      </c>
      <c r="M1347" s="155"/>
      <c r="O1347" s="17" t="s">
        <v>1555</v>
      </c>
      <c r="P1347" s="22">
        <v>-75.387500000000003</v>
      </c>
      <c r="Q1347" s="22">
        <v>-111.255689</v>
      </c>
      <c r="R1347" s="22"/>
      <c r="S1347" s="22">
        <v>563.08499900000004</v>
      </c>
      <c r="T1347" s="17">
        <v>320</v>
      </c>
      <c r="U1347" s="23">
        <v>560</v>
      </c>
      <c r="V1347" s="153" t="s">
        <v>2272</v>
      </c>
      <c r="W1347" s="44" t="s">
        <v>2457</v>
      </c>
      <c r="X1347" s="22">
        <f t="shared" si="34"/>
        <v>243.08499900000004</v>
      </c>
      <c r="Y1347" s="22">
        <v>3.2</v>
      </c>
      <c r="AA1347" s="17" t="s">
        <v>84</v>
      </c>
      <c r="AB1347" s="26">
        <v>7210</v>
      </c>
      <c r="AC1347" s="26">
        <v>222</v>
      </c>
      <c r="AD1347" s="26">
        <v>480</v>
      </c>
      <c r="AE1347" s="27">
        <v>68549.638850000003</v>
      </c>
      <c r="AF1347" s="27">
        <v>2105.3349560000001</v>
      </c>
      <c r="AG1347" s="28"/>
      <c r="AH1347" s="28"/>
      <c r="AI1347" s="17">
        <v>2015</v>
      </c>
      <c r="AJ1347" s="17">
        <v>1</v>
      </c>
      <c r="AK1347" s="17">
        <v>0</v>
      </c>
    </row>
    <row r="1348" spans="1:38" ht="15.75" customHeight="1">
      <c r="A1348" s="70" t="s">
        <v>1574</v>
      </c>
      <c r="B1348" s="19" t="s">
        <v>1570</v>
      </c>
      <c r="C1348" s="17">
        <v>156</v>
      </c>
      <c r="D1348" s="142" t="s">
        <v>196</v>
      </c>
      <c r="E1348" s="19">
        <v>0</v>
      </c>
      <c r="F1348" s="19" t="s">
        <v>1551</v>
      </c>
      <c r="G1348" s="19" t="s">
        <v>1558</v>
      </c>
      <c r="H1348" s="19" t="s">
        <v>1559</v>
      </c>
      <c r="I1348" s="17" t="b">
        <v>0</v>
      </c>
      <c r="J1348" s="17" t="s">
        <v>43</v>
      </c>
      <c r="K1348" s="21" t="str">
        <f t="shared" si="33"/>
        <v>https://version2.ice-d.org/antarctica/sample/JJ2015-ICE-115/</v>
      </c>
      <c r="L1348" s="70" t="s">
        <v>39</v>
      </c>
      <c r="M1348" s="155"/>
      <c r="O1348" s="17" t="s">
        <v>1555</v>
      </c>
      <c r="P1348" s="22">
        <v>-75.388037999999995</v>
      </c>
      <c r="Q1348" s="22">
        <v>-111.243577</v>
      </c>
      <c r="R1348" s="22"/>
      <c r="S1348" s="22">
        <v>579</v>
      </c>
      <c r="T1348" s="17">
        <v>320</v>
      </c>
      <c r="U1348" s="23">
        <v>560</v>
      </c>
      <c r="V1348" s="153" t="s">
        <v>2273</v>
      </c>
      <c r="W1348" s="44" t="s">
        <v>2457</v>
      </c>
      <c r="X1348" s="22">
        <f t="shared" si="34"/>
        <v>259</v>
      </c>
      <c r="Y1348" s="22">
        <v>1.9</v>
      </c>
      <c r="AA1348" s="17" t="s">
        <v>84</v>
      </c>
      <c r="AB1348" s="26">
        <v>7352</v>
      </c>
      <c r="AC1348" s="26">
        <v>220</v>
      </c>
      <c r="AD1348" s="26">
        <v>487</v>
      </c>
      <c r="AE1348" s="27">
        <v>71136.878639999995</v>
      </c>
      <c r="AF1348" s="27">
        <v>2126.1982670000002</v>
      </c>
      <c r="AG1348" s="28"/>
      <c r="AH1348" s="28"/>
      <c r="AI1348" s="17">
        <v>2015</v>
      </c>
      <c r="AJ1348" s="17">
        <v>1</v>
      </c>
      <c r="AK1348" s="17">
        <v>0</v>
      </c>
    </row>
    <row r="1349" spans="1:38" ht="15.75" customHeight="1">
      <c r="A1349" s="70" t="s">
        <v>1575</v>
      </c>
      <c r="B1349" s="19" t="s">
        <v>1570</v>
      </c>
      <c r="C1349" s="17">
        <v>156</v>
      </c>
      <c r="D1349" s="142" t="s">
        <v>196</v>
      </c>
      <c r="E1349" s="19">
        <v>0</v>
      </c>
      <c r="F1349" s="19" t="s">
        <v>1551</v>
      </c>
      <c r="G1349" s="19" t="s">
        <v>1558</v>
      </c>
      <c r="H1349" s="19" t="s">
        <v>1559</v>
      </c>
      <c r="I1349" s="17" t="b">
        <v>0</v>
      </c>
      <c r="J1349" s="17" t="s">
        <v>43</v>
      </c>
      <c r="K1349" s="21" t="str">
        <f t="shared" si="33"/>
        <v>https://version2.ice-d.org/antarctica/sample/JJ2015-ICE-116/</v>
      </c>
      <c r="L1349" s="70" t="s">
        <v>39</v>
      </c>
      <c r="M1349" s="155"/>
      <c r="O1349" s="17" t="s">
        <v>1555</v>
      </c>
      <c r="P1349" s="22">
        <v>-75.387855999999999</v>
      </c>
      <c r="Q1349" s="22">
        <v>-111.24691199999999</v>
      </c>
      <c r="R1349" s="22"/>
      <c r="S1349" s="22">
        <v>572</v>
      </c>
      <c r="T1349" s="17">
        <v>320</v>
      </c>
      <c r="U1349" s="23">
        <v>560</v>
      </c>
      <c r="V1349" s="153" t="s">
        <v>2274</v>
      </c>
      <c r="W1349" s="44" t="s">
        <v>2457</v>
      </c>
      <c r="X1349" s="22">
        <f t="shared" si="34"/>
        <v>252</v>
      </c>
      <c r="Y1349" s="22">
        <v>2.4300000000000002</v>
      </c>
      <c r="AA1349" s="17" t="s">
        <v>84</v>
      </c>
      <c r="AB1349" s="26">
        <v>7658</v>
      </c>
      <c r="AC1349" s="26">
        <v>252</v>
      </c>
      <c r="AD1349" s="26">
        <v>518</v>
      </c>
      <c r="AE1349" s="27">
        <v>73826.073239999998</v>
      </c>
      <c r="AF1349" s="27">
        <v>2422.9810160000002</v>
      </c>
      <c r="AG1349" s="28"/>
      <c r="AH1349" s="28"/>
      <c r="AI1349" s="17">
        <v>2015</v>
      </c>
      <c r="AJ1349" s="17">
        <v>1</v>
      </c>
      <c r="AK1349" s="17">
        <v>0</v>
      </c>
    </row>
    <row r="1350" spans="1:38" ht="15.75" customHeight="1">
      <c r="A1350" s="70" t="s">
        <v>1576</v>
      </c>
      <c r="B1350" s="19" t="s">
        <v>1570</v>
      </c>
      <c r="C1350" s="17">
        <v>156</v>
      </c>
      <c r="D1350" s="142" t="s">
        <v>196</v>
      </c>
      <c r="E1350" s="19">
        <v>0</v>
      </c>
      <c r="F1350" s="19" t="s">
        <v>1551</v>
      </c>
      <c r="G1350" s="19" t="s">
        <v>1558</v>
      </c>
      <c r="H1350" s="19" t="s">
        <v>1559</v>
      </c>
      <c r="I1350" s="17" t="b">
        <v>0</v>
      </c>
      <c r="J1350" s="17" t="s">
        <v>43</v>
      </c>
      <c r="K1350" s="21" t="str">
        <f t="shared" si="33"/>
        <v>https://version2.ice-d.org/antarctica/sample/JJ2015-ICE-119/</v>
      </c>
      <c r="L1350" s="70" t="s">
        <v>39</v>
      </c>
      <c r="M1350" s="155"/>
      <c r="O1350" s="17" t="s">
        <v>1555</v>
      </c>
      <c r="P1350" s="22">
        <v>-75.389497000000006</v>
      </c>
      <c r="Q1350" s="22">
        <v>-111.238648</v>
      </c>
      <c r="R1350" s="22"/>
      <c r="S1350" s="22">
        <v>650</v>
      </c>
      <c r="T1350" s="17">
        <v>320</v>
      </c>
      <c r="U1350" s="23">
        <v>560</v>
      </c>
      <c r="V1350" s="153" t="s">
        <v>2275</v>
      </c>
      <c r="W1350" s="44" t="s">
        <v>2457</v>
      </c>
      <c r="X1350" s="22">
        <f t="shared" si="34"/>
        <v>330</v>
      </c>
      <c r="Y1350" s="22">
        <v>3.36</v>
      </c>
      <c r="AA1350" s="17" t="s">
        <v>84</v>
      </c>
      <c r="AB1350" s="26">
        <v>7804</v>
      </c>
      <c r="AC1350" s="26">
        <v>214</v>
      </c>
      <c r="AD1350" s="26">
        <v>508</v>
      </c>
      <c r="AE1350" s="27">
        <v>80853.993409999995</v>
      </c>
      <c r="AF1350" s="27">
        <v>2211.720233</v>
      </c>
      <c r="AG1350" s="28"/>
      <c r="AH1350" s="28"/>
      <c r="AI1350" s="17">
        <v>2015</v>
      </c>
      <c r="AJ1350" s="17">
        <v>1</v>
      </c>
      <c r="AK1350" s="17">
        <v>0</v>
      </c>
    </row>
    <row r="1351" spans="1:38" ht="15.75" customHeight="1">
      <c r="A1351" s="70" t="s">
        <v>1577</v>
      </c>
      <c r="B1351" s="19" t="s">
        <v>1570</v>
      </c>
      <c r="C1351" s="17">
        <v>156</v>
      </c>
      <c r="D1351" s="142" t="s">
        <v>196</v>
      </c>
      <c r="E1351" s="19">
        <v>0</v>
      </c>
      <c r="F1351" s="19" t="s">
        <v>1551</v>
      </c>
      <c r="G1351" s="19" t="s">
        <v>1558</v>
      </c>
      <c r="H1351" s="19" t="s">
        <v>1559</v>
      </c>
      <c r="I1351" s="17" t="b">
        <v>0</v>
      </c>
      <c r="J1351" s="17" t="s">
        <v>43</v>
      </c>
      <c r="K1351" s="21" t="str">
        <f t="shared" si="33"/>
        <v>https://version2.ice-d.org/antarctica/sample/JJ2015-ICE-201/</v>
      </c>
      <c r="L1351" s="70" t="s">
        <v>39</v>
      </c>
      <c r="M1351" s="155"/>
      <c r="O1351" s="17" t="s">
        <v>1555</v>
      </c>
      <c r="P1351" s="22">
        <v>-75.386948000000004</v>
      </c>
      <c r="Q1351" s="22">
        <v>-111.263063</v>
      </c>
      <c r="R1351" s="22"/>
      <c r="S1351" s="22">
        <v>532</v>
      </c>
      <c r="T1351" s="17">
        <v>320</v>
      </c>
      <c r="U1351" s="23">
        <v>560</v>
      </c>
      <c r="V1351" s="153" t="s">
        <v>2276</v>
      </c>
      <c r="W1351" s="44" t="s">
        <v>2457</v>
      </c>
      <c r="X1351" s="22">
        <f t="shared" si="34"/>
        <v>212</v>
      </c>
      <c r="Y1351" s="22">
        <v>3.69</v>
      </c>
      <c r="AA1351" s="17" t="s">
        <v>84</v>
      </c>
      <c r="AB1351" s="26">
        <v>7041</v>
      </c>
      <c r="AC1351" s="26">
        <v>220</v>
      </c>
      <c r="AD1351" s="26">
        <v>471</v>
      </c>
      <c r="AE1351" s="27">
        <v>64780.936900000001</v>
      </c>
      <c r="AF1351" s="27">
        <v>2017.9108430000001</v>
      </c>
      <c r="AG1351" s="28"/>
      <c r="AH1351" s="28"/>
      <c r="AI1351" s="17">
        <v>2015</v>
      </c>
      <c r="AJ1351" s="17">
        <v>1</v>
      </c>
      <c r="AK1351" s="17">
        <v>0</v>
      </c>
    </row>
    <row r="1352" spans="1:38" ht="15.75" customHeight="1">
      <c r="A1352" s="58" t="s">
        <v>1578</v>
      </c>
      <c r="B1352" s="19" t="s">
        <v>1579</v>
      </c>
      <c r="C1352" s="17">
        <v>156</v>
      </c>
      <c r="D1352" s="142" t="s">
        <v>196</v>
      </c>
      <c r="E1352" s="19">
        <v>0</v>
      </c>
      <c r="F1352" s="19" t="s">
        <v>1551</v>
      </c>
      <c r="G1352" s="19" t="s">
        <v>1558</v>
      </c>
      <c r="H1352" s="19" t="s">
        <v>1559</v>
      </c>
      <c r="I1352" s="17" t="b">
        <v>0</v>
      </c>
      <c r="J1352" s="17" t="s">
        <v>43</v>
      </c>
      <c r="K1352" s="21" t="str">
        <f t="shared" si="33"/>
        <v>https://version2.ice-d.org/antarctica/sample/JJ2015-NOT-104/</v>
      </c>
      <c r="L1352" s="58" t="s">
        <v>112</v>
      </c>
      <c r="M1352" s="187" t="s">
        <v>44</v>
      </c>
      <c r="O1352" s="17" t="s">
        <v>1555</v>
      </c>
      <c r="P1352" s="22">
        <v>-75.388626000000002</v>
      </c>
      <c r="Q1352" s="22">
        <v>-111.117526</v>
      </c>
      <c r="R1352" s="27"/>
      <c r="S1352" s="22">
        <v>892.54699900000003</v>
      </c>
      <c r="T1352" s="17">
        <v>250</v>
      </c>
      <c r="U1352" s="23">
        <v>560</v>
      </c>
      <c r="V1352" s="153" t="s">
        <v>2277</v>
      </c>
      <c r="W1352" s="44" t="s">
        <v>2457</v>
      </c>
      <c r="X1352" s="22">
        <f t="shared" si="34"/>
        <v>642.54699900000003</v>
      </c>
      <c r="Y1352" s="22">
        <v>5.52</v>
      </c>
      <c r="AA1352" s="17" t="s">
        <v>84</v>
      </c>
      <c r="AB1352" s="26">
        <v>8359</v>
      </c>
      <c r="AC1352" s="26">
        <v>215</v>
      </c>
      <c r="AD1352" s="26">
        <v>539</v>
      </c>
      <c r="AE1352" s="27">
        <v>107581.4173</v>
      </c>
      <c r="AF1352" s="27">
        <v>2758.1969770000001</v>
      </c>
      <c r="AG1352" s="28"/>
      <c r="AH1352" s="28"/>
      <c r="AI1352" s="17">
        <v>2016</v>
      </c>
      <c r="AJ1352" s="17">
        <v>1</v>
      </c>
      <c r="AK1352" s="17">
        <v>0</v>
      </c>
    </row>
    <row r="1353" spans="1:38" ht="15.75" customHeight="1">
      <c r="A1353" s="58" t="s">
        <v>1580</v>
      </c>
      <c r="B1353" s="19" t="s">
        <v>1579</v>
      </c>
      <c r="C1353" s="17">
        <v>156</v>
      </c>
      <c r="D1353" s="142" t="s">
        <v>196</v>
      </c>
      <c r="E1353" s="19">
        <v>0</v>
      </c>
      <c r="F1353" s="19" t="s">
        <v>1551</v>
      </c>
      <c r="G1353" s="19" t="s">
        <v>1558</v>
      </c>
      <c r="H1353" s="19" t="s">
        <v>1559</v>
      </c>
      <c r="I1353" s="17" t="b">
        <v>0</v>
      </c>
      <c r="J1353" s="17" t="s">
        <v>43</v>
      </c>
      <c r="K1353" s="21" t="str">
        <f t="shared" si="33"/>
        <v>https://version2.ice-d.org/antarctica/sample/JJ2015-NOT-107/</v>
      </c>
      <c r="L1353" s="58" t="s">
        <v>112</v>
      </c>
      <c r="M1353" s="155"/>
      <c r="O1353" s="17" t="s">
        <v>1555</v>
      </c>
      <c r="P1353" s="22">
        <v>-75.388177999999996</v>
      </c>
      <c r="Q1353" s="22">
        <v>-111.09054999999999</v>
      </c>
      <c r="R1353" s="27"/>
      <c r="S1353" s="22">
        <v>884.84299899999996</v>
      </c>
      <c r="T1353" s="17">
        <v>250</v>
      </c>
      <c r="U1353" s="23">
        <v>560</v>
      </c>
      <c r="V1353" s="153" t="s">
        <v>2278</v>
      </c>
      <c r="W1353" s="44" t="s">
        <v>2457</v>
      </c>
      <c r="X1353" s="22">
        <f t="shared" si="34"/>
        <v>634.84299899999996</v>
      </c>
      <c r="Y1353" s="22">
        <v>3.46</v>
      </c>
      <c r="AA1353" s="17" t="s">
        <v>84</v>
      </c>
      <c r="AB1353" s="26">
        <v>8694</v>
      </c>
      <c r="AC1353" s="26">
        <v>215</v>
      </c>
      <c r="AD1353" s="26">
        <v>557</v>
      </c>
      <c r="AE1353" s="27">
        <v>111657.30650000001</v>
      </c>
      <c r="AF1353" s="27">
        <v>2758.431963</v>
      </c>
      <c r="AG1353" s="28"/>
      <c r="AH1353" s="28"/>
      <c r="AI1353" s="17">
        <v>2016</v>
      </c>
      <c r="AJ1353" s="17">
        <v>1</v>
      </c>
      <c r="AK1353" s="17">
        <v>0</v>
      </c>
    </row>
    <row r="1354" spans="1:38" ht="15.75" customHeight="1">
      <c r="A1354" s="49" t="s">
        <v>1581</v>
      </c>
      <c r="B1354" s="19" t="s">
        <v>1579</v>
      </c>
      <c r="C1354" s="17">
        <v>156</v>
      </c>
      <c r="D1354" s="142" t="s">
        <v>196</v>
      </c>
      <c r="E1354" s="19">
        <v>0</v>
      </c>
      <c r="F1354" s="19" t="s">
        <v>1551</v>
      </c>
      <c r="G1354" s="19" t="s">
        <v>1558</v>
      </c>
      <c r="H1354" s="19" t="s">
        <v>1559</v>
      </c>
      <c r="I1354" s="17" t="b">
        <v>0</v>
      </c>
      <c r="J1354" s="17" t="s">
        <v>43</v>
      </c>
      <c r="K1354" s="21" t="str">
        <f t="shared" si="33"/>
        <v>https://version2.ice-d.org/antarctica/sample/JJ2015-NOT-101/</v>
      </c>
      <c r="L1354" s="49" t="s">
        <v>148</v>
      </c>
      <c r="M1354" s="174" t="s">
        <v>44</v>
      </c>
      <c r="O1354" s="17" t="s">
        <v>1555</v>
      </c>
      <c r="P1354" s="22">
        <v>-75.393097999999995</v>
      </c>
      <c r="Q1354" s="22">
        <v>-111.139349</v>
      </c>
      <c r="R1354" s="27"/>
      <c r="S1354" s="22">
        <v>833.97399900000005</v>
      </c>
      <c r="T1354" s="22"/>
      <c r="U1354" s="23">
        <v>560</v>
      </c>
      <c r="V1354" s="153" t="s">
        <v>2279</v>
      </c>
      <c r="W1354" s="44" t="s">
        <v>2457</v>
      </c>
      <c r="X1354" s="22"/>
      <c r="Y1354" s="22">
        <v>4.13</v>
      </c>
      <c r="AA1354" s="17" t="s">
        <v>84</v>
      </c>
      <c r="AB1354" s="26">
        <v>4566</v>
      </c>
      <c r="AC1354" s="26">
        <v>136</v>
      </c>
      <c r="AD1354" s="26">
        <v>302</v>
      </c>
      <c r="AE1354" s="27">
        <v>55273.624980000001</v>
      </c>
      <c r="AF1354" s="27">
        <v>1638.7585529999999</v>
      </c>
      <c r="AG1354" s="28"/>
      <c r="AH1354" s="28"/>
      <c r="AI1354" s="17">
        <v>2016</v>
      </c>
      <c r="AJ1354" s="17">
        <v>1</v>
      </c>
      <c r="AK1354" s="17">
        <v>1</v>
      </c>
      <c r="AL1354" s="17" t="s">
        <v>1582</v>
      </c>
    </row>
    <row r="1355" spans="1:38" ht="15.75" customHeight="1">
      <c r="A1355" s="49" t="s">
        <v>1583</v>
      </c>
      <c r="B1355" s="19" t="s">
        <v>1579</v>
      </c>
      <c r="C1355" s="17">
        <v>156</v>
      </c>
      <c r="D1355" s="142" t="s">
        <v>196</v>
      </c>
      <c r="E1355" s="19">
        <v>0</v>
      </c>
      <c r="F1355" s="19" t="s">
        <v>1551</v>
      </c>
      <c r="G1355" s="19" t="s">
        <v>1558</v>
      </c>
      <c r="H1355" s="19" t="s">
        <v>1559</v>
      </c>
      <c r="I1355" s="17" t="b">
        <v>0</v>
      </c>
      <c r="J1355" s="17" t="s">
        <v>247</v>
      </c>
      <c r="K1355" s="21" t="str">
        <f t="shared" si="33"/>
        <v>https://version2.ice-d.org/antarctica/sample/JJ2015-NOT-103/</v>
      </c>
      <c r="L1355" s="49" t="s">
        <v>148</v>
      </c>
      <c r="M1355" s="155"/>
      <c r="O1355" s="17" t="s">
        <v>1555</v>
      </c>
      <c r="P1355" s="22">
        <v>-75.391437999999994</v>
      </c>
      <c r="Q1355" s="22">
        <v>-111.13984499999999</v>
      </c>
      <c r="R1355" s="27"/>
      <c r="S1355" s="22">
        <v>851.69999900000005</v>
      </c>
      <c r="T1355" s="22">
        <v>565</v>
      </c>
      <c r="U1355" s="23">
        <v>560</v>
      </c>
      <c r="V1355" s="153" t="s">
        <v>2280</v>
      </c>
      <c r="W1355" s="44" t="s">
        <v>2457</v>
      </c>
      <c r="X1355" s="22">
        <f t="shared" ref="X1355:X1358" si="35">S1355-T1355</f>
        <v>286.69999900000005</v>
      </c>
      <c r="Y1355" s="22">
        <v>4.7300000000000004</v>
      </c>
      <c r="AA1355" s="17" t="s">
        <v>84</v>
      </c>
      <c r="AB1355" s="26">
        <v>3264</v>
      </c>
      <c r="AC1355" s="26">
        <v>64</v>
      </c>
      <c r="AD1355" s="26">
        <v>210</v>
      </c>
      <c r="AE1355" s="27">
        <v>113199.40670000001</v>
      </c>
      <c r="AF1355" s="27">
        <v>2838.578567</v>
      </c>
      <c r="AG1355" s="28"/>
      <c r="AH1355" s="28"/>
      <c r="AI1355" s="17">
        <v>2016</v>
      </c>
      <c r="AJ1355" s="17">
        <v>1</v>
      </c>
      <c r="AK1355" s="17">
        <v>1</v>
      </c>
      <c r="AL1355" s="17" t="s">
        <v>1106</v>
      </c>
    </row>
    <row r="1356" spans="1:38" ht="12.75" customHeight="1">
      <c r="A1356" s="49" t="s">
        <v>1583</v>
      </c>
      <c r="B1356" s="19" t="s">
        <v>1579</v>
      </c>
      <c r="C1356" s="17">
        <v>156</v>
      </c>
      <c r="D1356" s="142" t="s">
        <v>196</v>
      </c>
      <c r="E1356" s="19">
        <v>0</v>
      </c>
      <c r="F1356" s="19" t="s">
        <v>1551</v>
      </c>
      <c r="G1356" s="19" t="s">
        <v>1558</v>
      </c>
      <c r="H1356" s="19" t="s">
        <v>1559</v>
      </c>
      <c r="I1356" s="17" t="b">
        <v>0</v>
      </c>
      <c r="J1356" s="17" t="s">
        <v>43</v>
      </c>
      <c r="K1356" s="21" t="str">
        <f t="shared" si="33"/>
        <v>https://version2.ice-d.org/antarctica/sample/JJ2015-NOT-103/</v>
      </c>
      <c r="L1356" s="49" t="s">
        <v>148</v>
      </c>
      <c r="M1356" s="155"/>
      <c r="O1356" s="17" t="s">
        <v>1555</v>
      </c>
      <c r="P1356" s="22">
        <v>-75.391437999999994</v>
      </c>
      <c r="Q1356" s="22">
        <v>-111.13984499999999</v>
      </c>
      <c r="R1356" s="27"/>
      <c r="S1356" s="22">
        <v>851.69999900000005</v>
      </c>
      <c r="T1356" s="17">
        <v>250</v>
      </c>
      <c r="U1356" s="23">
        <v>560</v>
      </c>
      <c r="V1356" s="153" t="s">
        <v>2281</v>
      </c>
      <c r="W1356" s="44" t="s">
        <v>2457</v>
      </c>
      <c r="X1356" s="22">
        <f t="shared" si="35"/>
        <v>601.69999900000005</v>
      </c>
      <c r="Y1356" s="22">
        <v>4.7300000000000004</v>
      </c>
      <c r="AA1356" s="17" t="s">
        <v>84</v>
      </c>
      <c r="AB1356" s="26">
        <v>9135</v>
      </c>
      <c r="AC1356" s="26">
        <v>230</v>
      </c>
      <c r="AD1356" s="26">
        <v>587</v>
      </c>
      <c r="AE1356" s="27">
        <v>113199.40670000001</v>
      </c>
      <c r="AF1356" s="27">
        <v>2838.578567</v>
      </c>
      <c r="AG1356" s="28"/>
      <c r="AH1356" s="28"/>
      <c r="AI1356" s="17">
        <v>2016</v>
      </c>
      <c r="AJ1356" s="17">
        <v>1</v>
      </c>
      <c r="AK1356" s="17">
        <v>0</v>
      </c>
    </row>
    <row r="1357" spans="1:38" ht="15.75" customHeight="1">
      <c r="A1357" s="49" t="s">
        <v>1578</v>
      </c>
      <c r="B1357" s="19" t="s">
        <v>1579</v>
      </c>
      <c r="C1357" s="17">
        <v>156</v>
      </c>
      <c r="D1357" s="142" t="s">
        <v>196</v>
      </c>
      <c r="E1357" s="19">
        <v>0</v>
      </c>
      <c r="F1357" s="19" t="s">
        <v>1551</v>
      </c>
      <c r="G1357" s="19" t="s">
        <v>1558</v>
      </c>
      <c r="H1357" s="19" t="s">
        <v>1559</v>
      </c>
      <c r="I1357" s="17" t="b">
        <v>0</v>
      </c>
      <c r="J1357" s="17" t="s">
        <v>247</v>
      </c>
      <c r="K1357" s="21" t="str">
        <f t="shared" si="33"/>
        <v>https://version2.ice-d.org/antarctica/sample/JJ2015-NOT-104/</v>
      </c>
      <c r="L1357" s="49" t="s">
        <v>148</v>
      </c>
      <c r="M1357" s="155"/>
      <c r="O1357" s="17" t="s">
        <v>1555</v>
      </c>
      <c r="P1357" s="22">
        <v>-75.388626000000002</v>
      </c>
      <c r="Q1357" s="22">
        <v>-111.117526</v>
      </c>
      <c r="R1357" s="27"/>
      <c r="S1357" s="22">
        <v>892.54699900000003</v>
      </c>
      <c r="T1357" s="22">
        <v>565</v>
      </c>
      <c r="U1357" s="23">
        <v>560</v>
      </c>
      <c r="V1357" s="153" t="s">
        <v>2282</v>
      </c>
      <c r="W1357" s="44" t="s">
        <v>2457</v>
      </c>
      <c r="X1357" s="22">
        <f t="shared" si="35"/>
        <v>327.54699900000003</v>
      </c>
      <c r="Y1357" s="22">
        <v>5.52</v>
      </c>
      <c r="AA1357" s="17" t="s">
        <v>84</v>
      </c>
      <c r="AB1357" s="26">
        <v>3976</v>
      </c>
      <c r="AC1357" s="26">
        <v>84</v>
      </c>
      <c r="AD1357" s="26">
        <v>269</v>
      </c>
      <c r="AE1357" s="27">
        <v>107581.4173</v>
      </c>
      <c r="AF1357" s="27">
        <v>2758.1969770000001</v>
      </c>
      <c r="AG1357" s="28"/>
      <c r="AH1357" s="28"/>
      <c r="AI1357" s="17">
        <v>2016</v>
      </c>
      <c r="AJ1357" s="17">
        <v>1</v>
      </c>
      <c r="AK1357" s="17">
        <v>1</v>
      </c>
      <c r="AL1357" s="17" t="s">
        <v>1106</v>
      </c>
    </row>
    <row r="1358" spans="1:38" ht="15.75" customHeight="1">
      <c r="A1358" s="49" t="s">
        <v>1580</v>
      </c>
      <c r="B1358" s="19" t="s">
        <v>1579</v>
      </c>
      <c r="C1358" s="17">
        <v>156</v>
      </c>
      <c r="D1358" s="142" t="s">
        <v>196</v>
      </c>
      <c r="E1358" s="19">
        <v>0</v>
      </c>
      <c r="F1358" s="19" t="s">
        <v>1551</v>
      </c>
      <c r="G1358" s="19" t="s">
        <v>1558</v>
      </c>
      <c r="H1358" s="19" t="s">
        <v>1559</v>
      </c>
      <c r="I1358" s="17" t="b">
        <v>0</v>
      </c>
      <c r="J1358" s="17" t="s">
        <v>247</v>
      </c>
      <c r="K1358" s="21" t="str">
        <f t="shared" si="33"/>
        <v>https://version2.ice-d.org/antarctica/sample/JJ2015-NOT-107/</v>
      </c>
      <c r="L1358" s="49" t="s">
        <v>148</v>
      </c>
      <c r="M1358" s="155"/>
      <c r="O1358" s="17" t="s">
        <v>1555</v>
      </c>
      <c r="P1358" s="22">
        <v>-75.388177999999996</v>
      </c>
      <c r="Q1358" s="22">
        <v>-111.09054999999999</v>
      </c>
      <c r="R1358" s="27"/>
      <c r="S1358" s="22">
        <v>884.84299899999996</v>
      </c>
      <c r="T1358" s="22">
        <v>565</v>
      </c>
      <c r="U1358" s="23">
        <v>560</v>
      </c>
      <c r="V1358" s="153" t="s">
        <v>2283</v>
      </c>
      <c r="W1358" s="44" t="s">
        <v>2457</v>
      </c>
      <c r="X1358" s="22">
        <f t="shared" si="35"/>
        <v>319.84299899999996</v>
      </c>
      <c r="Y1358" s="22">
        <v>3.46</v>
      </c>
      <c r="AA1358" s="17" t="s">
        <v>84</v>
      </c>
      <c r="AB1358" s="26">
        <v>5110</v>
      </c>
      <c r="AC1358" s="26">
        <v>120</v>
      </c>
      <c r="AD1358" s="26">
        <v>373</v>
      </c>
      <c r="AE1358" s="27">
        <v>111657.30650000001</v>
      </c>
      <c r="AF1358" s="27">
        <v>2758.431963</v>
      </c>
      <c r="AG1358" s="28"/>
      <c r="AH1358" s="28"/>
      <c r="AI1358" s="17">
        <v>2016</v>
      </c>
      <c r="AJ1358" s="17">
        <v>1</v>
      </c>
      <c r="AK1358" s="17">
        <v>1</v>
      </c>
      <c r="AL1358" s="17" t="s">
        <v>1106</v>
      </c>
    </row>
    <row r="1359" spans="1:38" ht="15.75" customHeight="1">
      <c r="A1359" s="57" t="s">
        <v>1584</v>
      </c>
      <c r="B1359" s="19" t="s">
        <v>1585</v>
      </c>
      <c r="C1359" s="17">
        <v>156</v>
      </c>
      <c r="D1359" s="142" t="s">
        <v>196</v>
      </c>
      <c r="E1359" s="19">
        <v>6000</v>
      </c>
      <c r="F1359" s="19" t="s">
        <v>1551</v>
      </c>
      <c r="G1359" s="19" t="s">
        <v>1558</v>
      </c>
      <c r="H1359" s="19" t="s">
        <v>1559</v>
      </c>
      <c r="I1359" s="17" t="b">
        <v>0</v>
      </c>
      <c r="J1359" s="17" t="s">
        <v>247</v>
      </c>
      <c r="K1359" s="17" t="s">
        <v>1560</v>
      </c>
      <c r="L1359" s="88" t="s">
        <v>520</v>
      </c>
      <c r="M1359" s="88" t="s">
        <v>44</v>
      </c>
      <c r="O1359" s="17" t="s">
        <v>1555</v>
      </c>
      <c r="P1359" s="22">
        <v>-75.217582375000006</v>
      </c>
      <c r="Q1359" s="22">
        <v>-110.96207625</v>
      </c>
      <c r="R1359" s="22"/>
      <c r="S1359" s="22">
        <v>199.70399975000001</v>
      </c>
      <c r="T1359" s="22">
        <v>110</v>
      </c>
      <c r="U1359" s="23">
        <v>560</v>
      </c>
      <c r="V1359" s="153" t="s">
        <v>2284</v>
      </c>
      <c r="W1359" s="44" t="s">
        <v>2457</v>
      </c>
      <c r="X1359" s="22">
        <v>89.703999750000008</v>
      </c>
      <c r="Y1359" s="22"/>
      <c r="AB1359" s="60">
        <v>5946.25</v>
      </c>
      <c r="AC1359" s="60">
        <v>448.875</v>
      </c>
      <c r="AD1359" s="60">
        <v>448.875</v>
      </c>
      <c r="AE1359" s="27"/>
      <c r="AF1359" s="27"/>
      <c r="AG1359" s="28"/>
      <c r="AH1359" s="28"/>
      <c r="AK1359" s="17">
        <v>0</v>
      </c>
      <c r="AL1359" s="17" t="s">
        <v>1586</v>
      </c>
    </row>
    <row r="1360" spans="1:38" ht="15.75" customHeight="1">
      <c r="A1360" s="74" t="s">
        <v>1587</v>
      </c>
      <c r="B1360" s="19" t="s">
        <v>1585</v>
      </c>
      <c r="C1360" s="17">
        <v>156</v>
      </c>
      <c r="D1360" s="142" t="s">
        <v>196</v>
      </c>
      <c r="E1360" s="19">
        <v>6000</v>
      </c>
      <c r="F1360" s="19" t="s">
        <v>1551</v>
      </c>
      <c r="G1360" s="19" t="s">
        <v>1552</v>
      </c>
      <c r="H1360" s="19" t="s">
        <v>1553</v>
      </c>
      <c r="I1360" s="17" t="b">
        <v>0</v>
      </c>
      <c r="J1360" s="17" t="s">
        <v>247</v>
      </c>
      <c r="K1360" s="21" t="str">
        <f t="shared" ref="K1360:K1466" si="36">CONCATENATE("https://version2.ice-d.org/antarctica/sample/", A1360, "/")</f>
        <v>https://version2.ice-d.org/antarctica/sample/JJ2015-KAY-107/</v>
      </c>
      <c r="L1360" s="74" t="s">
        <v>39</v>
      </c>
      <c r="M1360" s="175" t="s">
        <v>44</v>
      </c>
      <c r="O1360" s="17" t="s">
        <v>1555</v>
      </c>
      <c r="P1360" s="22">
        <v>-75.216742999999994</v>
      </c>
      <c r="Q1360" s="22">
        <v>-110.962919</v>
      </c>
      <c r="R1360" s="22"/>
      <c r="S1360" s="22">
        <v>160.011999</v>
      </c>
      <c r="T1360" s="22"/>
      <c r="U1360" s="23">
        <v>560</v>
      </c>
      <c r="V1360" s="153" t="s">
        <v>2285</v>
      </c>
      <c r="W1360" s="44" t="s">
        <v>2457</v>
      </c>
      <c r="X1360" s="22"/>
      <c r="Y1360" s="22">
        <v>3.21</v>
      </c>
      <c r="Z1360" s="22">
        <v>2.7</v>
      </c>
      <c r="AA1360" s="17" t="s">
        <v>58</v>
      </c>
      <c r="AB1360" s="26">
        <v>12489</v>
      </c>
      <c r="AC1360" s="26">
        <v>365</v>
      </c>
      <c r="AD1360" s="26"/>
      <c r="AE1360" s="27">
        <v>78430.092929999999</v>
      </c>
      <c r="AF1360" s="27">
        <v>2286.0156529999999</v>
      </c>
      <c r="AG1360" s="28"/>
      <c r="AH1360" s="28"/>
      <c r="AI1360" s="17">
        <v>2016</v>
      </c>
      <c r="AJ1360" s="17">
        <v>1</v>
      </c>
      <c r="AK1360" s="17">
        <v>1</v>
      </c>
      <c r="AL1360" s="17" t="s">
        <v>1588</v>
      </c>
    </row>
    <row r="1361" spans="1:38" ht="15.75" customHeight="1">
      <c r="A1361" s="74" t="s">
        <v>1589</v>
      </c>
      <c r="B1361" s="19" t="s">
        <v>1585</v>
      </c>
      <c r="C1361" s="17">
        <v>156</v>
      </c>
      <c r="D1361" s="142" t="s">
        <v>196</v>
      </c>
      <c r="E1361" s="19">
        <v>6000</v>
      </c>
      <c r="F1361" s="19" t="s">
        <v>1551</v>
      </c>
      <c r="G1361" s="19" t="s">
        <v>1558</v>
      </c>
      <c r="H1361" s="19" t="s">
        <v>1559</v>
      </c>
      <c r="I1361" s="17" t="b">
        <v>0</v>
      </c>
      <c r="J1361" s="17" t="s">
        <v>247</v>
      </c>
      <c r="K1361" s="21" t="str">
        <f t="shared" si="36"/>
        <v>https://version2.ice-d.org/antarctica/sample/JJ2015-KAY-101/</v>
      </c>
      <c r="L1361" s="74" t="s">
        <v>39</v>
      </c>
      <c r="M1361" s="155"/>
      <c r="O1361" s="17" t="s">
        <v>1555</v>
      </c>
      <c r="P1361" s="22">
        <v>-75.220579000000001</v>
      </c>
      <c r="Q1361" s="22">
        <v>-110.959817</v>
      </c>
      <c r="R1361" s="22"/>
      <c r="S1361" s="22">
        <v>334</v>
      </c>
      <c r="T1361" s="22">
        <v>110</v>
      </c>
      <c r="U1361" s="23">
        <v>560</v>
      </c>
      <c r="V1361" s="153" t="s">
        <v>2286</v>
      </c>
      <c r="W1361" s="44" t="s">
        <v>2457</v>
      </c>
      <c r="X1361" s="22">
        <f t="shared" ref="X1361:X1466" si="37">S1361-T1361</f>
        <v>224</v>
      </c>
      <c r="Y1361" s="22">
        <v>3.47</v>
      </c>
      <c r="Z1361" s="22">
        <v>2.7</v>
      </c>
      <c r="AA1361" s="17" t="s">
        <v>58</v>
      </c>
      <c r="AB1361" s="26">
        <v>6006</v>
      </c>
      <c r="AC1361" s="26">
        <v>404</v>
      </c>
      <c r="AD1361" s="26"/>
      <c r="AE1361" s="27">
        <v>181203.52900000001</v>
      </c>
      <c r="AF1361" s="27">
        <v>4326.0393080000003</v>
      </c>
      <c r="AG1361" s="28"/>
      <c r="AH1361" s="28"/>
      <c r="AI1361" s="17">
        <v>2016</v>
      </c>
      <c r="AJ1361" s="17">
        <v>1</v>
      </c>
      <c r="AK1361" s="17">
        <v>1</v>
      </c>
      <c r="AL1361" s="17" t="s">
        <v>1590</v>
      </c>
    </row>
    <row r="1362" spans="1:38" ht="15.75" customHeight="1">
      <c r="A1362" s="75" t="s">
        <v>1591</v>
      </c>
      <c r="B1362" s="19" t="s">
        <v>1585</v>
      </c>
      <c r="C1362" s="17">
        <v>156</v>
      </c>
      <c r="D1362" s="142" t="s">
        <v>196</v>
      </c>
      <c r="E1362" s="19">
        <v>6000</v>
      </c>
      <c r="F1362" s="19" t="s">
        <v>1551</v>
      </c>
      <c r="G1362" s="19" t="s">
        <v>1558</v>
      </c>
      <c r="H1362" s="19" t="s">
        <v>1559</v>
      </c>
      <c r="I1362" s="17" t="b">
        <v>0</v>
      </c>
      <c r="J1362" s="17" t="s">
        <v>247</v>
      </c>
      <c r="K1362" s="21" t="str">
        <f t="shared" si="36"/>
        <v>https://version2.ice-d.org/antarctica/sample/JJ2015-KAY-103/</v>
      </c>
      <c r="L1362" s="74" t="s">
        <v>39</v>
      </c>
      <c r="M1362" s="155"/>
      <c r="O1362" s="17" t="s">
        <v>1555</v>
      </c>
      <c r="P1362" s="17">
        <v>-75.219620000000006</v>
      </c>
      <c r="Q1362" s="17">
        <v>-110.95909</v>
      </c>
      <c r="S1362" s="17">
        <v>301.8</v>
      </c>
      <c r="T1362" s="22">
        <v>110</v>
      </c>
      <c r="U1362" s="23">
        <v>560</v>
      </c>
      <c r="V1362" s="153" t="s">
        <v>2287</v>
      </c>
      <c r="W1362" s="44" t="s">
        <v>2457</v>
      </c>
      <c r="X1362" s="22">
        <f t="shared" si="37"/>
        <v>191.8</v>
      </c>
      <c r="Y1362" s="22">
        <v>1.9990000000000001</v>
      </c>
      <c r="Z1362" s="22">
        <v>2.7</v>
      </c>
      <c r="AA1362" s="17" t="s">
        <v>58</v>
      </c>
      <c r="AB1362" s="36">
        <v>6739</v>
      </c>
      <c r="AC1362" s="36">
        <v>445</v>
      </c>
      <c r="AD1362" s="60"/>
      <c r="AE1362" s="27"/>
      <c r="AF1362" s="27"/>
      <c r="AG1362" s="28"/>
      <c r="AH1362" s="28"/>
      <c r="AI1362" s="17">
        <v>2016</v>
      </c>
      <c r="AK1362" s="17">
        <v>1</v>
      </c>
      <c r="AL1362" s="17" t="s">
        <v>1590</v>
      </c>
    </row>
    <row r="1363" spans="1:38" ht="15.75" customHeight="1">
      <c r="A1363" s="75" t="s">
        <v>1592</v>
      </c>
      <c r="B1363" s="19" t="s">
        <v>1585</v>
      </c>
      <c r="C1363" s="17">
        <v>156</v>
      </c>
      <c r="D1363" s="142" t="s">
        <v>196</v>
      </c>
      <c r="E1363" s="19">
        <v>6000</v>
      </c>
      <c r="F1363" s="19" t="s">
        <v>1551</v>
      </c>
      <c r="G1363" s="19" t="s">
        <v>1558</v>
      </c>
      <c r="H1363" s="19" t="s">
        <v>1559</v>
      </c>
      <c r="I1363" s="17" t="b">
        <v>0</v>
      </c>
      <c r="J1363" s="17" t="s">
        <v>247</v>
      </c>
      <c r="K1363" s="21" t="str">
        <f t="shared" si="36"/>
        <v>https://version2.ice-d.org/antarctica/sample/JJ2015-KAY-105/</v>
      </c>
      <c r="L1363" s="74" t="s">
        <v>39</v>
      </c>
      <c r="M1363" s="155"/>
      <c r="O1363" s="17" t="s">
        <v>1555</v>
      </c>
      <c r="P1363" s="17">
        <v>-75.21651</v>
      </c>
      <c r="Q1363" s="17">
        <v>-110.96268000000001</v>
      </c>
      <c r="S1363" s="17">
        <v>149.80000000000001</v>
      </c>
      <c r="T1363" s="22">
        <v>110</v>
      </c>
      <c r="U1363" s="23">
        <v>560</v>
      </c>
      <c r="V1363" s="153" t="s">
        <v>2288</v>
      </c>
      <c r="W1363" s="44" t="s">
        <v>2457</v>
      </c>
      <c r="X1363" s="22">
        <f t="shared" si="37"/>
        <v>39.800000000000011</v>
      </c>
      <c r="Y1363" s="22">
        <v>1.9990000000000001</v>
      </c>
      <c r="Z1363" s="22">
        <v>2.7</v>
      </c>
      <c r="AA1363" s="17" t="s">
        <v>58</v>
      </c>
      <c r="AB1363" s="36">
        <v>3654</v>
      </c>
      <c r="AC1363" s="36">
        <v>313</v>
      </c>
      <c r="AD1363" s="60"/>
      <c r="AE1363" s="27"/>
      <c r="AF1363" s="27"/>
      <c r="AG1363" s="28"/>
      <c r="AH1363" s="28"/>
      <c r="AI1363" s="17">
        <v>2016</v>
      </c>
      <c r="AK1363" s="17">
        <v>1</v>
      </c>
      <c r="AL1363" s="17" t="s">
        <v>1590</v>
      </c>
    </row>
    <row r="1364" spans="1:38" ht="15.75" customHeight="1">
      <c r="A1364" s="74" t="s">
        <v>1587</v>
      </c>
      <c r="B1364" s="19" t="s">
        <v>1585</v>
      </c>
      <c r="C1364" s="17">
        <v>156</v>
      </c>
      <c r="D1364" s="142" t="s">
        <v>196</v>
      </c>
      <c r="E1364" s="19">
        <v>6000</v>
      </c>
      <c r="F1364" s="19" t="s">
        <v>1551</v>
      </c>
      <c r="G1364" s="19" t="s">
        <v>1558</v>
      </c>
      <c r="H1364" s="19" t="s">
        <v>1559</v>
      </c>
      <c r="I1364" s="17" t="b">
        <v>0</v>
      </c>
      <c r="J1364" s="17" t="s">
        <v>247</v>
      </c>
      <c r="K1364" s="21" t="str">
        <f t="shared" si="36"/>
        <v>https://version2.ice-d.org/antarctica/sample/JJ2015-KAY-107/</v>
      </c>
      <c r="L1364" s="74" t="s">
        <v>39</v>
      </c>
      <c r="M1364" s="155"/>
      <c r="O1364" s="17" t="s">
        <v>1555</v>
      </c>
      <c r="P1364" s="22">
        <v>-75.216742999999994</v>
      </c>
      <c r="Q1364" s="22">
        <v>-110.962919</v>
      </c>
      <c r="R1364" s="22"/>
      <c r="S1364" s="22">
        <v>160.011999</v>
      </c>
      <c r="T1364" s="22">
        <v>110</v>
      </c>
      <c r="U1364" s="23">
        <v>560</v>
      </c>
      <c r="V1364" s="153" t="s">
        <v>2289</v>
      </c>
      <c r="W1364" s="44" t="s">
        <v>2457</v>
      </c>
      <c r="X1364" s="22">
        <f t="shared" si="37"/>
        <v>50.011999000000003</v>
      </c>
      <c r="Y1364" s="22">
        <v>3.21</v>
      </c>
      <c r="Z1364" s="22">
        <v>2.7</v>
      </c>
      <c r="AA1364" s="17" t="s">
        <v>58</v>
      </c>
      <c r="AB1364" s="26">
        <v>5493</v>
      </c>
      <c r="AC1364" s="26">
        <v>456</v>
      </c>
      <c r="AD1364" s="26"/>
      <c r="AE1364" s="27">
        <v>78430.092929999999</v>
      </c>
      <c r="AF1364" s="27">
        <v>2286.0156529999999</v>
      </c>
      <c r="AG1364" s="28"/>
      <c r="AH1364" s="28"/>
      <c r="AI1364" s="17">
        <v>2016</v>
      </c>
      <c r="AJ1364" s="17">
        <v>1</v>
      </c>
      <c r="AK1364" s="17">
        <v>1</v>
      </c>
      <c r="AL1364" s="17" t="s">
        <v>1590</v>
      </c>
    </row>
    <row r="1365" spans="1:38" ht="15.75" customHeight="1">
      <c r="A1365" s="74" t="s">
        <v>1593</v>
      </c>
      <c r="B1365" s="19" t="s">
        <v>1585</v>
      </c>
      <c r="C1365" s="17">
        <v>156</v>
      </c>
      <c r="D1365" s="142" t="s">
        <v>196</v>
      </c>
      <c r="E1365" s="19">
        <v>6000</v>
      </c>
      <c r="F1365" s="19" t="s">
        <v>1551</v>
      </c>
      <c r="G1365" s="19" t="s">
        <v>1558</v>
      </c>
      <c r="H1365" s="19" t="s">
        <v>1559</v>
      </c>
      <c r="I1365" s="17" t="b">
        <v>0</v>
      </c>
      <c r="J1365" s="17" t="s">
        <v>247</v>
      </c>
      <c r="K1365" s="21" t="str">
        <f t="shared" si="36"/>
        <v>https://version2.ice-d.org/antarctica/sample/JJ2015-KAY-108/</v>
      </c>
      <c r="L1365" s="74" t="s">
        <v>39</v>
      </c>
      <c r="M1365" s="155"/>
      <c r="O1365" s="17" t="s">
        <v>1555</v>
      </c>
      <c r="P1365" s="22">
        <v>-75.216866999999993</v>
      </c>
      <c r="Q1365" s="22">
        <v>-110.96308399999999</v>
      </c>
      <c r="R1365" s="22"/>
      <c r="S1365" s="22">
        <v>166.61999900000001</v>
      </c>
      <c r="T1365" s="22">
        <v>110</v>
      </c>
      <c r="U1365" s="23">
        <v>560</v>
      </c>
      <c r="V1365" s="153" t="s">
        <v>2290</v>
      </c>
      <c r="W1365" s="44" t="s">
        <v>2457</v>
      </c>
      <c r="X1365" s="22">
        <f t="shared" si="37"/>
        <v>56.619999000000007</v>
      </c>
      <c r="Y1365" s="22">
        <v>4.2699999999999996</v>
      </c>
      <c r="Z1365" s="22">
        <v>2.7</v>
      </c>
      <c r="AA1365" s="17" t="s">
        <v>58</v>
      </c>
      <c r="AB1365" s="26">
        <v>8222</v>
      </c>
      <c r="AC1365" s="26">
        <v>623</v>
      </c>
      <c r="AD1365" s="26"/>
      <c r="AE1365" s="27">
        <v>130780.0819</v>
      </c>
      <c r="AF1365" s="27">
        <v>3006.2767469999999</v>
      </c>
      <c r="AG1365" s="28"/>
      <c r="AH1365" s="28"/>
      <c r="AI1365" s="17">
        <v>2016</v>
      </c>
      <c r="AJ1365" s="17">
        <v>1</v>
      </c>
      <c r="AK1365" s="17">
        <v>1</v>
      </c>
      <c r="AL1365" s="17" t="s">
        <v>1590</v>
      </c>
    </row>
    <row r="1366" spans="1:38" ht="15.75" customHeight="1">
      <c r="A1366" s="75" t="s">
        <v>1594</v>
      </c>
      <c r="B1366" s="19" t="s">
        <v>1585</v>
      </c>
      <c r="C1366" s="17">
        <v>156</v>
      </c>
      <c r="D1366" s="142" t="s">
        <v>196</v>
      </c>
      <c r="E1366" s="19">
        <v>6000</v>
      </c>
      <c r="F1366" s="19" t="s">
        <v>1551</v>
      </c>
      <c r="G1366" s="19" t="s">
        <v>1558</v>
      </c>
      <c r="H1366" s="19" t="s">
        <v>1559</v>
      </c>
      <c r="I1366" s="17" t="b">
        <v>0</v>
      </c>
      <c r="J1366" s="17" t="s">
        <v>247</v>
      </c>
      <c r="K1366" s="21" t="str">
        <f t="shared" si="36"/>
        <v>https://version2.ice-d.org/antarctica/sample/JJ2015-KAY-109/</v>
      </c>
      <c r="L1366" s="74" t="s">
        <v>39</v>
      </c>
      <c r="M1366" s="155"/>
      <c r="O1366" s="17" t="s">
        <v>1555</v>
      </c>
      <c r="P1366" s="17">
        <v>-75.216970000000003</v>
      </c>
      <c r="Q1366" s="17">
        <v>-110.96321</v>
      </c>
      <c r="S1366" s="17">
        <v>170.4</v>
      </c>
      <c r="T1366" s="22">
        <v>110</v>
      </c>
      <c r="U1366" s="23">
        <v>560</v>
      </c>
      <c r="V1366" s="153" t="s">
        <v>2291</v>
      </c>
      <c r="W1366" s="44" t="s">
        <v>2457</v>
      </c>
      <c r="X1366" s="22">
        <f t="shared" si="37"/>
        <v>60.400000000000006</v>
      </c>
      <c r="Y1366" s="22">
        <v>1.9990000000000001</v>
      </c>
      <c r="Z1366" s="22">
        <v>2.7</v>
      </c>
      <c r="AA1366" s="17" t="s">
        <v>58</v>
      </c>
      <c r="AB1366" s="36">
        <v>4460</v>
      </c>
      <c r="AC1366" s="36">
        <v>385</v>
      </c>
      <c r="AD1366" s="60"/>
      <c r="AE1366" s="27"/>
      <c r="AF1366" s="27"/>
      <c r="AG1366" s="28"/>
      <c r="AH1366" s="28"/>
      <c r="AI1366" s="17">
        <v>2016</v>
      </c>
      <c r="AK1366" s="17">
        <v>1</v>
      </c>
      <c r="AL1366" s="17" t="s">
        <v>1590</v>
      </c>
    </row>
    <row r="1367" spans="1:38" ht="15.75" customHeight="1">
      <c r="A1367" s="75" t="s">
        <v>1595</v>
      </c>
      <c r="B1367" s="19" t="s">
        <v>1585</v>
      </c>
      <c r="C1367" s="17">
        <v>156</v>
      </c>
      <c r="D1367" s="142" t="s">
        <v>196</v>
      </c>
      <c r="E1367" s="19">
        <v>6000</v>
      </c>
      <c r="F1367" s="19" t="s">
        <v>1551</v>
      </c>
      <c r="G1367" s="19" t="s">
        <v>1558</v>
      </c>
      <c r="H1367" s="19" t="s">
        <v>1559</v>
      </c>
      <c r="I1367" s="17" t="b">
        <v>0</v>
      </c>
      <c r="J1367" s="17" t="s">
        <v>247</v>
      </c>
      <c r="K1367" s="21" t="str">
        <f t="shared" si="36"/>
        <v>https://version2.ice-d.org/antarctica/sample/JJ2015-KAY-110/</v>
      </c>
      <c r="L1367" s="74" t="s">
        <v>39</v>
      </c>
      <c r="M1367" s="155"/>
      <c r="O1367" s="17" t="s">
        <v>1555</v>
      </c>
      <c r="P1367" s="17">
        <v>-75.216759999999994</v>
      </c>
      <c r="Q1367" s="17">
        <v>-110.96299</v>
      </c>
      <c r="S1367" s="17">
        <v>161.4</v>
      </c>
      <c r="T1367" s="22">
        <v>110</v>
      </c>
      <c r="U1367" s="23">
        <v>560</v>
      </c>
      <c r="V1367" s="153" t="s">
        <v>2292</v>
      </c>
      <c r="W1367" s="44" t="s">
        <v>2457</v>
      </c>
      <c r="X1367" s="22">
        <f t="shared" si="37"/>
        <v>51.400000000000006</v>
      </c>
      <c r="Y1367" s="22">
        <v>1.9990000000000001</v>
      </c>
      <c r="Z1367" s="22">
        <v>2.7</v>
      </c>
      <c r="AA1367" s="17" t="s">
        <v>58</v>
      </c>
      <c r="AB1367" s="36">
        <v>6503</v>
      </c>
      <c r="AC1367" s="36">
        <v>499</v>
      </c>
      <c r="AD1367" s="60"/>
      <c r="AE1367" s="27"/>
      <c r="AF1367" s="27"/>
      <c r="AG1367" s="28"/>
      <c r="AH1367" s="28"/>
      <c r="AI1367" s="17">
        <v>2016</v>
      </c>
      <c r="AK1367" s="17">
        <v>1</v>
      </c>
      <c r="AL1367" s="17" t="s">
        <v>1590</v>
      </c>
    </row>
    <row r="1368" spans="1:38" ht="15.75" customHeight="1">
      <c r="A1368" s="75" t="s">
        <v>1596</v>
      </c>
      <c r="B1368" s="19" t="s">
        <v>1585</v>
      </c>
      <c r="C1368" s="17">
        <v>156</v>
      </c>
      <c r="D1368" s="142" t="s">
        <v>196</v>
      </c>
      <c r="E1368" s="19">
        <v>6000</v>
      </c>
      <c r="F1368" s="19" t="s">
        <v>1551</v>
      </c>
      <c r="G1368" s="19" t="s">
        <v>1558</v>
      </c>
      <c r="H1368" s="19" t="s">
        <v>1559</v>
      </c>
      <c r="I1368" s="17" t="b">
        <v>0</v>
      </c>
      <c r="J1368" s="17" t="s">
        <v>247</v>
      </c>
      <c r="K1368" s="21" t="str">
        <f t="shared" si="36"/>
        <v>https://version2.ice-d.org/antarctica/sample/JJ2015-KAY-111/</v>
      </c>
      <c r="L1368" s="74" t="s">
        <v>39</v>
      </c>
      <c r="M1368" s="155"/>
      <c r="O1368" s="17" t="s">
        <v>1555</v>
      </c>
      <c r="P1368" s="17">
        <v>-75.216610000000003</v>
      </c>
      <c r="Q1368" s="17">
        <v>-110.96281999999999</v>
      </c>
      <c r="S1368" s="17">
        <v>153.6</v>
      </c>
      <c r="T1368" s="22">
        <v>110</v>
      </c>
      <c r="U1368" s="23">
        <v>560</v>
      </c>
      <c r="V1368" s="153" t="s">
        <v>2293</v>
      </c>
      <c r="W1368" s="44" t="s">
        <v>2457</v>
      </c>
      <c r="X1368" s="22">
        <f t="shared" si="37"/>
        <v>43.599999999999994</v>
      </c>
      <c r="Y1368" s="22">
        <v>1.9990000000000001</v>
      </c>
      <c r="Z1368" s="22">
        <v>2.7</v>
      </c>
      <c r="AA1368" s="17" t="s">
        <v>58</v>
      </c>
      <c r="AB1368" s="36">
        <v>6493</v>
      </c>
      <c r="AC1368" s="36">
        <v>466</v>
      </c>
      <c r="AD1368" s="60"/>
      <c r="AE1368" s="27"/>
      <c r="AF1368" s="27"/>
      <c r="AG1368" s="28"/>
      <c r="AH1368" s="28"/>
      <c r="AI1368" s="17">
        <v>2016</v>
      </c>
      <c r="AK1368" s="17">
        <v>1</v>
      </c>
      <c r="AL1368" s="17" t="s">
        <v>1590</v>
      </c>
    </row>
    <row r="1369" spans="1:38" ht="18" customHeight="1">
      <c r="A1369" s="61" t="s">
        <v>1597</v>
      </c>
      <c r="B1369" s="19" t="s">
        <v>1585</v>
      </c>
      <c r="C1369" s="17">
        <v>156</v>
      </c>
      <c r="D1369" s="142" t="s">
        <v>196</v>
      </c>
      <c r="E1369" s="19">
        <v>6000</v>
      </c>
      <c r="F1369" s="19" t="s">
        <v>1551</v>
      </c>
      <c r="G1369" s="19" t="s">
        <v>1552</v>
      </c>
      <c r="H1369" s="19" t="s">
        <v>1553</v>
      </c>
      <c r="I1369" s="17" t="b">
        <v>0</v>
      </c>
      <c r="K1369" s="21" t="str">
        <f t="shared" si="36"/>
        <v>https://version2.ice-d.org/antarctica/sample/JS2010-R9-3-10/</v>
      </c>
      <c r="L1369" s="61" t="s">
        <v>1554</v>
      </c>
      <c r="M1369" s="62" t="s">
        <v>2401</v>
      </c>
      <c r="O1369" s="17" t="s">
        <v>1555</v>
      </c>
      <c r="P1369" s="22">
        <v>-75.220550000000003</v>
      </c>
      <c r="Q1369" s="22">
        <v>-110.96105</v>
      </c>
      <c r="R1369" s="22"/>
      <c r="S1369" s="22">
        <v>324</v>
      </c>
      <c r="T1369" s="80">
        <v>110</v>
      </c>
      <c r="U1369" s="23">
        <v>560</v>
      </c>
      <c r="V1369" s="153" t="s">
        <v>2294</v>
      </c>
      <c r="W1369" s="44" t="s">
        <v>2457</v>
      </c>
      <c r="X1369" s="22">
        <f t="shared" si="37"/>
        <v>214</v>
      </c>
      <c r="Y1369" s="22">
        <v>2.58</v>
      </c>
      <c r="Z1369" s="22">
        <v>2.7</v>
      </c>
      <c r="AA1369" s="17" t="s">
        <v>84</v>
      </c>
      <c r="AB1369" s="26">
        <v>11840</v>
      </c>
      <c r="AC1369" s="26">
        <v>392</v>
      </c>
      <c r="AD1369" s="26"/>
      <c r="AE1369" s="27">
        <v>86301.303150000007</v>
      </c>
      <c r="AF1369" s="27">
        <v>2847.9430040000002</v>
      </c>
      <c r="AG1369" s="28"/>
      <c r="AH1369" s="28"/>
      <c r="AI1369" s="17">
        <v>2010</v>
      </c>
      <c r="AJ1369" s="17">
        <v>1</v>
      </c>
      <c r="AK1369" s="17">
        <v>1</v>
      </c>
      <c r="AL1369" s="17" t="s">
        <v>1556</v>
      </c>
    </row>
    <row r="1370" spans="1:38" ht="18" customHeight="1">
      <c r="A1370" s="61" t="s">
        <v>1598</v>
      </c>
      <c r="B1370" s="19" t="s">
        <v>1585</v>
      </c>
      <c r="C1370" s="17">
        <v>156</v>
      </c>
      <c r="D1370" s="142" t="s">
        <v>196</v>
      </c>
      <c r="E1370" s="19">
        <v>6000</v>
      </c>
      <c r="F1370" s="19" t="s">
        <v>1551</v>
      </c>
      <c r="G1370" s="19" t="s">
        <v>1552</v>
      </c>
      <c r="H1370" s="19" t="s">
        <v>1553</v>
      </c>
      <c r="I1370" s="17" t="b">
        <v>0</v>
      </c>
      <c r="K1370" s="21" t="str">
        <f t="shared" si="36"/>
        <v>https://version2.ice-d.org/antarctica/sample/JS2010-R9-3-11/</v>
      </c>
      <c r="L1370" s="61" t="s">
        <v>1554</v>
      </c>
      <c r="M1370" s="62"/>
      <c r="O1370" s="17" t="s">
        <v>1555</v>
      </c>
      <c r="P1370" s="22">
        <v>-75.220479999999995</v>
      </c>
      <c r="Q1370" s="22">
        <v>-110.96082</v>
      </c>
      <c r="R1370" s="22"/>
      <c r="S1370" s="22">
        <v>327</v>
      </c>
      <c r="T1370" s="80">
        <v>110</v>
      </c>
      <c r="U1370" s="23">
        <v>560</v>
      </c>
      <c r="V1370" s="153" t="s">
        <v>2295</v>
      </c>
      <c r="W1370" s="44" t="s">
        <v>2457</v>
      </c>
      <c r="X1370" s="22">
        <f t="shared" si="37"/>
        <v>217</v>
      </c>
      <c r="Y1370" s="22">
        <v>2.69</v>
      </c>
      <c r="Z1370" s="22">
        <v>2.7</v>
      </c>
      <c r="AA1370" s="17" t="s">
        <v>84</v>
      </c>
      <c r="AB1370" s="26">
        <v>15139</v>
      </c>
      <c r="AC1370" s="26">
        <v>395</v>
      </c>
      <c r="AD1370" s="26"/>
      <c r="AE1370" s="27">
        <v>106410.94469999999</v>
      </c>
      <c r="AF1370" s="27">
        <v>2766.6845629999998</v>
      </c>
      <c r="AG1370" s="28"/>
      <c r="AH1370" s="28"/>
      <c r="AI1370" s="17">
        <v>2010</v>
      </c>
      <c r="AJ1370" s="17">
        <v>1</v>
      </c>
      <c r="AK1370" s="17">
        <v>1</v>
      </c>
      <c r="AL1370" s="17" t="s">
        <v>1556</v>
      </c>
    </row>
    <row r="1371" spans="1:38" ht="18" customHeight="1">
      <c r="A1371" s="61" t="s">
        <v>1599</v>
      </c>
      <c r="B1371" s="19" t="s">
        <v>1585</v>
      </c>
      <c r="C1371" s="17">
        <v>156</v>
      </c>
      <c r="D1371" s="142" t="s">
        <v>196</v>
      </c>
      <c r="E1371" s="19">
        <v>6000</v>
      </c>
      <c r="F1371" s="19" t="s">
        <v>1551</v>
      </c>
      <c r="G1371" s="19" t="s">
        <v>1552</v>
      </c>
      <c r="H1371" s="19" t="s">
        <v>1553</v>
      </c>
      <c r="I1371" s="17" t="b">
        <v>0</v>
      </c>
      <c r="K1371" s="21" t="str">
        <f t="shared" si="36"/>
        <v>https://version2.ice-d.org/antarctica/sample/JS2010-R9-3-2/</v>
      </c>
      <c r="L1371" s="61" t="s">
        <v>1554</v>
      </c>
      <c r="M1371" s="62"/>
      <c r="O1371" s="17" t="s">
        <v>1555</v>
      </c>
      <c r="P1371" s="22">
        <v>-75.220830000000007</v>
      </c>
      <c r="Q1371" s="22">
        <v>-110.9599</v>
      </c>
      <c r="R1371" s="22"/>
      <c r="S1371" s="22">
        <v>338</v>
      </c>
      <c r="T1371" s="80">
        <v>110</v>
      </c>
      <c r="U1371" s="23">
        <v>560</v>
      </c>
      <c r="V1371" s="153" t="s">
        <v>2296</v>
      </c>
      <c r="W1371" s="44" t="s">
        <v>2457</v>
      </c>
      <c r="X1371" s="22">
        <f t="shared" si="37"/>
        <v>228</v>
      </c>
      <c r="Y1371" s="22">
        <v>3.15</v>
      </c>
      <c r="Z1371" s="22">
        <v>2.7</v>
      </c>
      <c r="AA1371" s="17" t="s">
        <v>84</v>
      </c>
      <c r="AB1371" s="26">
        <v>9939</v>
      </c>
      <c r="AC1371" s="26">
        <v>299</v>
      </c>
      <c r="AD1371" s="26"/>
      <c r="AE1371" s="27">
        <v>75010.189910000001</v>
      </c>
      <c r="AF1371" s="27">
        <v>2250.3056969999998</v>
      </c>
      <c r="AG1371" s="28"/>
      <c r="AH1371" s="28"/>
      <c r="AI1371" s="17">
        <v>2010</v>
      </c>
      <c r="AJ1371" s="17">
        <v>1</v>
      </c>
      <c r="AK1371" s="17">
        <v>1</v>
      </c>
      <c r="AL1371" s="17" t="s">
        <v>1556</v>
      </c>
    </row>
    <row r="1372" spans="1:38" ht="18" customHeight="1">
      <c r="A1372" s="61" t="s">
        <v>1600</v>
      </c>
      <c r="B1372" s="19" t="s">
        <v>1585</v>
      </c>
      <c r="C1372" s="17">
        <v>156</v>
      </c>
      <c r="D1372" s="142" t="s">
        <v>196</v>
      </c>
      <c r="E1372" s="19">
        <v>6000</v>
      </c>
      <c r="F1372" s="19" t="s">
        <v>1551</v>
      </c>
      <c r="G1372" s="19" t="s">
        <v>1552</v>
      </c>
      <c r="H1372" s="19" t="s">
        <v>1553</v>
      </c>
      <c r="I1372" s="17" t="b">
        <v>0</v>
      </c>
      <c r="K1372" s="21" t="str">
        <f t="shared" si="36"/>
        <v>https://version2.ice-d.org/antarctica/sample/JS2010-R9-3-8/</v>
      </c>
      <c r="L1372" s="61" t="s">
        <v>1554</v>
      </c>
      <c r="M1372" s="62"/>
      <c r="O1372" s="17" t="s">
        <v>1555</v>
      </c>
      <c r="P1372" s="22">
        <v>-75.220470000000006</v>
      </c>
      <c r="Q1372" s="22">
        <v>-110.96117</v>
      </c>
      <c r="R1372" s="22"/>
      <c r="S1372" s="22">
        <v>326</v>
      </c>
      <c r="T1372" s="80">
        <v>110</v>
      </c>
      <c r="U1372" s="23">
        <v>560</v>
      </c>
      <c r="V1372" s="153" t="s">
        <v>2297</v>
      </c>
      <c r="W1372" s="44" t="s">
        <v>2457</v>
      </c>
      <c r="X1372" s="22">
        <f t="shared" si="37"/>
        <v>216</v>
      </c>
      <c r="Y1372" s="22">
        <v>2.74</v>
      </c>
      <c r="Z1372" s="22">
        <v>2.7</v>
      </c>
      <c r="AA1372" s="17" t="s">
        <v>84</v>
      </c>
      <c r="AB1372" s="26">
        <v>11889</v>
      </c>
      <c r="AC1372" s="26">
        <v>393</v>
      </c>
      <c r="AD1372" s="26"/>
      <c r="AE1372" s="27">
        <v>83660.095679999999</v>
      </c>
      <c r="AF1372" s="27">
        <v>2760.7831580000002</v>
      </c>
      <c r="AG1372" s="28"/>
      <c r="AH1372" s="28"/>
      <c r="AI1372" s="17">
        <v>2010</v>
      </c>
      <c r="AJ1372" s="17">
        <v>1</v>
      </c>
      <c r="AK1372" s="17">
        <v>1</v>
      </c>
      <c r="AL1372" s="17" t="s">
        <v>1556</v>
      </c>
    </row>
    <row r="1373" spans="1:38" ht="15.75" customHeight="1">
      <c r="A1373" s="79" t="s">
        <v>1601</v>
      </c>
      <c r="B1373" s="79" t="s">
        <v>1585</v>
      </c>
      <c r="C1373" s="17">
        <v>156</v>
      </c>
      <c r="D1373" s="142" t="s">
        <v>196</v>
      </c>
      <c r="E1373" s="19">
        <v>6000</v>
      </c>
      <c r="F1373" s="19" t="s">
        <v>1551</v>
      </c>
      <c r="G1373" s="19" t="s">
        <v>1558</v>
      </c>
      <c r="H1373" s="19" t="s">
        <v>1559</v>
      </c>
      <c r="I1373" s="17" t="b">
        <v>0</v>
      </c>
      <c r="J1373" s="17" t="s">
        <v>247</v>
      </c>
      <c r="K1373" s="21" t="str">
        <f t="shared" si="36"/>
        <v>https://version2.ice-d.org/antarctica/sample/19-KP-001-BR/</v>
      </c>
      <c r="L1373" s="52" t="s">
        <v>39</v>
      </c>
      <c r="M1373" s="168" t="s">
        <v>44</v>
      </c>
      <c r="O1373" s="17" t="s">
        <v>1602</v>
      </c>
      <c r="P1373" s="80">
        <v>-75.216366669999999</v>
      </c>
      <c r="Q1373" s="80">
        <v>-110.9624333</v>
      </c>
      <c r="R1373" s="22"/>
      <c r="S1373" s="22">
        <v>140</v>
      </c>
      <c r="T1373" s="17">
        <v>140</v>
      </c>
      <c r="U1373" s="23">
        <v>560</v>
      </c>
      <c r="V1373" s="153" t="s">
        <v>2298</v>
      </c>
      <c r="W1373" s="44" t="s">
        <v>2457</v>
      </c>
      <c r="X1373" s="22">
        <f t="shared" si="37"/>
        <v>0</v>
      </c>
      <c r="Y1373" s="22"/>
      <c r="Z1373" s="22"/>
      <c r="AB1373" s="81">
        <v>5060</v>
      </c>
      <c r="AC1373" s="81">
        <v>697</v>
      </c>
      <c r="AD1373" s="60">
        <v>780</v>
      </c>
      <c r="AE1373" s="27"/>
      <c r="AF1373" s="27"/>
      <c r="AG1373" s="27"/>
      <c r="AH1373" s="27"/>
      <c r="AK1373" s="17">
        <v>1</v>
      </c>
      <c r="AL1373" s="17" t="s">
        <v>1603</v>
      </c>
    </row>
    <row r="1374" spans="1:38" ht="15.75" customHeight="1">
      <c r="A1374" s="79" t="s">
        <v>1604</v>
      </c>
      <c r="B1374" s="79" t="s">
        <v>1585</v>
      </c>
      <c r="C1374" s="17">
        <v>156</v>
      </c>
      <c r="D1374" s="142" t="s">
        <v>196</v>
      </c>
      <c r="E1374" s="19">
        <v>6000</v>
      </c>
      <c r="F1374" s="19" t="s">
        <v>1551</v>
      </c>
      <c r="G1374" s="19" t="s">
        <v>1558</v>
      </c>
      <c r="H1374" s="19" t="s">
        <v>1559</v>
      </c>
      <c r="I1374" s="17" t="b">
        <v>0</v>
      </c>
      <c r="J1374" s="17" t="s">
        <v>247</v>
      </c>
      <c r="K1374" s="21" t="str">
        <f t="shared" si="36"/>
        <v>https://version2.ice-d.org/antarctica/sample/19-KP-003-BR/</v>
      </c>
      <c r="L1374" s="52" t="s">
        <v>39</v>
      </c>
      <c r="M1374" s="155"/>
      <c r="O1374" s="17" t="s">
        <v>1602</v>
      </c>
      <c r="P1374" s="79">
        <v>-75.216629999999995</v>
      </c>
      <c r="Q1374" s="79">
        <v>-110.96293</v>
      </c>
      <c r="S1374" s="79">
        <v>151</v>
      </c>
      <c r="T1374" s="17">
        <v>140</v>
      </c>
      <c r="U1374" s="23">
        <v>560</v>
      </c>
      <c r="V1374" s="153" t="s">
        <v>2299</v>
      </c>
      <c r="W1374" s="44" t="s">
        <v>2457</v>
      </c>
      <c r="X1374" s="22">
        <f t="shared" si="37"/>
        <v>11</v>
      </c>
      <c r="Y1374" s="22"/>
      <c r="Z1374" s="22"/>
      <c r="AB1374" s="81">
        <v>7845</v>
      </c>
      <c r="AC1374" s="81">
        <v>248</v>
      </c>
      <c r="AD1374" s="60">
        <v>700</v>
      </c>
      <c r="AE1374" s="27"/>
      <c r="AF1374" s="27"/>
      <c r="AG1374" s="27"/>
      <c r="AH1374" s="27"/>
      <c r="AK1374" s="17">
        <v>1</v>
      </c>
      <c r="AL1374" s="17" t="s">
        <v>1603</v>
      </c>
    </row>
    <row r="1375" spans="1:38" ht="15.75" customHeight="1">
      <c r="A1375" s="79" t="s">
        <v>1605</v>
      </c>
      <c r="B1375" s="79" t="s">
        <v>1585</v>
      </c>
      <c r="C1375" s="17">
        <v>156</v>
      </c>
      <c r="D1375" s="142" t="s">
        <v>196</v>
      </c>
      <c r="E1375" s="19">
        <v>6000</v>
      </c>
      <c r="F1375" s="19" t="s">
        <v>1551</v>
      </c>
      <c r="G1375" s="19" t="s">
        <v>1558</v>
      </c>
      <c r="H1375" s="19" t="s">
        <v>1559</v>
      </c>
      <c r="I1375" s="17" t="b">
        <v>0</v>
      </c>
      <c r="J1375" s="17" t="s">
        <v>247</v>
      </c>
      <c r="K1375" s="21" t="str">
        <f t="shared" si="36"/>
        <v>https://version2.ice-d.org/antarctica/sample/19-KP-006-BR/</v>
      </c>
      <c r="L1375" s="52" t="s">
        <v>39</v>
      </c>
      <c r="M1375" s="155"/>
      <c r="O1375" s="17" t="s">
        <v>1602</v>
      </c>
      <c r="P1375" s="79">
        <v>-75.216949999999997</v>
      </c>
      <c r="Q1375" s="79">
        <v>-110.96312</v>
      </c>
      <c r="S1375" s="79">
        <v>181</v>
      </c>
      <c r="T1375" s="17">
        <v>140</v>
      </c>
      <c r="U1375" s="23">
        <v>560</v>
      </c>
      <c r="V1375" s="153" t="s">
        <v>2300</v>
      </c>
      <c r="W1375" s="44" t="s">
        <v>2457</v>
      </c>
      <c r="X1375" s="22">
        <f t="shared" si="37"/>
        <v>41</v>
      </c>
      <c r="Y1375" s="22"/>
      <c r="Z1375" s="22"/>
      <c r="AB1375" s="81">
        <v>11617</v>
      </c>
      <c r="AC1375" s="81">
        <v>446</v>
      </c>
      <c r="AD1375" s="60">
        <v>1348</v>
      </c>
      <c r="AE1375" s="27"/>
      <c r="AF1375" s="27"/>
      <c r="AG1375" s="27"/>
      <c r="AH1375" s="27"/>
      <c r="AK1375" s="17">
        <v>1</v>
      </c>
      <c r="AL1375" s="17" t="s">
        <v>1603</v>
      </c>
    </row>
    <row r="1376" spans="1:38" ht="15.75" customHeight="1">
      <c r="A1376" s="79" t="s">
        <v>1606</v>
      </c>
      <c r="B1376" s="79" t="s">
        <v>1585</v>
      </c>
      <c r="C1376" s="17">
        <v>156</v>
      </c>
      <c r="D1376" s="142" t="s">
        <v>196</v>
      </c>
      <c r="E1376" s="19">
        <v>6000</v>
      </c>
      <c r="F1376" s="19" t="s">
        <v>1551</v>
      </c>
      <c r="G1376" s="19" t="s">
        <v>1558</v>
      </c>
      <c r="H1376" s="19" t="s">
        <v>1559</v>
      </c>
      <c r="I1376" s="17" t="b">
        <v>0</v>
      </c>
      <c r="J1376" s="17" t="s">
        <v>247</v>
      </c>
      <c r="K1376" s="21" t="str">
        <f t="shared" si="36"/>
        <v>https://version2.ice-d.org/antarctica/sample/19-KP-007-BR/</v>
      </c>
      <c r="L1376" s="52" t="s">
        <v>39</v>
      </c>
      <c r="M1376" s="155"/>
      <c r="O1376" s="17" t="s">
        <v>1602</v>
      </c>
      <c r="P1376" s="79">
        <v>-75.217979999999997</v>
      </c>
      <c r="Q1376" s="79">
        <v>-110.96249</v>
      </c>
      <c r="S1376" s="79">
        <v>209</v>
      </c>
      <c r="T1376" s="17">
        <v>140</v>
      </c>
      <c r="U1376" s="23">
        <v>560</v>
      </c>
      <c r="V1376" s="153" t="s">
        <v>2301</v>
      </c>
      <c r="W1376" s="44" t="s">
        <v>2457</v>
      </c>
      <c r="X1376" s="22">
        <f t="shared" si="37"/>
        <v>69</v>
      </c>
      <c r="Y1376" s="22"/>
      <c r="Z1376" s="22"/>
      <c r="AB1376" s="81">
        <v>5155</v>
      </c>
      <c r="AC1376" s="81">
        <v>130</v>
      </c>
      <c r="AD1376" s="60">
        <v>381</v>
      </c>
      <c r="AE1376" s="27"/>
      <c r="AF1376" s="27"/>
      <c r="AG1376" s="27"/>
      <c r="AH1376" s="27"/>
      <c r="AK1376" s="17">
        <v>1</v>
      </c>
      <c r="AL1376" s="17" t="s">
        <v>1603</v>
      </c>
    </row>
    <row r="1377" spans="1:38" ht="15.75" customHeight="1">
      <c r="A1377" s="79" t="s">
        <v>1607</v>
      </c>
      <c r="B1377" s="79" t="s">
        <v>1585</v>
      </c>
      <c r="C1377" s="17">
        <v>156</v>
      </c>
      <c r="D1377" s="142" t="s">
        <v>196</v>
      </c>
      <c r="E1377" s="19">
        <v>6000</v>
      </c>
      <c r="F1377" s="19" t="s">
        <v>1551</v>
      </c>
      <c r="G1377" s="19" t="s">
        <v>1558</v>
      </c>
      <c r="H1377" s="19" t="s">
        <v>1559</v>
      </c>
      <c r="I1377" s="17" t="b">
        <v>0</v>
      </c>
      <c r="J1377" s="17" t="s">
        <v>247</v>
      </c>
      <c r="K1377" s="21" t="str">
        <f t="shared" si="36"/>
        <v>https://version2.ice-d.org/antarctica/sample/19-KP-008-BR/</v>
      </c>
      <c r="L1377" s="52" t="s">
        <v>39</v>
      </c>
      <c r="M1377" s="155"/>
      <c r="O1377" s="17" t="s">
        <v>1602</v>
      </c>
      <c r="P1377" s="79">
        <v>-75.218149999999994</v>
      </c>
      <c r="Q1377" s="79">
        <v>-110.96219000000001</v>
      </c>
      <c r="S1377" s="79">
        <v>223</v>
      </c>
      <c r="T1377" s="17">
        <v>140</v>
      </c>
      <c r="U1377" s="23">
        <v>560</v>
      </c>
      <c r="V1377" s="153" t="s">
        <v>2302</v>
      </c>
      <c r="W1377" s="44" t="s">
        <v>2457</v>
      </c>
      <c r="X1377" s="22">
        <f t="shared" si="37"/>
        <v>83</v>
      </c>
      <c r="Y1377" s="22"/>
      <c r="Z1377" s="22"/>
      <c r="AB1377" s="81">
        <v>7245</v>
      </c>
      <c r="AC1377" s="81">
        <v>207</v>
      </c>
      <c r="AD1377" s="60">
        <v>615</v>
      </c>
      <c r="AE1377" s="27"/>
      <c r="AF1377" s="27"/>
      <c r="AG1377" s="27"/>
      <c r="AH1377" s="27"/>
      <c r="AK1377" s="17">
        <v>1</v>
      </c>
      <c r="AL1377" s="17" t="s">
        <v>1603</v>
      </c>
    </row>
    <row r="1378" spans="1:38" ht="15.75" customHeight="1">
      <c r="A1378" s="79" t="s">
        <v>1608</v>
      </c>
      <c r="B1378" s="79" t="s">
        <v>1585</v>
      </c>
      <c r="C1378" s="17">
        <v>156</v>
      </c>
      <c r="D1378" s="142" t="s">
        <v>196</v>
      </c>
      <c r="E1378" s="19">
        <v>6000</v>
      </c>
      <c r="F1378" s="19" t="s">
        <v>1551</v>
      </c>
      <c r="G1378" s="19" t="s">
        <v>1558</v>
      </c>
      <c r="H1378" s="19" t="s">
        <v>1559</v>
      </c>
      <c r="I1378" s="17" t="b">
        <v>0</v>
      </c>
      <c r="J1378" s="17" t="s">
        <v>247</v>
      </c>
      <c r="K1378" s="21" t="str">
        <f t="shared" si="36"/>
        <v>https://version2.ice-d.org/antarctica/sample/19-KP-009-BR/</v>
      </c>
      <c r="L1378" s="52" t="s">
        <v>39</v>
      </c>
      <c r="M1378" s="155"/>
      <c r="O1378" s="17" t="s">
        <v>1602</v>
      </c>
      <c r="P1378" s="79">
        <v>-75.218540000000004</v>
      </c>
      <c r="Q1378" s="79">
        <v>-110.96127</v>
      </c>
      <c r="S1378" s="79">
        <v>236</v>
      </c>
      <c r="T1378" s="17">
        <v>140</v>
      </c>
      <c r="U1378" s="23">
        <v>560</v>
      </c>
      <c r="V1378" s="153" t="s">
        <v>2303</v>
      </c>
      <c r="W1378" s="44" t="s">
        <v>2457</v>
      </c>
      <c r="X1378" s="22">
        <f t="shared" si="37"/>
        <v>96</v>
      </c>
      <c r="Y1378" s="22"/>
      <c r="Z1378" s="22"/>
      <c r="AB1378" s="81">
        <v>6996</v>
      </c>
      <c r="AC1378" s="81">
        <v>198</v>
      </c>
      <c r="AD1378" s="60">
        <v>585</v>
      </c>
      <c r="AE1378" s="27"/>
      <c r="AF1378" s="27"/>
      <c r="AG1378" s="27"/>
      <c r="AH1378" s="27"/>
      <c r="AK1378" s="17">
        <v>1</v>
      </c>
      <c r="AL1378" s="17" t="s">
        <v>1603</v>
      </c>
    </row>
    <row r="1379" spans="1:38" ht="15.75" customHeight="1">
      <c r="A1379" s="79" t="s">
        <v>1609</v>
      </c>
      <c r="B1379" s="79" t="s">
        <v>1585</v>
      </c>
      <c r="C1379" s="17">
        <v>156</v>
      </c>
      <c r="D1379" s="142" t="s">
        <v>196</v>
      </c>
      <c r="E1379" s="19">
        <v>6000</v>
      </c>
      <c r="F1379" s="19" t="s">
        <v>1551</v>
      </c>
      <c r="G1379" s="19" t="s">
        <v>1558</v>
      </c>
      <c r="H1379" s="19" t="s">
        <v>1559</v>
      </c>
      <c r="I1379" s="17" t="b">
        <v>0</v>
      </c>
      <c r="J1379" s="17" t="s">
        <v>247</v>
      </c>
      <c r="K1379" s="21" t="str">
        <f t="shared" si="36"/>
        <v>https://version2.ice-d.org/antarctica/sample/19-KP-010-BR/</v>
      </c>
      <c r="L1379" s="52" t="s">
        <v>39</v>
      </c>
      <c r="M1379" s="155"/>
      <c r="O1379" s="17" t="s">
        <v>1602</v>
      </c>
      <c r="P1379" s="79">
        <v>-75.218810000000005</v>
      </c>
      <c r="Q1379" s="79">
        <v>-110.96068</v>
      </c>
      <c r="S1379" s="79">
        <v>248</v>
      </c>
      <c r="T1379" s="17">
        <v>140</v>
      </c>
      <c r="U1379" s="23">
        <v>560</v>
      </c>
      <c r="V1379" s="153" t="s">
        <v>2304</v>
      </c>
      <c r="W1379" s="44" t="s">
        <v>2457</v>
      </c>
      <c r="X1379" s="22">
        <f t="shared" si="37"/>
        <v>108</v>
      </c>
      <c r="Y1379" s="22"/>
      <c r="Z1379" s="22"/>
      <c r="AB1379" s="81">
        <v>4457</v>
      </c>
      <c r="AC1379" s="81">
        <v>115</v>
      </c>
      <c r="AD1379" s="60">
        <v>317</v>
      </c>
      <c r="AE1379" s="27"/>
      <c r="AF1379" s="27"/>
      <c r="AG1379" s="27"/>
      <c r="AH1379" s="27"/>
      <c r="AK1379" s="17">
        <v>1</v>
      </c>
      <c r="AL1379" s="17" t="s">
        <v>1603</v>
      </c>
    </row>
    <row r="1380" spans="1:38" ht="15.75" customHeight="1">
      <c r="A1380" s="79" t="s">
        <v>1610</v>
      </c>
      <c r="B1380" s="79" t="s">
        <v>1585</v>
      </c>
      <c r="C1380" s="17">
        <v>156</v>
      </c>
      <c r="D1380" s="142" t="s">
        <v>196</v>
      </c>
      <c r="E1380" s="19">
        <v>6000</v>
      </c>
      <c r="F1380" s="19" t="s">
        <v>1551</v>
      </c>
      <c r="G1380" s="19" t="s">
        <v>1558</v>
      </c>
      <c r="H1380" s="19" t="s">
        <v>1559</v>
      </c>
      <c r="I1380" s="17" t="b">
        <v>0</v>
      </c>
      <c r="J1380" s="17" t="s">
        <v>247</v>
      </c>
      <c r="K1380" s="21" t="str">
        <f t="shared" si="36"/>
        <v>https://version2.ice-d.org/antarctica/sample/19-KP-011-BR/</v>
      </c>
      <c r="L1380" s="52" t="s">
        <v>39</v>
      </c>
      <c r="M1380" s="155"/>
      <c r="O1380" s="17" t="s">
        <v>1602</v>
      </c>
      <c r="P1380" s="79">
        <v>-75.219269999999995</v>
      </c>
      <c r="Q1380" s="79">
        <v>-110.95923999999999</v>
      </c>
      <c r="S1380" s="79">
        <v>281</v>
      </c>
      <c r="T1380" s="17">
        <v>140</v>
      </c>
      <c r="U1380" s="23">
        <v>560</v>
      </c>
      <c r="V1380" s="153" t="s">
        <v>2305</v>
      </c>
      <c r="W1380" s="44" t="s">
        <v>2457</v>
      </c>
      <c r="X1380" s="22">
        <f t="shared" si="37"/>
        <v>141</v>
      </c>
      <c r="Y1380" s="22"/>
      <c r="Z1380" s="22"/>
      <c r="AB1380" s="81">
        <v>8901</v>
      </c>
      <c r="AC1380" s="81">
        <v>291</v>
      </c>
      <c r="AD1380" s="60">
        <v>851</v>
      </c>
      <c r="AE1380" s="27"/>
      <c r="AF1380" s="27"/>
      <c r="AG1380" s="27"/>
      <c r="AH1380" s="27"/>
      <c r="AK1380" s="17">
        <v>1</v>
      </c>
      <c r="AL1380" s="17" t="s">
        <v>1603</v>
      </c>
    </row>
    <row r="1381" spans="1:38" ht="15.75" customHeight="1">
      <c r="A1381" s="79" t="s">
        <v>1611</v>
      </c>
      <c r="B1381" s="79" t="s">
        <v>1585</v>
      </c>
      <c r="C1381" s="17">
        <v>156</v>
      </c>
      <c r="D1381" s="142" t="s">
        <v>196</v>
      </c>
      <c r="E1381" s="19">
        <v>6000</v>
      </c>
      <c r="F1381" s="19" t="s">
        <v>1551</v>
      </c>
      <c r="G1381" s="19" t="s">
        <v>1558</v>
      </c>
      <c r="H1381" s="19" t="s">
        <v>1559</v>
      </c>
      <c r="I1381" s="17" t="b">
        <v>0</v>
      </c>
      <c r="J1381" s="17" t="s">
        <v>247</v>
      </c>
      <c r="K1381" s="21" t="str">
        <f t="shared" si="36"/>
        <v>https://version2.ice-d.org/antarctica/sample/19-KP-012-BR/</v>
      </c>
      <c r="L1381" s="52" t="s">
        <v>39</v>
      </c>
      <c r="M1381" s="155"/>
      <c r="O1381" s="17" t="s">
        <v>1602</v>
      </c>
      <c r="P1381" s="79">
        <v>-75.220789999999994</v>
      </c>
      <c r="Q1381" s="79">
        <v>-110.9593</v>
      </c>
      <c r="S1381" s="79">
        <v>338</v>
      </c>
      <c r="T1381" s="17">
        <v>140</v>
      </c>
      <c r="U1381" s="23">
        <v>560</v>
      </c>
      <c r="V1381" s="153" t="s">
        <v>2306</v>
      </c>
      <c r="W1381" s="44" t="s">
        <v>2457</v>
      </c>
      <c r="X1381" s="22">
        <f t="shared" si="37"/>
        <v>198</v>
      </c>
      <c r="Y1381" s="22"/>
      <c r="Z1381" s="22"/>
      <c r="AB1381" s="81">
        <v>6261</v>
      </c>
      <c r="AC1381" s="81">
        <v>657</v>
      </c>
      <c r="AD1381" s="60">
        <v>807</v>
      </c>
      <c r="AE1381" s="27"/>
      <c r="AF1381" s="27"/>
      <c r="AG1381" s="27"/>
      <c r="AH1381" s="27"/>
      <c r="AK1381" s="17">
        <v>1</v>
      </c>
      <c r="AL1381" s="17" t="s">
        <v>1603</v>
      </c>
    </row>
    <row r="1382" spans="1:38" ht="12.75" customHeight="1">
      <c r="A1382" s="52" t="s">
        <v>1612</v>
      </c>
      <c r="B1382" s="19" t="s">
        <v>1613</v>
      </c>
      <c r="C1382" s="17">
        <v>156</v>
      </c>
      <c r="D1382" s="142" t="s">
        <v>196</v>
      </c>
      <c r="E1382" s="19">
        <v>0</v>
      </c>
      <c r="F1382" s="19" t="s">
        <v>1551</v>
      </c>
      <c r="G1382" s="19" t="s">
        <v>1558</v>
      </c>
      <c r="H1382" s="19" t="s">
        <v>1559</v>
      </c>
      <c r="I1382" s="17" t="b">
        <v>0</v>
      </c>
      <c r="K1382" s="21" t="str">
        <f t="shared" si="36"/>
        <v>https://version2.ice-d.org/antarctica/sample/JJ2015-TUR-117/</v>
      </c>
      <c r="L1382" s="52" t="s">
        <v>39</v>
      </c>
      <c r="M1382" s="167" t="s">
        <v>44</v>
      </c>
      <c r="O1382" s="17" t="s">
        <v>1555</v>
      </c>
      <c r="P1382" s="22">
        <v>-75.381134000000003</v>
      </c>
      <c r="Q1382" s="22">
        <v>-111.306636</v>
      </c>
      <c r="R1382" s="27"/>
      <c r="S1382" s="22">
        <v>451</v>
      </c>
      <c r="T1382" s="17">
        <v>250</v>
      </c>
      <c r="U1382" s="23">
        <v>824</v>
      </c>
      <c r="V1382" s="153" t="s">
        <v>2464</v>
      </c>
      <c r="W1382" s="44" t="s">
        <v>2463</v>
      </c>
      <c r="X1382" s="22">
        <f t="shared" si="37"/>
        <v>201</v>
      </c>
      <c r="Y1382" s="22">
        <v>3.71</v>
      </c>
      <c r="AA1382" s="17" t="s">
        <v>84</v>
      </c>
      <c r="AB1382" s="26">
        <v>6558</v>
      </c>
      <c r="AC1382" s="26">
        <v>280</v>
      </c>
      <c r="AD1382" s="26"/>
      <c r="AE1382" s="27">
        <v>55765.593090000002</v>
      </c>
      <c r="AF1382" s="27">
        <v>2374.429905</v>
      </c>
      <c r="AG1382" s="28"/>
      <c r="AH1382" s="28"/>
      <c r="AI1382" s="17">
        <v>2015</v>
      </c>
      <c r="AJ1382" s="17">
        <v>1</v>
      </c>
      <c r="AK1382" s="17">
        <v>1</v>
      </c>
      <c r="AL1382" s="17" t="s">
        <v>1614</v>
      </c>
    </row>
    <row r="1383" spans="1:38" ht="12.75" customHeight="1">
      <c r="A1383" s="52" t="s">
        <v>1612</v>
      </c>
      <c r="B1383" s="19" t="s">
        <v>1613</v>
      </c>
      <c r="C1383" s="17">
        <v>156</v>
      </c>
      <c r="D1383" s="142" t="s">
        <v>196</v>
      </c>
      <c r="E1383" s="19">
        <v>0</v>
      </c>
      <c r="F1383" s="19" t="s">
        <v>1551</v>
      </c>
      <c r="G1383" s="19" t="s">
        <v>1558</v>
      </c>
      <c r="H1383" s="19" t="s">
        <v>1559</v>
      </c>
      <c r="I1383" s="17" t="b">
        <v>0</v>
      </c>
      <c r="K1383" s="21" t="str">
        <f t="shared" si="36"/>
        <v>https://version2.ice-d.org/antarctica/sample/JJ2015-TUR-117/</v>
      </c>
      <c r="L1383" s="52" t="s">
        <v>39</v>
      </c>
      <c r="M1383" s="155"/>
      <c r="O1383" s="17" t="s">
        <v>1555</v>
      </c>
      <c r="P1383" s="22">
        <v>-75.381134000000003</v>
      </c>
      <c r="Q1383" s="22">
        <v>-111.306636</v>
      </c>
      <c r="R1383" s="27"/>
      <c r="S1383" s="22">
        <v>451</v>
      </c>
      <c r="T1383" s="17">
        <v>250</v>
      </c>
      <c r="U1383" s="23">
        <v>824</v>
      </c>
      <c r="V1383" s="153" t="s">
        <v>2464</v>
      </c>
      <c r="W1383" s="44" t="s">
        <v>2463</v>
      </c>
      <c r="X1383" s="22">
        <f t="shared" si="37"/>
        <v>201</v>
      </c>
      <c r="Y1383" s="22">
        <v>3.71</v>
      </c>
      <c r="AA1383" s="17" t="s">
        <v>84</v>
      </c>
      <c r="AB1383" s="26">
        <v>3030</v>
      </c>
      <c r="AC1383" s="26">
        <v>73</v>
      </c>
      <c r="AD1383" s="26"/>
      <c r="AE1383" s="27">
        <v>55765.593090000002</v>
      </c>
      <c r="AF1383" s="27">
        <v>2374.429905</v>
      </c>
      <c r="AG1383" s="28"/>
      <c r="AH1383" s="28"/>
      <c r="AI1383" s="17">
        <v>2015</v>
      </c>
      <c r="AJ1383" s="17">
        <v>1</v>
      </c>
      <c r="AK1383" s="17">
        <v>1</v>
      </c>
      <c r="AL1383" s="17" t="s">
        <v>1614</v>
      </c>
    </row>
    <row r="1384" spans="1:38" ht="15.75" customHeight="1">
      <c r="A1384" s="52" t="s">
        <v>1615</v>
      </c>
      <c r="B1384" s="19" t="s">
        <v>1613</v>
      </c>
      <c r="C1384" s="17">
        <v>156</v>
      </c>
      <c r="D1384" s="142" t="s">
        <v>196</v>
      </c>
      <c r="E1384" s="19">
        <v>0</v>
      </c>
      <c r="F1384" s="19" t="s">
        <v>1551</v>
      </c>
      <c r="G1384" s="19" t="s">
        <v>1558</v>
      </c>
      <c r="H1384" s="19" t="s">
        <v>1559</v>
      </c>
      <c r="I1384" s="17" t="b">
        <v>0</v>
      </c>
      <c r="K1384" s="21" t="str">
        <f t="shared" si="36"/>
        <v>https://version2.ice-d.org/antarctica/sample/JJ2015-TUR-118/</v>
      </c>
      <c r="L1384" s="52" t="s">
        <v>1616</v>
      </c>
      <c r="M1384" s="155"/>
      <c r="O1384" s="17" t="s">
        <v>1555</v>
      </c>
      <c r="P1384" s="22">
        <v>-75.375668000000005</v>
      </c>
      <c r="Q1384" s="22">
        <v>-111.301796</v>
      </c>
      <c r="R1384" s="27"/>
      <c r="S1384" s="22">
        <v>568</v>
      </c>
      <c r="T1384" s="17">
        <v>250</v>
      </c>
      <c r="U1384" s="23">
        <v>824</v>
      </c>
      <c r="V1384" s="153" t="s">
        <v>2464</v>
      </c>
      <c r="W1384" s="44" t="s">
        <v>2463</v>
      </c>
      <c r="X1384" s="22">
        <f t="shared" si="37"/>
        <v>318</v>
      </c>
      <c r="Y1384" s="22">
        <v>3.31</v>
      </c>
      <c r="AA1384" s="17" t="s">
        <v>84</v>
      </c>
      <c r="AB1384" s="26">
        <v>5807</v>
      </c>
      <c r="AC1384" s="26">
        <v>184</v>
      </c>
      <c r="AD1384" s="26"/>
      <c r="AE1384" s="27">
        <v>54908.855329999999</v>
      </c>
      <c r="AF1384" s="27">
        <v>1737.020391</v>
      </c>
      <c r="AG1384" s="28"/>
      <c r="AH1384" s="28"/>
      <c r="AI1384" s="17">
        <v>2015</v>
      </c>
      <c r="AJ1384" s="17">
        <v>1</v>
      </c>
      <c r="AK1384" s="17">
        <v>1</v>
      </c>
      <c r="AL1384" s="17" t="s">
        <v>1614</v>
      </c>
    </row>
    <row r="1385" spans="1:38" ht="15.75" customHeight="1">
      <c r="A1385" s="52" t="s">
        <v>1617</v>
      </c>
      <c r="B1385" s="19" t="s">
        <v>1613</v>
      </c>
      <c r="C1385" s="17">
        <v>156</v>
      </c>
      <c r="D1385" s="142" t="s">
        <v>196</v>
      </c>
      <c r="E1385" s="19">
        <v>0</v>
      </c>
      <c r="F1385" s="19" t="s">
        <v>1551</v>
      </c>
      <c r="G1385" s="19" t="s">
        <v>1558</v>
      </c>
      <c r="H1385" s="19" t="s">
        <v>1559</v>
      </c>
      <c r="I1385" s="17" t="b">
        <v>0</v>
      </c>
      <c r="K1385" s="21" t="str">
        <f t="shared" si="36"/>
        <v>https://version2.ice-d.org/antarctica/sample/JJ2015-TUR-120/</v>
      </c>
      <c r="L1385" s="52" t="s">
        <v>39</v>
      </c>
      <c r="M1385" s="155"/>
      <c r="O1385" s="17" t="s">
        <v>1555</v>
      </c>
      <c r="P1385" s="22">
        <v>-75.375268000000005</v>
      </c>
      <c r="Q1385" s="22">
        <v>-111.300529</v>
      </c>
      <c r="R1385" s="27"/>
      <c r="S1385" s="22">
        <v>567</v>
      </c>
      <c r="T1385" s="17">
        <v>250</v>
      </c>
      <c r="U1385" s="23">
        <v>824</v>
      </c>
      <c r="V1385" s="153" t="s">
        <v>2464</v>
      </c>
      <c r="W1385" s="44" t="s">
        <v>2463</v>
      </c>
      <c r="X1385" s="22">
        <f t="shared" si="37"/>
        <v>317</v>
      </c>
      <c r="Y1385" s="22">
        <v>3.47</v>
      </c>
      <c r="AA1385" s="17" t="s">
        <v>84</v>
      </c>
      <c r="AB1385" s="26">
        <v>10897</v>
      </c>
      <c r="AC1385" s="26">
        <v>267</v>
      </c>
      <c r="AD1385" s="26"/>
      <c r="AE1385" s="27">
        <v>103840.8651</v>
      </c>
      <c r="AF1385" s="27">
        <v>2533.0819200000001</v>
      </c>
      <c r="AG1385" s="28"/>
      <c r="AH1385" s="28"/>
      <c r="AI1385" s="17">
        <v>2015</v>
      </c>
      <c r="AJ1385" s="17">
        <v>1</v>
      </c>
      <c r="AK1385" s="17">
        <v>1</v>
      </c>
      <c r="AL1385" s="17" t="s">
        <v>1614</v>
      </c>
    </row>
    <row r="1386" spans="1:38" ht="15.75" customHeight="1">
      <c r="A1386" s="52" t="s">
        <v>1618</v>
      </c>
      <c r="B1386" s="19" t="s">
        <v>1613</v>
      </c>
      <c r="C1386" s="17">
        <v>156</v>
      </c>
      <c r="D1386" s="142" t="s">
        <v>196</v>
      </c>
      <c r="E1386" s="19">
        <v>0</v>
      </c>
      <c r="F1386" s="19" t="s">
        <v>1551</v>
      </c>
      <c r="G1386" s="19" t="s">
        <v>1558</v>
      </c>
      <c r="H1386" s="19" t="s">
        <v>1559</v>
      </c>
      <c r="I1386" s="17" t="b">
        <v>0</v>
      </c>
      <c r="K1386" s="21" t="str">
        <f t="shared" si="36"/>
        <v>https://version2.ice-d.org/antarctica/sample/JJ2015-TUR-121/</v>
      </c>
      <c r="L1386" s="52" t="s">
        <v>39</v>
      </c>
      <c r="M1386" s="155"/>
      <c r="O1386" s="17" t="s">
        <v>1555</v>
      </c>
      <c r="P1386" s="22">
        <v>-75.370442999999995</v>
      </c>
      <c r="Q1386" s="22">
        <v>-111.290627</v>
      </c>
      <c r="R1386" s="27"/>
      <c r="S1386" s="22">
        <v>643</v>
      </c>
      <c r="T1386" s="17">
        <v>250</v>
      </c>
      <c r="U1386" s="23">
        <v>824</v>
      </c>
      <c r="V1386" s="153" t="s">
        <v>2464</v>
      </c>
      <c r="W1386" s="44" t="s">
        <v>2463</v>
      </c>
      <c r="X1386" s="22">
        <f t="shared" si="37"/>
        <v>393</v>
      </c>
      <c r="Y1386" s="22">
        <v>3.45</v>
      </c>
      <c r="AA1386" s="17" t="s">
        <v>84</v>
      </c>
      <c r="AB1386" s="26">
        <v>10633</v>
      </c>
      <c r="AC1386" s="26">
        <v>320</v>
      </c>
      <c r="AD1386" s="26"/>
      <c r="AE1386" s="27">
        <v>108719.2377</v>
      </c>
      <c r="AF1386" s="27">
        <v>3260.0983179999998</v>
      </c>
      <c r="AG1386" s="28"/>
      <c r="AH1386" s="28"/>
      <c r="AI1386" s="17">
        <v>2015</v>
      </c>
      <c r="AJ1386" s="17">
        <v>1</v>
      </c>
      <c r="AK1386" s="17">
        <v>1</v>
      </c>
      <c r="AL1386" s="17" t="s">
        <v>1614</v>
      </c>
    </row>
    <row r="1387" spans="1:38" ht="15.75" customHeight="1">
      <c r="A1387" s="52" t="s">
        <v>1619</v>
      </c>
      <c r="B1387" s="19" t="s">
        <v>1613</v>
      </c>
      <c r="C1387" s="17">
        <v>156</v>
      </c>
      <c r="D1387" s="142" t="s">
        <v>196</v>
      </c>
      <c r="E1387" s="19">
        <v>0</v>
      </c>
      <c r="F1387" s="19" t="s">
        <v>1551</v>
      </c>
      <c r="G1387" s="19" t="s">
        <v>1558</v>
      </c>
      <c r="H1387" s="19" t="s">
        <v>1559</v>
      </c>
      <c r="I1387" s="17" t="b">
        <v>0</v>
      </c>
      <c r="K1387" s="21" t="str">
        <f t="shared" si="36"/>
        <v>https://version2.ice-d.org/antarctica/sample/JJ2015-TUR-123/</v>
      </c>
      <c r="L1387" s="52" t="s">
        <v>39</v>
      </c>
      <c r="M1387" s="155"/>
      <c r="O1387" s="17" t="s">
        <v>1555</v>
      </c>
      <c r="P1387" s="22">
        <v>-75.370609430000002</v>
      </c>
      <c r="Q1387" s="22">
        <v>-111.2922956</v>
      </c>
      <c r="R1387" s="27"/>
      <c r="S1387" s="22">
        <v>639</v>
      </c>
      <c r="T1387" s="17">
        <v>250</v>
      </c>
      <c r="U1387" s="23">
        <v>824</v>
      </c>
      <c r="V1387" s="153" t="s">
        <v>2464</v>
      </c>
      <c r="W1387" s="44" t="s">
        <v>2463</v>
      </c>
      <c r="X1387" s="22">
        <f t="shared" si="37"/>
        <v>389</v>
      </c>
      <c r="Y1387" s="22">
        <v>2.94</v>
      </c>
      <c r="AA1387" s="17" t="s">
        <v>84</v>
      </c>
      <c r="AB1387" s="26">
        <v>10111</v>
      </c>
      <c r="AC1387" s="26">
        <v>291</v>
      </c>
      <c r="AD1387" s="26"/>
      <c r="AE1387" s="27">
        <v>102931.1721</v>
      </c>
      <c r="AF1387" s="27">
        <v>2958.3741239999999</v>
      </c>
      <c r="AG1387" s="28"/>
      <c r="AH1387" s="28"/>
      <c r="AI1387" s="17">
        <v>2015</v>
      </c>
      <c r="AJ1387" s="17">
        <v>1</v>
      </c>
      <c r="AK1387" s="17">
        <v>1</v>
      </c>
      <c r="AL1387" s="17" t="s">
        <v>1614</v>
      </c>
    </row>
    <row r="1388" spans="1:38" ht="12.75" customHeight="1">
      <c r="A1388" s="52" t="s">
        <v>1619</v>
      </c>
      <c r="B1388" s="19" t="s">
        <v>1613</v>
      </c>
      <c r="C1388" s="17">
        <v>156</v>
      </c>
      <c r="D1388" s="142" t="s">
        <v>196</v>
      </c>
      <c r="E1388" s="19">
        <v>0</v>
      </c>
      <c r="F1388" s="19" t="s">
        <v>1551</v>
      </c>
      <c r="G1388" s="19" t="s">
        <v>1558</v>
      </c>
      <c r="H1388" s="19" t="s">
        <v>1559</v>
      </c>
      <c r="I1388" s="17" t="b">
        <v>0</v>
      </c>
      <c r="K1388" s="21" t="str">
        <f t="shared" si="36"/>
        <v>https://version2.ice-d.org/antarctica/sample/JJ2015-TUR-123/</v>
      </c>
      <c r="L1388" s="52" t="s">
        <v>39</v>
      </c>
      <c r="M1388" s="155"/>
      <c r="O1388" s="17" t="s">
        <v>1555</v>
      </c>
      <c r="P1388" s="22">
        <v>-75.370609430000002</v>
      </c>
      <c r="Q1388" s="22">
        <v>-111.2922956</v>
      </c>
      <c r="R1388" s="27"/>
      <c r="S1388" s="22">
        <v>639</v>
      </c>
      <c r="T1388" s="17">
        <v>250</v>
      </c>
      <c r="U1388" s="23">
        <v>824</v>
      </c>
      <c r="V1388" s="153" t="s">
        <v>2464</v>
      </c>
      <c r="W1388" s="44" t="s">
        <v>2463</v>
      </c>
      <c r="X1388" s="22">
        <f t="shared" si="37"/>
        <v>389</v>
      </c>
      <c r="Y1388" s="22">
        <v>2.94</v>
      </c>
      <c r="AA1388" s="17" t="s">
        <v>84</v>
      </c>
      <c r="AB1388" s="26">
        <v>3796</v>
      </c>
      <c r="AC1388" s="26">
        <v>93</v>
      </c>
      <c r="AD1388" s="26"/>
      <c r="AE1388" s="27">
        <v>102931.1721</v>
      </c>
      <c r="AF1388" s="27">
        <v>2958.3741239999999</v>
      </c>
      <c r="AG1388" s="28"/>
      <c r="AH1388" s="28"/>
      <c r="AI1388" s="17">
        <v>2015</v>
      </c>
      <c r="AJ1388" s="17">
        <v>1</v>
      </c>
      <c r="AK1388" s="17">
        <v>1</v>
      </c>
      <c r="AL1388" s="17" t="s">
        <v>1614</v>
      </c>
    </row>
    <row r="1389" spans="1:38" ht="15.75" customHeight="1">
      <c r="A1389" s="52" t="s">
        <v>1620</v>
      </c>
      <c r="B1389" s="19" t="s">
        <v>1613</v>
      </c>
      <c r="C1389" s="17">
        <v>156</v>
      </c>
      <c r="D1389" s="142" t="s">
        <v>196</v>
      </c>
      <c r="E1389" s="19">
        <v>0</v>
      </c>
      <c r="F1389" s="19" t="s">
        <v>1551</v>
      </c>
      <c r="G1389" s="19" t="s">
        <v>1558</v>
      </c>
      <c r="H1389" s="19" t="s">
        <v>1559</v>
      </c>
      <c r="I1389" s="17" t="b">
        <v>0</v>
      </c>
      <c r="K1389" s="21" t="str">
        <f t="shared" si="36"/>
        <v>https://version2.ice-d.org/antarctica/sample/JJ2015-TUR-124/</v>
      </c>
      <c r="L1389" s="52" t="s">
        <v>39</v>
      </c>
      <c r="M1389" s="155"/>
      <c r="O1389" s="17" t="s">
        <v>1555</v>
      </c>
      <c r="P1389" s="22">
        <v>-75.370482359999997</v>
      </c>
      <c r="Q1389" s="22">
        <v>-111.2907706</v>
      </c>
      <c r="R1389" s="27"/>
      <c r="S1389" s="22">
        <v>641</v>
      </c>
      <c r="T1389" s="17">
        <v>250</v>
      </c>
      <c r="U1389" s="23">
        <v>824</v>
      </c>
      <c r="V1389" s="153" t="s">
        <v>2464</v>
      </c>
      <c r="W1389" s="44" t="s">
        <v>2463</v>
      </c>
      <c r="X1389" s="22">
        <f t="shared" si="37"/>
        <v>391</v>
      </c>
      <c r="Y1389" s="22">
        <v>2.61</v>
      </c>
      <c r="AA1389" s="17" t="s">
        <v>84</v>
      </c>
      <c r="AB1389" s="26">
        <v>11839</v>
      </c>
      <c r="AC1389" s="26">
        <v>379</v>
      </c>
      <c r="AD1389" s="26"/>
      <c r="AE1389" s="27">
        <v>119924.63159999999</v>
      </c>
      <c r="AF1389" s="27">
        <v>3827.7417099999998</v>
      </c>
      <c r="AG1389" s="28"/>
      <c r="AH1389" s="28"/>
      <c r="AI1389" s="17">
        <v>2015</v>
      </c>
      <c r="AJ1389" s="17">
        <v>1</v>
      </c>
      <c r="AK1389" s="17">
        <v>1</v>
      </c>
      <c r="AL1389" s="17" t="s">
        <v>1614</v>
      </c>
    </row>
    <row r="1390" spans="1:38" ht="15.75" customHeight="1">
      <c r="A1390" s="52" t="s">
        <v>1621</v>
      </c>
      <c r="B1390" s="19" t="s">
        <v>1613</v>
      </c>
      <c r="C1390" s="17">
        <v>156</v>
      </c>
      <c r="D1390" s="142" t="s">
        <v>196</v>
      </c>
      <c r="E1390" s="19">
        <v>0</v>
      </c>
      <c r="F1390" s="19" t="s">
        <v>1551</v>
      </c>
      <c r="G1390" s="19" t="s">
        <v>1558</v>
      </c>
      <c r="H1390" s="19" t="s">
        <v>1559</v>
      </c>
      <c r="I1390" s="17" t="b">
        <v>0</v>
      </c>
      <c r="K1390" s="21" t="str">
        <f t="shared" si="36"/>
        <v>https://version2.ice-d.org/antarctica/sample/JJ2015-TUR-125/</v>
      </c>
      <c r="L1390" s="52" t="s">
        <v>39</v>
      </c>
      <c r="M1390" s="155"/>
      <c r="O1390" s="17" t="s">
        <v>1555</v>
      </c>
      <c r="P1390" s="22">
        <v>-75.369872999999998</v>
      </c>
      <c r="Q1390" s="22">
        <v>-111.29079299999999</v>
      </c>
      <c r="R1390" s="27"/>
      <c r="S1390" s="22">
        <v>661</v>
      </c>
      <c r="T1390" s="17">
        <v>250</v>
      </c>
      <c r="U1390" s="23">
        <v>824</v>
      </c>
      <c r="V1390" s="153" t="s">
        <v>2464</v>
      </c>
      <c r="W1390" s="44" t="s">
        <v>2463</v>
      </c>
      <c r="X1390" s="22">
        <f t="shared" si="37"/>
        <v>411</v>
      </c>
      <c r="Y1390" s="22">
        <v>2.12</v>
      </c>
      <c r="AA1390" s="17" t="s">
        <v>84</v>
      </c>
      <c r="AB1390" s="26">
        <v>10256</v>
      </c>
      <c r="AC1390" s="26">
        <v>311</v>
      </c>
      <c r="AD1390" s="26"/>
      <c r="AE1390" s="27">
        <v>105671.72840000001</v>
      </c>
      <c r="AF1390" s="27">
        <v>3198.1459829999999</v>
      </c>
      <c r="AG1390" s="28"/>
      <c r="AH1390" s="28"/>
      <c r="AI1390" s="17">
        <v>2015</v>
      </c>
      <c r="AJ1390" s="17">
        <v>1</v>
      </c>
      <c r="AK1390" s="17">
        <v>1</v>
      </c>
      <c r="AL1390" s="17" t="s">
        <v>1614</v>
      </c>
    </row>
    <row r="1391" spans="1:38" ht="15.75" customHeight="1">
      <c r="A1391" s="52" t="s">
        <v>1622</v>
      </c>
      <c r="B1391" s="19" t="s">
        <v>1613</v>
      </c>
      <c r="C1391" s="17">
        <v>156</v>
      </c>
      <c r="D1391" s="142" t="s">
        <v>196</v>
      </c>
      <c r="E1391" s="19">
        <v>0</v>
      </c>
      <c r="F1391" s="19" t="s">
        <v>1551</v>
      </c>
      <c r="G1391" s="19" t="s">
        <v>1558</v>
      </c>
      <c r="H1391" s="19" t="s">
        <v>1559</v>
      </c>
      <c r="I1391" s="17" t="b">
        <v>0</v>
      </c>
      <c r="K1391" s="21" t="str">
        <f t="shared" si="36"/>
        <v>https://version2.ice-d.org/antarctica/sample/JJ2015-TUR-127/</v>
      </c>
      <c r="L1391" s="52" t="s">
        <v>39</v>
      </c>
      <c r="M1391" s="155"/>
      <c r="O1391" s="17" t="s">
        <v>1555</v>
      </c>
      <c r="P1391" s="22">
        <v>-75.369448000000006</v>
      </c>
      <c r="Q1391" s="22">
        <v>-111.298428</v>
      </c>
      <c r="R1391" s="27"/>
      <c r="S1391" s="22">
        <v>679</v>
      </c>
      <c r="T1391" s="17">
        <v>250</v>
      </c>
      <c r="U1391" s="23">
        <v>824</v>
      </c>
      <c r="V1391" s="153" t="s">
        <v>2464</v>
      </c>
      <c r="W1391" s="44" t="s">
        <v>2463</v>
      </c>
      <c r="X1391" s="22">
        <f t="shared" si="37"/>
        <v>429</v>
      </c>
      <c r="Y1391" s="22">
        <v>2.08</v>
      </c>
      <c r="AA1391" s="17" t="s">
        <v>84</v>
      </c>
      <c r="AB1391" s="26">
        <v>2536</v>
      </c>
      <c r="AC1391" s="26">
        <v>178</v>
      </c>
      <c r="AD1391" s="26"/>
      <c r="AE1391" s="27">
        <v>27154.813190000001</v>
      </c>
      <c r="AF1391" s="27">
        <v>1902.861897</v>
      </c>
      <c r="AG1391" s="28"/>
      <c r="AH1391" s="28"/>
      <c r="AI1391" s="17">
        <v>2015</v>
      </c>
      <c r="AJ1391" s="17">
        <v>1</v>
      </c>
      <c r="AK1391" s="17">
        <v>1</v>
      </c>
      <c r="AL1391" s="17" t="s">
        <v>1582</v>
      </c>
    </row>
    <row r="1392" spans="1:38" ht="15.75" customHeight="1">
      <c r="A1392" s="52" t="s">
        <v>1623</v>
      </c>
      <c r="B1392" s="19" t="s">
        <v>1613</v>
      </c>
      <c r="C1392" s="17">
        <v>156</v>
      </c>
      <c r="D1392" s="142" t="s">
        <v>196</v>
      </c>
      <c r="E1392" s="19">
        <v>0</v>
      </c>
      <c r="F1392" s="19" t="s">
        <v>1551</v>
      </c>
      <c r="G1392" s="19" t="s">
        <v>1558</v>
      </c>
      <c r="H1392" s="19" t="s">
        <v>1559</v>
      </c>
      <c r="I1392" s="17" t="b">
        <v>0</v>
      </c>
      <c r="K1392" s="21" t="str">
        <f t="shared" si="36"/>
        <v>https://version2.ice-d.org/antarctica/sample/JJ2015-TUR-129/</v>
      </c>
      <c r="L1392" s="52" t="s">
        <v>39</v>
      </c>
      <c r="M1392" s="155"/>
      <c r="O1392" s="17" t="s">
        <v>1555</v>
      </c>
      <c r="P1392" s="22">
        <v>-75.369136999999995</v>
      </c>
      <c r="Q1392" s="22">
        <v>-111.297489</v>
      </c>
      <c r="R1392" s="27"/>
      <c r="S1392" s="22">
        <v>683</v>
      </c>
      <c r="T1392" s="17">
        <v>250</v>
      </c>
      <c r="U1392" s="23">
        <v>824</v>
      </c>
      <c r="V1392" s="153" t="s">
        <v>2464</v>
      </c>
      <c r="W1392" s="44" t="s">
        <v>2463</v>
      </c>
      <c r="X1392" s="22">
        <f t="shared" si="37"/>
        <v>433</v>
      </c>
      <c r="Y1392" s="22">
        <v>3.43</v>
      </c>
      <c r="AA1392" s="17" t="s">
        <v>84</v>
      </c>
      <c r="AB1392" s="26">
        <v>9992</v>
      </c>
      <c r="AC1392" s="26">
        <v>311</v>
      </c>
      <c r="AD1392" s="26"/>
      <c r="AE1392" s="27">
        <v>106211.4837</v>
      </c>
      <c r="AF1392" s="27">
        <v>3294.0824029999999</v>
      </c>
      <c r="AG1392" s="28"/>
      <c r="AH1392" s="28"/>
      <c r="AI1392" s="17">
        <v>2015</v>
      </c>
      <c r="AJ1392" s="17">
        <v>1</v>
      </c>
      <c r="AK1392" s="17">
        <v>1</v>
      </c>
      <c r="AL1392" s="17" t="s">
        <v>1614</v>
      </c>
    </row>
    <row r="1393" spans="1:38" ht="15.75" customHeight="1">
      <c r="A1393" s="52" t="s">
        <v>1624</v>
      </c>
      <c r="B1393" s="19" t="s">
        <v>1613</v>
      </c>
      <c r="C1393" s="17">
        <v>156</v>
      </c>
      <c r="D1393" s="142" t="s">
        <v>196</v>
      </c>
      <c r="E1393" s="19">
        <v>0</v>
      </c>
      <c r="F1393" s="19" t="s">
        <v>1551</v>
      </c>
      <c r="G1393" s="19" t="s">
        <v>1558</v>
      </c>
      <c r="H1393" s="19" t="s">
        <v>1559</v>
      </c>
      <c r="I1393" s="17" t="b">
        <v>0</v>
      </c>
      <c r="K1393" s="21" t="str">
        <f t="shared" si="36"/>
        <v>https://version2.ice-d.org/antarctica/sample/JJ2015-TUR-130/</v>
      </c>
      <c r="L1393" s="52" t="s">
        <v>39</v>
      </c>
      <c r="M1393" s="155"/>
      <c r="O1393" s="17" t="s">
        <v>1555</v>
      </c>
      <c r="P1393" s="22">
        <v>-75.369681999999997</v>
      </c>
      <c r="Q1393" s="22">
        <v>-111.296475</v>
      </c>
      <c r="R1393" s="27"/>
      <c r="S1393" s="22">
        <v>681</v>
      </c>
      <c r="T1393" s="17">
        <v>250</v>
      </c>
      <c r="U1393" s="23">
        <v>824</v>
      </c>
      <c r="V1393" s="153" t="s">
        <v>2464</v>
      </c>
      <c r="W1393" s="44" t="s">
        <v>2463</v>
      </c>
      <c r="X1393" s="22">
        <f t="shared" si="37"/>
        <v>431</v>
      </c>
      <c r="Y1393" s="22">
        <v>3.08</v>
      </c>
      <c r="AA1393" s="17" t="s">
        <v>84</v>
      </c>
      <c r="AB1393" s="26">
        <v>8878</v>
      </c>
      <c r="AC1393" s="26">
        <v>351</v>
      </c>
      <c r="AD1393" s="26"/>
      <c r="AE1393" s="27">
        <v>94685.371180000002</v>
      </c>
      <c r="AF1393" s="27">
        <v>3732.3314650000002</v>
      </c>
      <c r="AG1393" s="28"/>
      <c r="AH1393" s="28"/>
      <c r="AI1393" s="17">
        <v>2015</v>
      </c>
      <c r="AJ1393" s="17">
        <v>1</v>
      </c>
      <c r="AK1393" s="17">
        <v>1</v>
      </c>
      <c r="AL1393" s="17" t="s">
        <v>1614</v>
      </c>
    </row>
    <row r="1394" spans="1:38" ht="15.75" customHeight="1">
      <c r="A1394" s="52" t="s">
        <v>1625</v>
      </c>
      <c r="B1394" s="19" t="s">
        <v>1613</v>
      </c>
      <c r="C1394" s="17">
        <v>156</v>
      </c>
      <c r="D1394" s="142" t="s">
        <v>196</v>
      </c>
      <c r="E1394" s="19">
        <v>0</v>
      </c>
      <c r="F1394" s="19" t="s">
        <v>1551</v>
      </c>
      <c r="G1394" s="19" t="s">
        <v>1558</v>
      </c>
      <c r="H1394" s="19" t="s">
        <v>1559</v>
      </c>
      <c r="I1394" s="17" t="b">
        <v>0</v>
      </c>
      <c r="K1394" s="21" t="str">
        <f t="shared" si="36"/>
        <v>https://version2.ice-d.org/antarctica/sample/JJ2015-TUR-132/</v>
      </c>
      <c r="L1394" s="52" t="s">
        <v>39</v>
      </c>
      <c r="M1394" s="155"/>
      <c r="O1394" s="17" t="s">
        <v>1555</v>
      </c>
      <c r="P1394" s="22">
        <v>-75.383026000000001</v>
      </c>
      <c r="Q1394" s="22">
        <v>-111.309111</v>
      </c>
      <c r="R1394" s="27"/>
      <c r="S1394" s="22">
        <v>446</v>
      </c>
      <c r="T1394" s="17">
        <v>250</v>
      </c>
      <c r="U1394" s="23">
        <v>824</v>
      </c>
      <c r="V1394" s="153" t="s">
        <v>2464</v>
      </c>
      <c r="W1394" s="44" t="s">
        <v>2463</v>
      </c>
      <c r="X1394" s="22">
        <f t="shared" si="37"/>
        <v>196</v>
      </c>
      <c r="Y1394" s="22">
        <v>2.0099999999999998</v>
      </c>
      <c r="AA1394" s="17" t="s">
        <v>84</v>
      </c>
      <c r="AB1394" s="26">
        <v>6516</v>
      </c>
      <c r="AC1394" s="26">
        <v>299</v>
      </c>
      <c r="AD1394" s="26"/>
      <c r="AE1394" s="27">
        <v>55454.788099999998</v>
      </c>
      <c r="AF1394" s="27">
        <v>2542.9181659999999</v>
      </c>
      <c r="AG1394" s="28"/>
      <c r="AH1394" s="28"/>
      <c r="AI1394" s="17">
        <v>2015</v>
      </c>
      <c r="AJ1394" s="17">
        <v>1</v>
      </c>
      <c r="AK1394" s="17">
        <v>1</v>
      </c>
      <c r="AL1394" s="17" t="s">
        <v>1614</v>
      </c>
    </row>
    <row r="1395" spans="1:38" ht="12.75" customHeight="1">
      <c r="A1395" s="52" t="s">
        <v>1625</v>
      </c>
      <c r="B1395" s="19" t="s">
        <v>1613</v>
      </c>
      <c r="C1395" s="17">
        <v>156</v>
      </c>
      <c r="D1395" s="142" t="s">
        <v>196</v>
      </c>
      <c r="E1395" s="19">
        <v>0</v>
      </c>
      <c r="F1395" s="19" t="s">
        <v>1551</v>
      </c>
      <c r="G1395" s="19" t="s">
        <v>1558</v>
      </c>
      <c r="H1395" s="19" t="s">
        <v>1559</v>
      </c>
      <c r="I1395" s="17" t="b">
        <v>0</v>
      </c>
      <c r="K1395" s="21" t="str">
        <f t="shared" si="36"/>
        <v>https://version2.ice-d.org/antarctica/sample/JJ2015-TUR-132/</v>
      </c>
      <c r="L1395" s="52" t="s">
        <v>39</v>
      </c>
      <c r="M1395" s="155"/>
      <c r="O1395" s="17" t="s">
        <v>1555</v>
      </c>
      <c r="P1395" s="22">
        <v>-75.383026000000001</v>
      </c>
      <c r="Q1395" s="22">
        <v>-111.309111</v>
      </c>
      <c r="R1395" s="27"/>
      <c r="S1395" s="22">
        <v>446</v>
      </c>
      <c r="T1395" s="17">
        <v>250</v>
      </c>
      <c r="U1395" s="23">
        <v>824</v>
      </c>
      <c r="V1395" s="153" t="s">
        <v>2464</v>
      </c>
      <c r="W1395" s="44" t="s">
        <v>2463</v>
      </c>
      <c r="X1395" s="22">
        <f t="shared" si="37"/>
        <v>196</v>
      </c>
      <c r="Y1395" s="22">
        <v>2.0099999999999998</v>
      </c>
      <c r="AA1395" s="17" t="s">
        <v>84</v>
      </c>
      <c r="AB1395" s="26">
        <v>7839</v>
      </c>
      <c r="AC1395" s="26">
        <v>226</v>
      </c>
      <c r="AD1395" s="26"/>
      <c r="AE1395" s="27">
        <v>55454.788099999998</v>
      </c>
      <c r="AF1395" s="27">
        <v>2542.9181659999999</v>
      </c>
      <c r="AG1395" s="28"/>
      <c r="AH1395" s="28"/>
      <c r="AI1395" s="17">
        <v>2015</v>
      </c>
      <c r="AJ1395" s="17">
        <v>1</v>
      </c>
      <c r="AK1395" s="17">
        <v>1</v>
      </c>
      <c r="AL1395" s="17" t="s">
        <v>1614</v>
      </c>
    </row>
    <row r="1396" spans="1:38" ht="12.75" customHeight="1">
      <c r="A1396" s="52" t="s">
        <v>1626</v>
      </c>
      <c r="B1396" s="19" t="s">
        <v>1613</v>
      </c>
      <c r="C1396" s="17">
        <v>156</v>
      </c>
      <c r="D1396" s="142" t="s">
        <v>196</v>
      </c>
      <c r="E1396" s="19">
        <v>0</v>
      </c>
      <c r="F1396" s="19" t="s">
        <v>1551</v>
      </c>
      <c r="G1396" s="19" t="s">
        <v>1558</v>
      </c>
      <c r="H1396" s="19" t="s">
        <v>1559</v>
      </c>
      <c r="I1396" s="17" t="b">
        <v>0</v>
      </c>
      <c r="K1396" s="21" t="str">
        <f t="shared" si="36"/>
        <v>https://version2.ice-d.org/antarctica/sample/JJ2015-TUR-134/</v>
      </c>
      <c r="L1396" s="52" t="s">
        <v>39</v>
      </c>
      <c r="M1396" s="155"/>
      <c r="O1396" s="17" t="s">
        <v>1555</v>
      </c>
      <c r="P1396" s="22">
        <v>-75.383913000000007</v>
      </c>
      <c r="Q1396" s="22">
        <v>-111.314921</v>
      </c>
      <c r="R1396" s="27"/>
      <c r="S1396" s="22">
        <v>444</v>
      </c>
      <c r="T1396" s="17">
        <v>250</v>
      </c>
      <c r="U1396" s="23">
        <v>824</v>
      </c>
      <c r="V1396" s="153" t="s">
        <v>2464</v>
      </c>
      <c r="W1396" s="44" t="s">
        <v>2463</v>
      </c>
      <c r="X1396" s="22">
        <f t="shared" si="37"/>
        <v>194</v>
      </c>
      <c r="Y1396" s="22">
        <v>3.4</v>
      </c>
      <c r="AA1396" s="17" t="s">
        <v>84</v>
      </c>
      <c r="AB1396" s="26">
        <v>6383</v>
      </c>
      <c r="AC1396" s="26">
        <v>265</v>
      </c>
      <c r="AD1396" s="26"/>
      <c r="AE1396" s="27">
        <v>53991.759409999999</v>
      </c>
      <c r="AF1396" s="27">
        <v>2236.1800699999999</v>
      </c>
      <c r="AG1396" s="28"/>
      <c r="AH1396" s="28"/>
      <c r="AI1396" s="17">
        <v>2015</v>
      </c>
      <c r="AJ1396" s="17">
        <v>1</v>
      </c>
      <c r="AK1396" s="17">
        <v>1</v>
      </c>
      <c r="AL1396" s="17" t="s">
        <v>1614</v>
      </c>
    </row>
    <row r="1397" spans="1:38" ht="12.75" customHeight="1">
      <c r="A1397" s="52" t="s">
        <v>1627</v>
      </c>
      <c r="B1397" s="19" t="s">
        <v>1613</v>
      </c>
      <c r="C1397" s="17">
        <v>156</v>
      </c>
      <c r="D1397" s="142" t="s">
        <v>196</v>
      </c>
      <c r="E1397" s="19">
        <v>0</v>
      </c>
      <c r="F1397" s="19" t="s">
        <v>1551</v>
      </c>
      <c r="G1397" s="19" t="s">
        <v>1558</v>
      </c>
      <c r="H1397" s="19" t="s">
        <v>1559</v>
      </c>
      <c r="I1397" s="17" t="b">
        <v>0</v>
      </c>
      <c r="K1397" s="21" t="str">
        <f t="shared" si="36"/>
        <v>https://version2.ice-d.org/antarctica/sample/JJ2015-TUR-135/</v>
      </c>
      <c r="L1397" s="52" t="s">
        <v>39</v>
      </c>
      <c r="M1397" s="155"/>
      <c r="O1397" s="17" t="s">
        <v>1555</v>
      </c>
      <c r="P1397" s="22">
        <v>-75.385694000000001</v>
      </c>
      <c r="Q1397" s="22">
        <v>-111.31837899999999</v>
      </c>
      <c r="R1397" s="27"/>
      <c r="S1397" s="22">
        <v>438</v>
      </c>
      <c r="T1397" s="17">
        <v>250</v>
      </c>
      <c r="U1397" s="23">
        <v>824</v>
      </c>
      <c r="V1397" s="153" t="s">
        <v>2464</v>
      </c>
      <c r="W1397" s="44" t="s">
        <v>2463</v>
      </c>
      <c r="X1397" s="22">
        <f t="shared" si="37"/>
        <v>188</v>
      </c>
      <c r="Y1397" s="22">
        <v>2.31</v>
      </c>
      <c r="AA1397" s="17" t="s">
        <v>84</v>
      </c>
      <c r="AB1397" s="26">
        <v>5785</v>
      </c>
      <c r="AC1397" s="26">
        <v>289</v>
      </c>
      <c r="AD1397" s="26"/>
      <c r="AE1397" s="27">
        <v>48770.313459999998</v>
      </c>
      <c r="AF1397" s="27">
        <v>2431.0658109999999</v>
      </c>
      <c r="AG1397" s="28"/>
      <c r="AH1397" s="28"/>
      <c r="AI1397" s="17">
        <v>2015</v>
      </c>
      <c r="AJ1397" s="17">
        <v>1</v>
      </c>
      <c r="AK1397" s="17">
        <v>1</v>
      </c>
      <c r="AL1397" s="17" t="s">
        <v>1614</v>
      </c>
    </row>
    <row r="1398" spans="1:38" ht="12.75" customHeight="1">
      <c r="A1398" s="52" t="s">
        <v>1628</v>
      </c>
      <c r="B1398" s="19" t="s">
        <v>1613</v>
      </c>
      <c r="C1398" s="17">
        <v>156</v>
      </c>
      <c r="D1398" s="142" t="s">
        <v>196</v>
      </c>
      <c r="E1398" s="19">
        <v>0</v>
      </c>
      <c r="F1398" s="19" t="s">
        <v>1551</v>
      </c>
      <c r="G1398" s="19" t="s">
        <v>1558</v>
      </c>
      <c r="H1398" s="19" t="s">
        <v>1559</v>
      </c>
      <c r="I1398" s="17" t="b">
        <v>0</v>
      </c>
      <c r="K1398" s="21" t="str">
        <f t="shared" si="36"/>
        <v>https://version2.ice-d.org/antarctica/sample/JJ2015-TUR-138/</v>
      </c>
      <c r="L1398" s="52" t="s">
        <v>39</v>
      </c>
      <c r="M1398" s="155"/>
      <c r="O1398" s="17" t="s">
        <v>1555</v>
      </c>
      <c r="P1398" s="22">
        <v>-75.375996999999998</v>
      </c>
      <c r="Q1398" s="22">
        <v>-111.301615</v>
      </c>
      <c r="R1398" s="27"/>
      <c r="S1398" s="22">
        <v>563</v>
      </c>
      <c r="T1398" s="17">
        <v>250</v>
      </c>
      <c r="U1398" s="23">
        <v>824</v>
      </c>
      <c r="V1398" s="153" t="s">
        <v>2464</v>
      </c>
      <c r="W1398" s="44" t="s">
        <v>2463</v>
      </c>
      <c r="X1398" s="22">
        <f t="shared" si="37"/>
        <v>313</v>
      </c>
      <c r="Y1398" s="22">
        <v>4</v>
      </c>
      <c r="AA1398" s="17" t="s">
        <v>84</v>
      </c>
      <c r="AB1398" s="26">
        <v>10045</v>
      </c>
      <c r="AC1398" s="26">
        <v>280</v>
      </c>
      <c r="AD1398" s="26"/>
      <c r="AE1398" s="27">
        <v>95444.985440000004</v>
      </c>
      <c r="AF1398" s="27">
        <v>2656.7002560000001</v>
      </c>
      <c r="AG1398" s="28"/>
      <c r="AH1398" s="28"/>
      <c r="AI1398" s="17">
        <v>2016</v>
      </c>
      <c r="AJ1398" s="17">
        <v>1</v>
      </c>
      <c r="AK1398" s="17">
        <v>1</v>
      </c>
      <c r="AL1398" s="17" t="s">
        <v>1614</v>
      </c>
    </row>
    <row r="1399" spans="1:38" ht="15.75" customHeight="1">
      <c r="A1399" s="52" t="s">
        <v>1628</v>
      </c>
      <c r="B1399" s="19" t="s">
        <v>1613</v>
      </c>
      <c r="C1399" s="17">
        <v>156</v>
      </c>
      <c r="D1399" s="142" t="s">
        <v>196</v>
      </c>
      <c r="E1399" s="19">
        <v>0</v>
      </c>
      <c r="F1399" s="19" t="s">
        <v>1551</v>
      </c>
      <c r="G1399" s="19" t="s">
        <v>1558</v>
      </c>
      <c r="H1399" s="19" t="s">
        <v>1559</v>
      </c>
      <c r="I1399" s="17" t="b">
        <v>0</v>
      </c>
      <c r="K1399" s="21" t="str">
        <f t="shared" si="36"/>
        <v>https://version2.ice-d.org/antarctica/sample/JJ2015-TUR-138/</v>
      </c>
      <c r="L1399" s="52" t="s">
        <v>39</v>
      </c>
      <c r="M1399" s="155"/>
      <c r="O1399" s="17" t="s">
        <v>1555</v>
      </c>
      <c r="P1399" s="22">
        <v>-75.375996999999998</v>
      </c>
      <c r="Q1399" s="22">
        <v>-111.301615</v>
      </c>
      <c r="R1399" s="27"/>
      <c r="S1399" s="22">
        <v>563</v>
      </c>
      <c r="T1399" s="17">
        <v>250</v>
      </c>
      <c r="U1399" s="23">
        <v>824</v>
      </c>
      <c r="V1399" s="153" t="s">
        <v>2464</v>
      </c>
      <c r="W1399" s="44" t="s">
        <v>2463</v>
      </c>
      <c r="X1399" s="22">
        <f t="shared" si="37"/>
        <v>313</v>
      </c>
      <c r="Y1399" s="22">
        <v>4</v>
      </c>
      <c r="AA1399" s="17" t="s">
        <v>84</v>
      </c>
      <c r="AB1399" s="26">
        <v>13996</v>
      </c>
      <c r="AC1399" s="26">
        <v>1512</v>
      </c>
      <c r="AD1399" s="26"/>
      <c r="AE1399" s="27">
        <v>95444.985440000004</v>
      </c>
      <c r="AF1399" s="27">
        <v>2656.7002560000001</v>
      </c>
      <c r="AG1399" s="28"/>
      <c r="AH1399" s="28"/>
      <c r="AI1399" s="17">
        <v>2016</v>
      </c>
      <c r="AJ1399" s="17">
        <v>1</v>
      </c>
      <c r="AK1399" s="17">
        <v>1</v>
      </c>
      <c r="AL1399" s="17" t="s">
        <v>1614</v>
      </c>
    </row>
    <row r="1400" spans="1:38" ht="15.75" customHeight="1">
      <c r="A1400" s="52" t="s">
        <v>1629</v>
      </c>
      <c r="B1400" s="19" t="s">
        <v>1613</v>
      </c>
      <c r="C1400" s="17">
        <v>156</v>
      </c>
      <c r="D1400" s="142" t="s">
        <v>196</v>
      </c>
      <c r="E1400" s="19">
        <v>0</v>
      </c>
      <c r="F1400" s="19" t="s">
        <v>1551</v>
      </c>
      <c r="G1400" s="19" t="s">
        <v>1558</v>
      </c>
      <c r="H1400" s="19" t="s">
        <v>1559</v>
      </c>
      <c r="I1400" s="17" t="b">
        <v>0</v>
      </c>
      <c r="K1400" s="21" t="str">
        <f t="shared" si="36"/>
        <v>https://version2.ice-d.org/antarctica/sample/JJ2015-TUR-139/</v>
      </c>
      <c r="L1400" s="52" t="s">
        <v>39</v>
      </c>
      <c r="M1400" s="155"/>
      <c r="O1400" s="17" t="s">
        <v>1555</v>
      </c>
      <c r="P1400" s="22">
        <v>-75.376707999999994</v>
      </c>
      <c r="Q1400" s="22">
        <v>-111.300468</v>
      </c>
      <c r="R1400" s="27"/>
      <c r="S1400" s="22">
        <v>549</v>
      </c>
      <c r="T1400" s="17">
        <v>250</v>
      </c>
      <c r="U1400" s="23">
        <v>824</v>
      </c>
      <c r="V1400" s="153" t="s">
        <v>2464</v>
      </c>
      <c r="W1400" s="44" t="s">
        <v>2463</v>
      </c>
      <c r="X1400" s="22">
        <f t="shared" si="37"/>
        <v>299</v>
      </c>
      <c r="Y1400" s="22">
        <v>3.59</v>
      </c>
      <c r="AA1400" s="17" t="s">
        <v>84</v>
      </c>
      <c r="AB1400" s="26">
        <v>12955</v>
      </c>
      <c r="AC1400" s="26">
        <v>324</v>
      </c>
      <c r="AD1400" s="26"/>
      <c r="AE1400" s="27">
        <v>119754.5304</v>
      </c>
      <c r="AF1400" s="27">
        <v>2986.1118369999999</v>
      </c>
      <c r="AG1400" s="28"/>
      <c r="AH1400" s="28"/>
      <c r="AI1400" s="17">
        <v>2016</v>
      </c>
      <c r="AJ1400" s="17">
        <v>1</v>
      </c>
      <c r="AK1400" s="17">
        <v>1</v>
      </c>
      <c r="AL1400" s="17" t="s">
        <v>1614</v>
      </c>
    </row>
    <row r="1401" spans="1:38" ht="15.75" customHeight="1">
      <c r="A1401" s="52" t="s">
        <v>1630</v>
      </c>
      <c r="B1401" s="19" t="s">
        <v>1613</v>
      </c>
      <c r="C1401" s="17">
        <v>156</v>
      </c>
      <c r="D1401" s="142" t="s">
        <v>196</v>
      </c>
      <c r="E1401" s="19">
        <v>0</v>
      </c>
      <c r="F1401" s="19" t="s">
        <v>1551</v>
      </c>
      <c r="G1401" s="19" t="s">
        <v>1558</v>
      </c>
      <c r="H1401" s="19" t="s">
        <v>1559</v>
      </c>
      <c r="I1401" s="17" t="b">
        <v>0</v>
      </c>
      <c r="K1401" s="21" t="str">
        <f t="shared" si="36"/>
        <v>https://version2.ice-d.org/antarctica/sample/JJ2015-TUR-140/</v>
      </c>
      <c r="L1401" s="52" t="s">
        <v>39</v>
      </c>
      <c r="M1401" s="155"/>
      <c r="O1401" s="17" t="s">
        <v>1555</v>
      </c>
      <c r="P1401" s="103">
        <v>-75.376938999999993</v>
      </c>
      <c r="Q1401" s="103">
        <v>-111.300803</v>
      </c>
      <c r="R1401" s="27"/>
      <c r="S1401" s="103">
        <v>542</v>
      </c>
      <c r="T1401" s="17">
        <v>250</v>
      </c>
      <c r="U1401" s="23">
        <v>824</v>
      </c>
      <c r="V1401" s="153" t="s">
        <v>2464</v>
      </c>
      <c r="W1401" s="44" t="s">
        <v>2463</v>
      </c>
      <c r="X1401" s="22">
        <f t="shared" si="37"/>
        <v>292</v>
      </c>
      <c r="Y1401" s="22">
        <v>3.24</v>
      </c>
      <c r="AA1401" s="17" t="s">
        <v>84</v>
      </c>
      <c r="AB1401" s="104">
        <v>14082</v>
      </c>
      <c r="AC1401" s="104">
        <v>374</v>
      </c>
      <c r="AD1401" s="60"/>
      <c r="AE1401" s="27">
        <v>130537.6069</v>
      </c>
      <c r="AF1401" s="27">
        <v>3451.4359730000001</v>
      </c>
      <c r="AG1401" s="28"/>
      <c r="AH1401" s="28"/>
      <c r="AI1401" s="17">
        <v>2016</v>
      </c>
      <c r="AJ1401" s="17">
        <v>1</v>
      </c>
      <c r="AK1401" s="17">
        <v>1</v>
      </c>
      <c r="AL1401" s="17" t="s">
        <v>1614</v>
      </c>
    </row>
    <row r="1402" spans="1:38" ht="15.75" customHeight="1">
      <c r="A1402" s="52" t="s">
        <v>1631</v>
      </c>
      <c r="B1402" s="19" t="s">
        <v>1613</v>
      </c>
      <c r="C1402" s="17">
        <v>156</v>
      </c>
      <c r="D1402" s="142" t="s">
        <v>196</v>
      </c>
      <c r="E1402" s="19">
        <v>0</v>
      </c>
      <c r="F1402" s="19" t="s">
        <v>1551</v>
      </c>
      <c r="G1402" s="19" t="s">
        <v>1558</v>
      </c>
      <c r="H1402" s="19" t="s">
        <v>1559</v>
      </c>
      <c r="I1402" s="17" t="b">
        <v>0</v>
      </c>
      <c r="K1402" s="21" t="str">
        <f t="shared" si="36"/>
        <v>https://version2.ice-d.org/antarctica/sample/JJ2015-TUR-141/</v>
      </c>
      <c r="L1402" s="52" t="s">
        <v>39</v>
      </c>
      <c r="M1402" s="155"/>
      <c r="O1402" s="17" t="s">
        <v>1555</v>
      </c>
      <c r="P1402" s="103">
        <v>-75.376930000000002</v>
      </c>
      <c r="Q1402" s="103">
        <v>-111.30095</v>
      </c>
      <c r="R1402" s="27"/>
      <c r="S1402" s="103">
        <v>543</v>
      </c>
      <c r="T1402" s="17">
        <v>250</v>
      </c>
      <c r="U1402" s="23">
        <v>824</v>
      </c>
      <c r="V1402" s="153" t="s">
        <v>2464</v>
      </c>
      <c r="W1402" s="44" t="s">
        <v>2463</v>
      </c>
      <c r="X1402" s="22">
        <f t="shared" si="37"/>
        <v>293</v>
      </c>
      <c r="Y1402" s="22">
        <v>4.93</v>
      </c>
      <c r="AA1402" s="17" t="s">
        <v>84</v>
      </c>
      <c r="AB1402" s="104">
        <v>16732</v>
      </c>
      <c r="AC1402" s="104">
        <v>413</v>
      </c>
      <c r="AD1402" s="60"/>
      <c r="AE1402" s="27">
        <v>154357.56700000001</v>
      </c>
      <c r="AF1402" s="27">
        <v>3794.125634</v>
      </c>
      <c r="AG1402" s="28"/>
      <c r="AH1402" s="28"/>
      <c r="AI1402" s="17">
        <v>2016</v>
      </c>
      <c r="AJ1402" s="17">
        <v>1</v>
      </c>
      <c r="AK1402" s="17">
        <v>1</v>
      </c>
      <c r="AL1402" s="17" t="s">
        <v>1614</v>
      </c>
    </row>
    <row r="1403" spans="1:38" ht="15.75" customHeight="1">
      <c r="A1403" s="52" t="s">
        <v>1632</v>
      </c>
      <c r="B1403" s="19" t="s">
        <v>1613</v>
      </c>
      <c r="C1403" s="17">
        <v>156</v>
      </c>
      <c r="D1403" s="142" t="s">
        <v>196</v>
      </c>
      <c r="E1403" s="19">
        <v>0</v>
      </c>
      <c r="F1403" s="19" t="s">
        <v>1551</v>
      </c>
      <c r="G1403" s="19" t="s">
        <v>1558</v>
      </c>
      <c r="H1403" s="19" t="s">
        <v>1559</v>
      </c>
      <c r="I1403" s="17" t="b">
        <v>0</v>
      </c>
      <c r="K1403" s="21" t="str">
        <f t="shared" si="36"/>
        <v>https://version2.ice-d.org/antarctica/sample/JJ2015-TUR-142/</v>
      </c>
      <c r="L1403" s="52" t="s">
        <v>39</v>
      </c>
      <c r="M1403" s="155"/>
      <c r="O1403" s="17" t="s">
        <v>1555</v>
      </c>
      <c r="P1403" s="103">
        <v>-75.376429000000002</v>
      </c>
      <c r="Q1403" s="103">
        <v>-111.301357</v>
      </c>
      <c r="R1403" s="27"/>
      <c r="S1403" s="103">
        <v>558</v>
      </c>
      <c r="T1403" s="17">
        <v>250</v>
      </c>
      <c r="U1403" s="23">
        <v>824</v>
      </c>
      <c r="V1403" s="153" t="s">
        <v>2464</v>
      </c>
      <c r="W1403" s="44" t="s">
        <v>2463</v>
      </c>
      <c r="X1403" s="22">
        <f t="shared" si="37"/>
        <v>308</v>
      </c>
      <c r="Y1403" s="22">
        <v>3.47</v>
      </c>
      <c r="AA1403" s="17" t="s">
        <v>84</v>
      </c>
      <c r="AB1403" s="104">
        <v>13733</v>
      </c>
      <c r="AC1403" s="104">
        <v>541</v>
      </c>
      <c r="AD1403" s="60"/>
      <c r="AE1403" s="27">
        <v>129351.6376</v>
      </c>
      <c r="AF1403" s="27">
        <v>5081.0645599999998</v>
      </c>
      <c r="AG1403" s="28"/>
      <c r="AH1403" s="28"/>
      <c r="AI1403" s="17">
        <v>2016</v>
      </c>
      <c r="AJ1403" s="17">
        <v>1</v>
      </c>
      <c r="AK1403" s="17">
        <v>1</v>
      </c>
      <c r="AL1403" s="17" t="s">
        <v>1614</v>
      </c>
    </row>
    <row r="1404" spans="1:38" ht="15.75" customHeight="1">
      <c r="A1404" s="52" t="s">
        <v>1633</v>
      </c>
      <c r="B1404" s="19" t="s">
        <v>1613</v>
      </c>
      <c r="C1404" s="17">
        <v>156</v>
      </c>
      <c r="D1404" s="142" t="s">
        <v>196</v>
      </c>
      <c r="E1404" s="19">
        <v>0</v>
      </c>
      <c r="F1404" s="19" t="s">
        <v>1551</v>
      </c>
      <c r="G1404" s="19" t="s">
        <v>1558</v>
      </c>
      <c r="H1404" s="19" t="s">
        <v>1559</v>
      </c>
      <c r="I1404" s="17" t="b">
        <v>0</v>
      </c>
      <c r="K1404" s="21" t="str">
        <f t="shared" si="36"/>
        <v>https://version2.ice-d.org/antarctica/sample/JJ2015-TUR-143/</v>
      </c>
      <c r="L1404" s="52" t="s">
        <v>39</v>
      </c>
      <c r="M1404" s="155"/>
      <c r="O1404" s="17" t="s">
        <v>1555</v>
      </c>
      <c r="P1404" s="22">
        <v>-75.375553999999994</v>
      </c>
      <c r="Q1404" s="22">
        <v>-111.298652</v>
      </c>
      <c r="R1404" s="27"/>
      <c r="S1404" s="22">
        <v>567</v>
      </c>
      <c r="T1404" s="17">
        <v>250</v>
      </c>
      <c r="U1404" s="23">
        <v>824</v>
      </c>
      <c r="V1404" s="153" t="s">
        <v>2464</v>
      </c>
      <c r="W1404" s="44" t="s">
        <v>2463</v>
      </c>
      <c r="X1404" s="22">
        <f t="shared" si="37"/>
        <v>317</v>
      </c>
      <c r="Y1404" s="22">
        <v>6.4</v>
      </c>
      <c r="AA1404" s="17" t="s">
        <v>84</v>
      </c>
      <c r="AB1404" s="26">
        <v>13336</v>
      </c>
      <c r="AC1404" s="26">
        <v>324</v>
      </c>
      <c r="AD1404" s="26"/>
      <c r="AE1404" s="27">
        <v>125662.79549999999</v>
      </c>
      <c r="AF1404" s="27">
        <v>3041.8263000000002</v>
      </c>
      <c r="AG1404" s="28"/>
      <c r="AH1404" s="28"/>
      <c r="AI1404" s="17">
        <v>2016</v>
      </c>
      <c r="AJ1404" s="17">
        <v>1</v>
      </c>
      <c r="AK1404" s="17">
        <v>1</v>
      </c>
      <c r="AL1404" s="17" t="s">
        <v>1614</v>
      </c>
    </row>
    <row r="1405" spans="1:38" ht="15.75" customHeight="1">
      <c r="A1405" s="52" t="s">
        <v>1634</v>
      </c>
      <c r="B1405" s="19" t="s">
        <v>1613</v>
      </c>
      <c r="C1405" s="17">
        <v>156</v>
      </c>
      <c r="D1405" s="142" t="s">
        <v>196</v>
      </c>
      <c r="E1405" s="19">
        <v>0</v>
      </c>
      <c r="F1405" s="19" t="s">
        <v>1551</v>
      </c>
      <c r="G1405" s="19" t="s">
        <v>1558</v>
      </c>
      <c r="H1405" s="19" t="s">
        <v>1559</v>
      </c>
      <c r="I1405" s="17" t="b">
        <v>0</v>
      </c>
      <c r="K1405" s="21" t="str">
        <f t="shared" si="36"/>
        <v>https://version2.ice-d.org/antarctica/sample/JJ2015-TUR-202/</v>
      </c>
      <c r="L1405" s="52" t="s">
        <v>39</v>
      </c>
      <c r="M1405" s="155"/>
      <c r="O1405" s="17" t="s">
        <v>1555</v>
      </c>
      <c r="P1405" s="22">
        <v>-75.375979999999998</v>
      </c>
      <c r="Q1405" s="22">
        <v>-111.29531</v>
      </c>
      <c r="R1405" s="27"/>
      <c r="S1405" s="22">
        <v>516.31299899999999</v>
      </c>
      <c r="T1405" s="17">
        <v>250</v>
      </c>
      <c r="U1405" s="23">
        <v>824</v>
      </c>
      <c r="V1405" s="153" t="s">
        <v>2464</v>
      </c>
      <c r="W1405" s="44" t="s">
        <v>2463</v>
      </c>
      <c r="X1405" s="22">
        <f t="shared" si="37"/>
        <v>266.31299899999999</v>
      </c>
      <c r="Y1405" s="22">
        <v>3.94</v>
      </c>
      <c r="AA1405" s="17" t="s">
        <v>84</v>
      </c>
      <c r="AB1405" s="26">
        <v>13750</v>
      </c>
      <c r="AC1405" s="26">
        <v>319</v>
      </c>
      <c r="AD1405" s="26"/>
      <c r="AE1405" s="27">
        <v>120663.6697</v>
      </c>
      <c r="AF1405" s="27">
        <v>2790.0053309999998</v>
      </c>
      <c r="AG1405" s="28"/>
      <c r="AH1405" s="28"/>
      <c r="AI1405" s="17">
        <v>2016</v>
      </c>
      <c r="AJ1405" s="17">
        <v>1</v>
      </c>
      <c r="AK1405" s="17">
        <v>1</v>
      </c>
      <c r="AL1405" s="17" t="s">
        <v>1614</v>
      </c>
    </row>
    <row r="1406" spans="1:38" ht="15.75" customHeight="1">
      <c r="A1406" s="52" t="s">
        <v>1635</v>
      </c>
      <c r="B1406" s="19" t="s">
        <v>1613</v>
      </c>
      <c r="C1406" s="17">
        <v>156</v>
      </c>
      <c r="D1406" s="142" t="s">
        <v>196</v>
      </c>
      <c r="E1406" s="19">
        <v>0</v>
      </c>
      <c r="F1406" s="19" t="s">
        <v>1551</v>
      </c>
      <c r="G1406" s="19" t="s">
        <v>1558</v>
      </c>
      <c r="H1406" s="19" t="s">
        <v>1559</v>
      </c>
      <c r="I1406" s="17" t="b">
        <v>0</v>
      </c>
      <c r="K1406" s="21" t="str">
        <f t="shared" si="36"/>
        <v>https://version2.ice-d.org/antarctica/sample/JJ2015-TUR-205/</v>
      </c>
      <c r="L1406" s="52" t="s">
        <v>39</v>
      </c>
      <c r="M1406" s="155"/>
      <c r="O1406" s="17" t="s">
        <v>1555</v>
      </c>
      <c r="P1406" s="22">
        <v>-75.376009999999994</v>
      </c>
      <c r="Q1406" s="22">
        <v>-111.29514</v>
      </c>
      <c r="R1406" s="27"/>
      <c r="S1406" s="22">
        <v>516.78299900000002</v>
      </c>
      <c r="T1406" s="17">
        <v>250</v>
      </c>
      <c r="U1406" s="23">
        <v>824</v>
      </c>
      <c r="V1406" s="153" t="s">
        <v>2464</v>
      </c>
      <c r="W1406" s="44" t="s">
        <v>2463</v>
      </c>
      <c r="X1406" s="22">
        <f t="shared" si="37"/>
        <v>266.78299900000002</v>
      </c>
      <c r="Y1406" s="22">
        <v>3.57</v>
      </c>
      <c r="AA1406" s="17" t="s">
        <v>84</v>
      </c>
      <c r="AB1406" s="26">
        <v>12637</v>
      </c>
      <c r="AC1406" s="26">
        <v>305</v>
      </c>
      <c r="AD1406" s="26"/>
      <c r="AE1406" s="27">
        <v>112247.18429999999</v>
      </c>
      <c r="AF1406" s="27">
        <v>2698.8980919999999</v>
      </c>
      <c r="AG1406" s="28"/>
      <c r="AH1406" s="28"/>
      <c r="AI1406" s="17">
        <v>2016</v>
      </c>
      <c r="AJ1406" s="17">
        <v>1</v>
      </c>
      <c r="AK1406" s="17">
        <v>1</v>
      </c>
      <c r="AL1406" s="17" t="s">
        <v>1614</v>
      </c>
    </row>
    <row r="1407" spans="1:38" ht="12.75" customHeight="1">
      <c r="A1407" s="102" t="s">
        <v>1636</v>
      </c>
      <c r="B1407" s="19" t="s">
        <v>1613</v>
      </c>
      <c r="C1407" s="17">
        <v>156</v>
      </c>
      <c r="D1407" s="142" t="s">
        <v>196</v>
      </c>
      <c r="E1407" s="19">
        <v>0</v>
      </c>
      <c r="F1407" s="19" t="s">
        <v>1551</v>
      </c>
      <c r="G1407" s="19" t="s">
        <v>1637</v>
      </c>
      <c r="H1407" s="19" t="s">
        <v>1559</v>
      </c>
      <c r="I1407" s="17" t="b">
        <v>0</v>
      </c>
      <c r="J1407" s="17" t="s">
        <v>43</v>
      </c>
      <c r="K1407" s="21" t="str">
        <f t="shared" si="36"/>
        <v>https://version2.ice-d.org/antarctica/sample/JBG2008-TR1/</v>
      </c>
      <c r="L1407" s="102" t="s">
        <v>148</v>
      </c>
      <c r="M1407" s="102"/>
      <c r="N1407" s="17" t="s">
        <v>39</v>
      </c>
      <c r="O1407" s="28" t="s">
        <v>1638</v>
      </c>
      <c r="P1407" s="22">
        <v>-75.369016669999993</v>
      </c>
      <c r="Q1407" s="22">
        <v>-111.29908330000001</v>
      </c>
      <c r="R1407" s="22"/>
      <c r="S1407" s="22">
        <v>700</v>
      </c>
      <c r="T1407" s="17">
        <v>250</v>
      </c>
      <c r="U1407" s="23">
        <v>824</v>
      </c>
      <c r="V1407" s="153" t="s">
        <v>2464</v>
      </c>
      <c r="W1407" s="44" t="s">
        <v>2463</v>
      </c>
      <c r="X1407" s="22">
        <f t="shared" si="37"/>
        <v>450</v>
      </c>
      <c r="Y1407" s="22">
        <v>5</v>
      </c>
      <c r="Z1407" s="22">
        <v>2.7</v>
      </c>
      <c r="AA1407" s="17" t="s">
        <v>1051</v>
      </c>
      <c r="AB1407" s="26">
        <v>15533</v>
      </c>
      <c r="AC1407" s="26">
        <v>836</v>
      </c>
      <c r="AD1407" s="26">
        <v>1243</v>
      </c>
      <c r="AE1407" s="27">
        <v>172528</v>
      </c>
      <c r="AF1407" s="27">
        <v>9249</v>
      </c>
      <c r="AG1407" s="28"/>
      <c r="AH1407" s="28"/>
      <c r="AI1407" s="17">
        <v>2006</v>
      </c>
      <c r="AJ1407" s="17">
        <v>0</v>
      </c>
      <c r="AK1407" s="17">
        <v>0</v>
      </c>
    </row>
    <row r="1408" spans="1:38" ht="12.75" customHeight="1">
      <c r="A1408" s="102" t="s">
        <v>1639</v>
      </c>
      <c r="B1408" s="19" t="s">
        <v>1613</v>
      </c>
      <c r="C1408" s="17">
        <v>156</v>
      </c>
      <c r="D1408" s="142" t="s">
        <v>196</v>
      </c>
      <c r="E1408" s="19">
        <v>0</v>
      </c>
      <c r="F1408" s="19" t="s">
        <v>1551</v>
      </c>
      <c r="G1408" s="19" t="s">
        <v>1637</v>
      </c>
      <c r="H1408" s="19" t="s">
        <v>1559</v>
      </c>
      <c r="I1408" s="17" t="b">
        <v>0</v>
      </c>
      <c r="J1408" s="17" t="s">
        <v>43</v>
      </c>
      <c r="K1408" s="21" t="str">
        <f t="shared" si="36"/>
        <v>https://version2.ice-d.org/antarctica/sample/JBG2008-TR2/</v>
      </c>
      <c r="L1408" s="102" t="s">
        <v>148</v>
      </c>
      <c r="M1408" s="102"/>
      <c r="N1408" s="17" t="s">
        <v>39</v>
      </c>
      <c r="O1408" s="28" t="s">
        <v>1638</v>
      </c>
      <c r="P1408" s="22">
        <v>-75.370733329999993</v>
      </c>
      <c r="Q1408" s="22">
        <v>-111.2912333</v>
      </c>
      <c r="R1408" s="22"/>
      <c r="S1408" s="22">
        <v>631</v>
      </c>
      <c r="T1408" s="17">
        <v>250</v>
      </c>
      <c r="U1408" s="23">
        <v>824</v>
      </c>
      <c r="V1408" s="153" t="s">
        <v>2464</v>
      </c>
      <c r="W1408" s="44" t="s">
        <v>2463</v>
      </c>
      <c r="X1408" s="22">
        <f t="shared" si="37"/>
        <v>381</v>
      </c>
      <c r="Y1408" s="22">
        <v>5</v>
      </c>
      <c r="Z1408" s="22">
        <v>2.7</v>
      </c>
      <c r="AA1408" s="17" t="s">
        <v>1051</v>
      </c>
      <c r="AB1408" s="26">
        <v>12555</v>
      </c>
      <c r="AC1408" s="26">
        <v>1030</v>
      </c>
      <c r="AD1408" s="26">
        <v>1270</v>
      </c>
      <c r="AE1408" s="27">
        <v>130282</v>
      </c>
      <c r="AF1408" s="27">
        <v>10657</v>
      </c>
      <c r="AG1408" s="28"/>
      <c r="AH1408" s="28"/>
      <c r="AI1408" s="17">
        <v>2006</v>
      </c>
      <c r="AJ1408" s="17">
        <v>0</v>
      </c>
      <c r="AK1408" s="17">
        <v>0</v>
      </c>
    </row>
    <row r="1409" spans="1:46" ht="15.75" customHeight="1">
      <c r="A1409" s="50" t="s">
        <v>1640</v>
      </c>
      <c r="B1409" s="19" t="s">
        <v>1641</v>
      </c>
      <c r="C1409" s="17">
        <v>157</v>
      </c>
      <c r="D1409" s="142" t="s">
        <v>196</v>
      </c>
      <c r="E1409" s="19">
        <v>0</v>
      </c>
      <c r="F1409" s="33" t="s">
        <v>1642</v>
      </c>
      <c r="G1409" s="33" t="s">
        <v>1643</v>
      </c>
      <c r="H1409" s="33" t="s">
        <v>1559</v>
      </c>
      <c r="I1409" s="17" t="b">
        <v>0</v>
      </c>
      <c r="J1409" s="17" t="s">
        <v>247</v>
      </c>
      <c r="K1409" s="21" t="str">
        <f t="shared" si="36"/>
        <v>https://version2.ice-d.org/antarctica/sample/JS2010-R9-7-1/</v>
      </c>
      <c r="L1409" s="50" t="s">
        <v>39</v>
      </c>
      <c r="M1409" s="188" t="s">
        <v>44</v>
      </c>
      <c r="O1409" s="17" t="s">
        <v>1644</v>
      </c>
      <c r="P1409" s="22">
        <v>-74.579080000000005</v>
      </c>
      <c r="Q1409" s="22">
        <v>-111.8871</v>
      </c>
      <c r="R1409" s="22"/>
      <c r="S1409" s="22">
        <v>478</v>
      </c>
      <c r="T1409" s="17">
        <v>57</v>
      </c>
      <c r="U1409" s="23">
        <v>420</v>
      </c>
      <c r="V1409" s="147" t="s">
        <v>2443</v>
      </c>
      <c r="W1409" s="44" t="s">
        <v>2442</v>
      </c>
      <c r="X1409" s="22">
        <f t="shared" si="37"/>
        <v>421</v>
      </c>
      <c r="Y1409" s="22">
        <v>10</v>
      </c>
      <c r="Z1409" s="22">
        <v>2.7</v>
      </c>
      <c r="AA1409" s="17" t="s">
        <v>58</v>
      </c>
      <c r="AB1409" s="26">
        <v>20621</v>
      </c>
      <c r="AC1409" s="26">
        <v>3805</v>
      </c>
      <c r="AD1409" s="26">
        <v>5966</v>
      </c>
      <c r="AE1409" s="27">
        <v>1140000</v>
      </c>
      <c r="AF1409" s="27">
        <v>13680</v>
      </c>
      <c r="AG1409" s="28"/>
      <c r="AH1409" s="28"/>
      <c r="AI1409" s="17">
        <v>2010</v>
      </c>
      <c r="AJ1409" s="17">
        <v>1</v>
      </c>
      <c r="AK1409" s="17">
        <v>0</v>
      </c>
      <c r="AN1409" s="21"/>
      <c r="AT1409" s="21"/>
    </row>
    <row r="1410" spans="1:46" ht="15.75" customHeight="1">
      <c r="A1410" s="50" t="s">
        <v>1645</v>
      </c>
      <c r="B1410" s="19" t="s">
        <v>1641</v>
      </c>
      <c r="C1410" s="17">
        <v>157</v>
      </c>
      <c r="D1410" s="142" t="s">
        <v>196</v>
      </c>
      <c r="E1410" s="19">
        <v>0</v>
      </c>
      <c r="F1410" s="33" t="s">
        <v>1642</v>
      </c>
      <c r="G1410" s="33" t="s">
        <v>1643</v>
      </c>
      <c r="H1410" s="33" t="s">
        <v>1559</v>
      </c>
      <c r="I1410" s="17" t="b">
        <v>0</v>
      </c>
      <c r="J1410" s="17" t="s">
        <v>43</v>
      </c>
      <c r="K1410" s="21" t="str">
        <f t="shared" si="36"/>
        <v>https://version2.ice-d.org/antarctica/sample/JS2010-R9-7-2/</v>
      </c>
      <c r="L1410" s="50" t="s">
        <v>39</v>
      </c>
      <c r="M1410" s="155"/>
      <c r="O1410" s="17" t="s">
        <v>1644</v>
      </c>
      <c r="P1410" s="22">
        <v>-74.579120000000003</v>
      </c>
      <c r="Q1410" s="22">
        <v>-111.8869</v>
      </c>
      <c r="R1410" s="22"/>
      <c r="S1410" s="22">
        <v>477</v>
      </c>
      <c r="T1410" s="17">
        <v>57</v>
      </c>
      <c r="U1410" s="23">
        <v>420</v>
      </c>
      <c r="V1410" s="147" t="s">
        <v>2443</v>
      </c>
      <c r="W1410" s="44" t="s">
        <v>2442</v>
      </c>
      <c r="X1410" s="22">
        <f t="shared" si="37"/>
        <v>420</v>
      </c>
      <c r="Y1410" s="22">
        <v>4.0999999999999996</v>
      </c>
      <c r="Z1410" s="22">
        <v>2.7</v>
      </c>
      <c r="AA1410" s="17" t="s">
        <v>84</v>
      </c>
      <c r="AB1410" s="26">
        <v>11179</v>
      </c>
      <c r="AC1410" s="26">
        <v>202</v>
      </c>
      <c r="AD1410" s="26">
        <v>691</v>
      </c>
      <c r="AE1410" s="27">
        <v>93430</v>
      </c>
      <c r="AF1410" s="27">
        <v>1682</v>
      </c>
      <c r="AG1410" s="28"/>
      <c r="AH1410" s="28"/>
      <c r="AI1410" s="17">
        <v>2010</v>
      </c>
      <c r="AJ1410" s="17">
        <v>1</v>
      </c>
      <c r="AK1410" s="17">
        <v>0</v>
      </c>
      <c r="AN1410" s="21"/>
      <c r="AT1410" s="21"/>
    </row>
    <row r="1411" spans="1:46" ht="15.75" customHeight="1">
      <c r="A1411" s="50" t="s">
        <v>1645</v>
      </c>
      <c r="B1411" s="19" t="s">
        <v>1641</v>
      </c>
      <c r="C1411" s="17">
        <v>157</v>
      </c>
      <c r="D1411" s="142" t="s">
        <v>196</v>
      </c>
      <c r="E1411" s="19">
        <v>0</v>
      </c>
      <c r="F1411" s="33" t="s">
        <v>1642</v>
      </c>
      <c r="G1411" s="33" t="s">
        <v>1643</v>
      </c>
      <c r="H1411" s="33" t="s">
        <v>1559</v>
      </c>
      <c r="I1411" s="17" t="b">
        <v>0</v>
      </c>
      <c r="J1411" s="17" t="s">
        <v>247</v>
      </c>
      <c r="K1411" s="21" t="str">
        <f t="shared" si="36"/>
        <v>https://version2.ice-d.org/antarctica/sample/JS2010-R9-7-2/</v>
      </c>
      <c r="L1411" s="50" t="s">
        <v>39</v>
      </c>
      <c r="M1411" s="155"/>
      <c r="O1411" s="17" t="s">
        <v>1644</v>
      </c>
      <c r="P1411" s="22">
        <v>-74.579120000000003</v>
      </c>
      <c r="Q1411" s="22">
        <v>-111.8869</v>
      </c>
      <c r="R1411" s="22"/>
      <c r="S1411" s="22">
        <v>477</v>
      </c>
      <c r="T1411" s="17">
        <v>57</v>
      </c>
      <c r="U1411" s="23">
        <v>420</v>
      </c>
      <c r="V1411" s="147" t="s">
        <v>2443</v>
      </c>
      <c r="W1411" s="44" t="s">
        <v>2442</v>
      </c>
      <c r="X1411" s="22">
        <f t="shared" si="37"/>
        <v>420</v>
      </c>
      <c r="Y1411" s="22">
        <v>4.0999999999999996</v>
      </c>
      <c r="Z1411" s="22">
        <v>2.7</v>
      </c>
      <c r="AA1411" s="17" t="s">
        <v>84</v>
      </c>
      <c r="AB1411" s="26">
        <v>13169</v>
      </c>
      <c r="AC1411" s="26">
        <v>1512</v>
      </c>
      <c r="AD1411" s="26">
        <v>2216</v>
      </c>
      <c r="AE1411" s="27">
        <v>93430</v>
      </c>
      <c r="AF1411" s="27">
        <v>1682</v>
      </c>
      <c r="AG1411" s="28"/>
      <c r="AH1411" s="28"/>
      <c r="AI1411" s="17">
        <v>2010</v>
      </c>
      <c r="AJ1411" s="17">
        <v>1</v>
      </c>
      <c r="AK1411" s="17">
        <v>0</v>
      </c>
      <c r="AN1411" s="21"/>
      <c r="AT1411" s="21"/>
    </row>
    <row r="1412" spans="1:46" ht="15.75" customHeight="1">
      <c r="A1412" s="54" t="s">
        <v>1646</v>
      </c>
      <c r="B1412" s="19" t="s">
        <v>1647</v>
      </c>
      <c r="C1412" s="17">
        <v>158</v>
      </c>
      <c r="D1412" s="142" t="s">
        <v>196</v>
      </c>
      <c r="E1412" s="33">
        <v>0</v>
      </c>
      <c r="F1412" s="17" t="s">
        <v>1648</v>
      </c>
      <c r="G1412" s="19" t="s">
        <v>1649</v>
      </c>
      <c r="H1412" s="19" t="s">
        <v>1559</v>
      </c>
      <c r="I1412" s="17" t="b">
        <v>0</v>
      </c>
      <c r="J1412" s="17" t="s">
        <v>43</v>
      </c>
      <c r="K1412" s="21" t="str">
        <f t="shared" si="36"/>
        <v>https://version2.ice-d.org/antarctica/sample/L2014-BB-1/</v>
      </c>
      <c r="L1412" s="54" t="s">
        <v>39</v>
      </c>
      <c r="M1412" s="168"/>
      <c r="O1412" s="17" t="s">
        <v>1650</v>
      </c>
      <c r="P1412" s="22">
        <v>-75.159867000000006</v>
      </c>
      <c r="Q1412" s="22">
        <v>-113.97836700000001</v>
      </c>
      <c r="R1412" s="22"/>
      <c r="S1412" s="22">
        <v>737</v>
      </c>
      <c r="T1412" s="17">
        <v>427</v>
      </c>
      <c r="U1412" s="23">
        <v>690</v>
      </c>
      <c r="V1412" s="24" t="s">
        <v>1887</v>
      </c>
      <c r="W1412" s="148" t="s">
        <v>2458</v>
      </c>
      <c r="X1412" s="22">
        <f t="shared" si="37"/>
        <v>310</v>
      </c>
      <c r="Y1412" s="22">
        <v>5</v>
      </c>
      <c r="Z1412" s="22">
        <v>2.7</v>
      </c>
      <c r="AA1412" s="17" t="s">
        <v>73</v>
      </c>
      <c r="AB1412" s="26">
        <v>8702</v>
      </c>
      <c r="AC1412" s="26">
        <v>419</v>
      </c>
      <c r="AD1412" s="26">
        <v>663</v>
      </c>
      <c r="AE1412" s="27">
        <v>94388</v>
      </c>
      <c r="AF1412" s="27">
        <v>4531</v>
      </c>
      <c r="AG1412" s="28"/>
      <c r="AH1412" s="28"/>
      <c r="AI1412" s="17">
        <v>2010</v>
      </c>
      <c r="AJ1412" s="17">
        <v>1</v>
      </c>
      <c r="AK1412" s="17">
        <v>0</v>
      </c>
    </row>
    <row r="1413" spans="1:46" ht="15.75" customHeight="1">
      <c r="A1413" s="54" t="s">
        <v>1651</v>
      </c>
      <c r="B1413" s="19" t="s">
        <v>1647</v>
      </c>
      <c r="C1413" s="17">
        <v>158</v>
      </c>
      <c r="D1413" s="142" t="s">
        <v>196</v>
      </c>
      <c r="E1413" s="33">
        <v>0</v>
      </c>
      <c r="F1413" s="17" t="s">
        <v>1648</v>
      </c>
      <c r="G1413" s="19" t="s">
        <v>1649</v>
      </c>
      <c r="H1413" s="19" t="s">
        <v>1559</v>
      </c>
      <c r="I1413" s="17" t="b">
        <v>0</v>
      </c>
      <c r="J1413" s="17" t="s">
        <v>43</v>
      </c>
      <c r="K1413" s="21" t="str">
        <f t="shared" si="36"/>
        <v>https://version2.ice-d.org/antarctica/sample/L2014-BB-2/</v>
      </c>
      <c r="L1413" s="54" t="s">
        <v>39</v>
      </c>
      <c r="M1413" s="155"/>
      <c r="O1413" s="17" t="s">
        <v>1650</v>
      </c>
      <c r="P1413" s="22">
        <v>-75.159867000000006</v>
      </c>
      <c r="Q1413" s="22">
        <v>-113.97836700000001</v>
      </c>
      <c r="R1413" s="22"/>
      <c r="S1413" s="22">
        <v>733</v>
      </c>
      <c r="T1413" s="17">
        <v>427</v>
      </c>
      <c r="U1413" s="23">
        <v>690</v>
      </c>
      <c r="V1413" s="24" t="s">
        <v>1888</v>
      </c>
      <c r="W1413" s="148" t="s">
        <v>2458</v>
      </c>
      <c r="X1413" s="22">
        <f t="shared" si="37"/>
        <v>306</v>
      </c>
      <c r="Y1413" s="22">
        <v>5</v>
      </c>
      <c r="Z1413" s="22">
        <v>2.7</v>
      </c>
      <c r="AA1413" s="17" t="s">
        <v>73</v>
      </c>
      <c r="AB1413" s="26">
        <v>9168</v>
      </c>
      <c r="AC1413" s="26">
        <v>450</v>
      </c>
      <c r="AD1413" s="26">
        <v>705</v>
      </c>
      <c r="AE1413" s="27">
        <v>98694</v>
      </c>
      <c r="AF1413" s="27">
        <v>4836</v>
      </c>
      <c r="AG1413" s="28"/>
      <c r="AH1413" s="28"/>
      <c r="AI1413" s="17">
        <v>2010</v>
      </c>
      <c r="AJ1413" s="17">
        <v>1</v>
      </c>
      <c r="AK1413" s="17">
        <v>0</v>
      </c>
    </row>
    <row r="1414" spans="1:46" ht="15.75" customHeight="1">
      <c r="A1414" s="121" t="s">
        <v>1652</v>
      </c>
      <c r="B1414" s="19" t="s">
        <v>1653</v>
      </c>
      <c r="C1414" s="17">
        <v>159</v>
      </c>
      <c r="D1414" s="142" t="s">
        <v>196</v>
      </c>
      <c r="E1414" s="33">
        <v>0</v>
      </c>
      <c r="F1414" s="17" t="s">
        <v>1648</v>
      </c>
      <c r="G1414" s="19" t="s">
        <v>1649</v>
      </c>
      <c r="H1414" s="19" t="s">
        <v>1559</v>
      </c>
      <c r="I1414" s="17" t="b">
        <v>0</v>
      </c>
      <c r="J1414" s="17" t="s">
        <v>43</v>
      </c>
      <c r="K1414" s="21" t="str">
        <f t="shared" si="36"/>
        <v>https://version2.ice-d.org/antarctica/sample/L2014-MI-1/</v>
      </c>
      <c r="L1414" s="121" t="s">
        <v>39</v>
      </c>
      <c r="M1414" s="121"/>
      <c r="O1414" s="17" t="s">
        <v>1650</v>
      </c>
      <c r="P1414" s="22">
        <v>-74.983216999999996</v>
      </c>
      <c r="Q1414" s="22">
        <v>-113.693833</v>
      </c>
      <c r="R1414" s="22"/>
      <c r="S1414" s="22">
        <v>460</v>
      </c>
      <c r="T1414" s="17">
        <v>84</v>
      </c>
      <c r="U1414" s="23">
        <v>690</v>
      </c>
      <c r="V1414" s="24" t="s">
        <v>1889</v>
      </c>
      <c r="W1414" s="148" t="s">
        <v>2458</v>
      </c>
      <c r="X1414" s="22">
        <f t="shared" si="37"/>
        <v>376</v>
      </c>
      <c r="Y1414" s="22">
        <v>5</v>
      </c>
      <c r="Z1414" s="22">
        <v>2.7</v>
      </c>
      <c r="AA1414" s="17" t="s">
        <v>73</v>
      </c>
      <c r="AB1414" s="26">
        <v>13078</v>
      </c>
      <c r="AC1414" s="26">
        <v>551</v>
      </c>
      <c r="AD1414" s="26">
        <v>950</v>
      </c>
      <c r="AE1414" s="27">
        <v>108244</v>
      </c>
      <c r="AF1414" s="27">
        <v>4546</v>
      </c>
      <c r="AG1414" s="28"/>
      <c r="AH1414" s="28"/>
      <c r="AI1414" s="17">
        <v>2010</v>
      </c>
      <c r="AJ1414" s="17">
        <v>1</v>
      </c>
      <c r="AK1414" s="17">
        <v>0</v>
      </c>
    </row>
    <row r="1415" spans="1:46" ht="12.75" customHeight="1">
      <c r="A1415" s="121" t="s">
        <v>1654</v>
      </c>
      <c r="B1415" s="19" t="s">
        <v>1653</v>
      </c>
      <c r="C1415" s="17">
        <v>159</v>
      </c>
      <c r="D1415" s="142" t="s">
        <v>196</v>
      </c>
      <c r="E1415" s="33">
        <v>0</v>
      </c>
      <c r="F1415" s="17" t="s">
        <v>1648</v>
      </c>
      <c r="G1415" s="19" t="s">
        <v>1649</v>
      </c>
      <c r="H1415" s="19" t="s">
        <v>1559</v>
      </c>
      <c r="I1415" s="17" t="b">
        <v>0</v>
      </c>
      <c r="J1415" s="17" t="s">
        <v>43</v>
      </c>
      <c r="K1415" s="21" t="str">
        <f t="shared" si="36"/>
        <v>https://version2.ice-d.org/antarctica/sample/L2014-MI-2/</v>
      </c>
      <c r="L1415" s="121" t="s">
        <v>39</v>
      </c>
      <c r="M1415" s="121"/>
      <c r="O1415" s="17" t="s">
        <v>1650</v>
      </c>
      <c r="P1415" s="22">
        <v>-74.983216999999996</v>
      </c>
      <c r="Q1415" s="22">
        <v>-113.693833</v>
      </c>
      <c r="R1415" s="22"/>
      <c r="S1415" s="22">
        <v>460</v>
      </c>
      <c r="T1415" s="17">
        <v>84</v>
      </c>
      <c r="U1415" s="23">
        <v>690</v>
      </c>
      <c r="V1415" s="24" t="s">
        <v>1890</v>
      </c>
      <c r="W1415" s="148" t="s">
        <v>2458</v>
      </c>
      <c r="X1415" s="22">
        <f t="shared" si="37"/>
        <v>376</v>
      </c>
      <c r="Y1415" s="22">
        <v>5</v>
      </c>
      <c r="Z1415" s="22">
        <v>2.7</v>
      </c>
      <c r="AA1415" s="17" t="s">
        <v>73</v>
      </c>
      <c r="AB1415" s="26">
        <v>13504</v>
      </c>
      <c r="AC1415" s="26">
        <v>556</v>
      </c>
      <c r="AD1415" s="26">
        <v>974</v>
      </c>
      <c r="AE1415" s="27">
        <v>111747</v>
      </c>
      <c r="AF1415" s="27">
        <v>4582</v>
      </c>
      <c r="AG1415" s="28"/>
      <c r="AH1415" s="28"/>
      <c r="AI1415" s="17">
        <v>2010</v>
      </c>
      <c r="AJ1415" s="17">
        <v>1</v>
      </c>
      <c r="AK1415" s="17">
        <v>0</v>
      </c>
    </row>
    <row r="1416" spans="1:46" ht="12.75" customHeight="1">
      <c r="A1416" s="102" t="s">
        <v>1655</v>
      </c>
      <c r="B1416" s="19" t="s">
        <v>1656</v>
      </c>
      <c r="C1416" s="17">
        <v>160</v>
      </c>
      <c r="D1416" s="142" t="s">
        <v>196</v>
      </c>
      <c r="E1416" s="19">
        <v>0</v>
      </c>
      <c r="F1416" s="17" t="s">
        <v>1648</v>
      </c>
      <c r="G1416" s="19" t="s">
        <v>1657</v>
      </c>
      <c r="H1416" s="19" t="s">
        <v>1559</v>
      </c>
      <c r="I1416" s="17" t="b">
        <v>0</v>
      </c>
      <c r="J1416" s="17" t="s">
        <v>43</v>
      </c>
      <c r="K1416" s="21" t="str">
        <f t="shared" si="36"/>
        <v>https://version2.ice-d.org/antarctica/sample/JBG2008-MM1/</v>
      </c>
      <c r="L1416" s="102" t="s">
        <v>39</v>
      </c>
      <c r="M1416" s="102"/>
      <c r="O1416" s="17" t="s">
        <v>1658</v>
      </c>
      <c r="P1416" s="22">
        <v>-74.777450000000002</v>
      </c>
      <c r="Q1416" s="22">
        <v>-99.367216670000005</v>
      </c>
      <c r="R1416" s="22"/>
      <c r="S1416" s="22">
        <v>491</v>
      </c>
      <c r="T1416" s="17">
        <v>300</v>
      </c>
      <c r="U1416" s="23">
        <v>690</v>
      </c>
      <c r="V1416" s="24" t="s">
        <v>1891</v>
      </c>
      <c r="W1416" s="148" t="s">
        <v>2458</v>
      </c>
      <c r="X1416" s="22">
        <f t="shared" si="37"/>
        <v>191</v>
      </c>
      <c r="Y1416" s="22">
        <v>6</v>
      </c>
      <c r="Z1416" s="22">
        <v>2.7</v>
      </c>
      <c r="AA1416" s="17" t="s">
        <v>1051</v>
      </c>
      <c r="AB1416" s="26">
        <v>8851</v>
      </c>
      <c r="AC1416" s="26">
        <v>491</v>
      </c>
      <c r="AD1416" s="26">
        <v>718</v>
      </c>
      <c r="AE1416" s="27">
        <v>81273</v>
      </c>
      <c r="AF1416" s="27">
        <v>4500</v>
      </c>
      <c r="AG1416" s="28"/>
      <c r="AH1416" s="28"/>
      <c r="AI1416" s="17">
        <v>2006</v>
      </c>
      <c r="AJ1416" s="17">
        <v>0</v>
      </c>
      <c r="AK1416" s="17">
        <v>0</v>
      </c>
    </row>
    <row r="1417" spans="1:46" ht="12.75" customHeight="1">
      <c r="A1417" s="102" t="s">
        <v>1659</v>
      </c>
      <c r="B1417" s="19" t="s">
        <v>1656</v>
      </c>
      <c r="C1417" s="17">
        <v>160</v>
      </c>
      <c r="D1417" s="142" t="s">
        <v>196</v>
      </c>
      <c r="E1417" s="19">
        <v>0</v>
      </c>
      <c r="F1417" s="17" t="s">
        <v>1648</v>
      </c>
      <c r="G1417" s="19" t="s">
        <v>1657</v>
      </c>
      <c r="H1417" s="19" t="s">
        <v>1559</v>
      </c>
      <c r="I1417" s="17" t="b">
        <v>0</v>
      </c>
      <c r="J1417" s="17" t="s">
        <v>43</v>
      </c>
      <c r="K1417" s="21" t="str">
        <f t="shared" si="36"/>
        <v>https://version2.ice-d.org/antarctica/sample/JBG2008-MM2/</v>
      </c>
      <c r="L1417" s="102" t="s">
        <v>39</v>
      </c>
      <c r="M1417" s="102"/>
      <c r="O1417" s="17" t="s">
        <v>1658</v>
      </c>
      <c r="P1417" s="22">
        <v>-74.775966670000003</v>
      </c>
      <c r="Q1417" s="22">
        <v>-99.359499999999997</v>
      </c>
      <c r="R1417" s="22"/>
      <c r="S1417" s="22">
        <v>480</v>
      </c>
      <c r="T1417" s="17">
        <v>300</v>
      </c>
      <c r="U1417" s="23">
        <v>690</v>
      </c>
      <c r="V1417" s="24" t="s">
        <v>1892</v>
      </c>
      <c r="W1417" s="148" t="s">
        <v>2458</v>
      </c>
      <c r="X1417" s="22">
        <f t="shared" si="37"/>
        <v>180</v>
      </c>
      <c r="Y1417" s="22">
        <v>4</v>
      </c>
      <c r="Z1417" s="22">
        <v>2.7</v>
      </c>
      <c r="AA1417" s="17" t="s">
        <v>1051</v>
      </c>
      <c r="AB1417" s="26">
        <v>5103</v>
      </c>
      <c r="AC1417" s="26">
        <v>210</v>
      </c>
      <c r="AD1417" s="26">
        <v>367</v>
      </c>
      <c r="AE1417" s="27">
        <v>46602</v>
      </c>
      <c r="AF1417" s="27">
        <v>1911</v>
      </c>
      <c r="AG1417" s="28"/>
      <c r="AH1417" s="28"/>
      <c r="AI1417" s="17">
        <v>2006</v>
      </c>
      <c r="AJ1417" s="17">
        <v>0</v>
      </c>
      <c r="AK1417" s="17">
        <v>0</v>
      </c>
    </row>
    <row r="1418" spans="1:46" ht="12.75" customHeight="1">
      <c r="A1418" s="102" t="s">
        <v>1660</v>
      </c>
      <c r="B1418" s="19" t="s">
        <v>1661</v>
      </c>
      <c r="C1418" s="17">
        <v>161</v>
      </c>
      <c r="D1418" s="142" t="s">
        <v>196</v>
      </c>
      <c r="E1418" s="19">
        <v>0</v>
      </c>
      <c r="F1418" s="17" t="s">
        <v>1648</v>
      </c>
      <c r="G1418" s="19" t="s">
        <v>1657</v>
      </c>
      <c r="H1418" s="19" t="s">
        <v>1559</v>
      </c>
      <c r="I1418" s="17" t="b">
        <v>0</v>
      </c>
      <c r="J1418" s="17" t="s">
        <v>43</v>
      </c>
      <c r="K1418" s="21" t="str">
        <f t="shared" si="36"/>
        <v>https://version2.ice-d.org/antarctica/sample/JBG2008-ISL1/</v>
      </c>
      <c r="L1418" s="102" t="s">
        <v>39</v>
      </c>
      <c r="M1418" s="131" t="s">
        <v>1662</v>
      </c>
      <c r="N1418" s="17" t="s">
        <v>39</v>
      </c>
      <c r="O1418" s="17" t="s">
        <v>1663</v>
      </c>
      <c r="P1418" s="22">
        <v>-73.822999999999993</v>
      </c>
      <c r="Q1418" s="22">
        <v>-102.94118330000001</v>
      </c>
      <c r="R1418" s="22"/>
      <c r="S1418" s="22">
        <v>8</v>
      </c>
      <c r="T1418" s="22">
        <v>0</v>
      </c>
      <c r="U1418" s="23">
        <v>690</v>
      </c>
      <c r="V1418" s="24" t="s">
        <v>1893</v>
      </c>
      <c r="W1418" s="148" t="s">
        <v>2458</v>
      </c>
      <c r="X1418" s="22">
        <f t="shared" si="37"/>
        <v>8</v>
      </c>
      <c r="Y1418" s="22">
        <v>4</v>
      </c>
      <c r="Z1418" s="22">
        <v>2.7</v>
      </c>
      <c r="AA1418" s="17" t="s">
        <v>1051</v>
      </c>
      <c r="AB1418" s="26">
        <v>2278</v>
      </c>
      <c r="AC1418" s="26">
        <v>135</v>
      </c>
      <c r="AD1418" s="26">
        <v>191</v>
      </c>
      <c r="AE1418" s="27">
        <v>13482</v>
      </c>
      <c r="AF1418" s="27">
        <v>799</v>
      </c>
      <c r="AG1418" s="28"/>
      <c r="AH1418" s="28"/>
      <c r="AI1418" s="17">
        <v>2006</v>
      </c>
      <c r="AJ1418" s="17">
        <v>0</v>
      </c>
      <c r="AK1418" s="17">
        <v>0</v>
      </c>
    </row>
    <row r="1419" spans="1:46" ht="12.75" customHeight="1">
      <c r="A1419" s="130" t="s">
        <v>1664</v>
      </c>
      <c r="B1419" s="19" t="s">
        <v>1661</v>
      </c>
      <c r="C1419" s="17">
        <v>161</v>
      </c>
      <c r="D1419" s="142" t="s">
        <v>196</v>
      </c>
      <c r="E1419" s="19">
        <v>0</v>
      </c>
      <c r="F1419" s="17" t="s">
        <v>1648</v>
      </c>
      <c r="G1419" s="19" t="s">
        <v>1665</v>
      </c>
      <c r="H1419" s="19" t="s">
        <v>1559</v>
      </c>
      <c r="I1419" s="17" t="b">
        <v>0</v>
      </c>
      <c r="J1419" s="17" t="s">
        <v>43</v>
      </c>
      <c r="K1419" s="21" t="str">
        <f t="shared" si="36"/>
        <v>https://version2.ice-d.org/antarctica/sample/L2014-ISL-1/</v>
      </c>
      <c r="L1419" s="130" t="s">
        <v>39</v>
      </c>
      <c r="M1419" s="130"/>
      <c r="O1419" s="28" t="s">
        <v>1666</v>
      </c>
      <c r="P1419" s="22">
        <v>-73.601699999999994</v>
      </c>
      <c r="Q1419" s="22">
        <v>-103.01603299999999</v>
      </c>
      <c r="R1419" s="22"/>
      <c r="S1419" s="22">
        <v>27</v>
      </c>
      <c r="T1419" s="22">
        <v>0</v>
      </c>
      <c r="U1419" s="23">
        <v>690</v>
      </c>
      <c r="V1419" s="24" t="s">
        <v>1894</v>
      </c>
      <c r="W1419" s="148" t="s">
        <v>2458</v>
      </c>
      <c r="X1419" s="22">
        <f t="shared" si="37"/>
        <v>27</v>
      </c>
      <c r="Y1419" s="22">
        <v>5</v>
      </c>
      <c r="Z1419" s="22">
        <v>2.7</v>
      </c>
      <c r="AA1419" s="17" t="s">
        <v>58</v>
      </c>
      <c r="AB1419" s="26">
        <v>14455</v>
      </c>
      <c r="AC1419" s="26">
        <v>696</v>
      </c>
      <c r="AD1419" s="26">
        <v>1103</v>
      </c>
      <c r="AE1419" s="27">
        <v>78429</v>
      </c>
      <c r="AF1419" s="27">
        <v>3765</v>
      </c>
      <c r="AG1419" s="28"/>
      <c r="AH1419" s="28"/>
      <c r="AI1419" s="17">
        <v>2010</v>
      </c>
      <c r="AJ1419" s="17">
        <v>1</v>
      </c>
      <c r="AK1419" s="17">
        <v>1</v>
      </c>
      <c r="AL1419" s="17" t="s">
        <v>1667</v>
      </c>
    </row>
    <row r="1420" spans="1:46" ht="15.75" customHeight="1">
      <c r="A1420" s="113" t="s">
        <v>1668</v>
      </c>
      <c r="B1420" s="19" t="s">
        <v>1661</v>
      </c>
      <c r="C1420" s="17">
        <v>161</v>
      </c>
      <c r="D1420" s="142" t="s">
        <v>196</v>
      </c>
      <c r="E1420" s="19">
        <v>0</v>
      </c>
      <c r="F1420" s="17" t="s">
        <v>1648</v>
      </c>
      <c r="G1420" s="19" t="s">
        <v>1665</v>
      </c>
      <c r="H1420" s="19" t="s">
        <v>1559</v>
      </c>
      <c r="I1420" s="17" t="b">
        <v>0</v>
      </c>
      <c r="J1420" s="17" t="s">
        <v>43</v>
      </c>
      <c r="K1420" s="21" t="str">
        <f t="shared" si="36"/>
        <v>https://version2.ice-d.org/antarctica/sample/L2014-ISL-2/</v>
      </c>
      <c r="L1420" s="113" t="s">
        <v>1669</v>
      </c>
      <c r="M1420" s="189" t="s">
        <v>1670</v>
      </c>
      <c r="N1420" s="17" t="s">
        <v>39</v>
      </c>
      <c r="O1420" s="28" t="s">
        <v>1671</v>
      </c>
      <c r="P1420" s="22">
        <v>-73.602166999999994</v>
      </c>
      <c r="Q1420" s="22">
        <v>-103.01685000000001</v>
      </c>
      <c r="R1420" s="22"/>
      <c r="S1420" s="22">
        <v>34</v>
      </c>
      <c r="T1420" s="22">
        <v>0</v>
      </c>
      <c r="U1420" s="23">
        <v>690</v>
      </c>
      <c r="V1420" s="24" t="s">
        <v>1895</v>
      </c>
      <c r="W1420" s="148" t="s">
        <v>2458</v>
      </c>
      <c r="X1420" s="22">
        <f t="shared" si="37"/>
        <v>34</v>
      </c>
      <c r="Y1420" s="22">
        <v>5</v>
      </c>
      <c r="Z1420" s="22">
        <v>2.7</v>
      </c>
      <c r="AA1420" s="17" t="s">
        <v>58</v>
      </c>
      <c r="AB1420" s="26">
        <v>9799</v>
      </c>
      <c r="AC1420" s="26">
        <v>393</v>
      </c>
      <c r="AD1420" s="26">
        <v>700</v>
      </c>
      <c r="AE1420" s="27">
        <v>53833</v>
      </c>
      <c r="AF1420" s="27">
        <v>2153</v>
      </c>
      <c r="AG1420" s="28"/>
      <c r="AH1420" s="28"/>
      <c r="AI1420" s="17">
        <v>2010</v>
      </c>
      <c r="AJ1420" s="17">
        <v>1</v>
      </c>
      <c r="AK1420" s="17">
        <v>0</v>
      </c>
    </row>
    <row r="1421" spans="1:46" ht="15.75" customHeight="1">
      <c r="A1421" s="113" t="s">
        <v>1672</v>
      </c>
      <c r="B1421" s="19" t="s">
        <v>1673</v>
      </c>
      <c r="C1421" s="17">
        <v>162</v>
      </c>
      <c r="D1421" s="142" t="s">
        <v>196</v>
      </c>
      <c r="E1421" s="19">
        <v>0</v>
      </c>
      <c r="F1421" s="17" t="s">
        <v>1648</v>
      </c>
      <c r="G1421" s="19" t="s">
        <v>1665</v>
      </c>
      <c r="H1421" s="19" t="s">
        <v>1559</v>
      </c>
      <c r="I1421" s="17" t="b">
        <v>0</v>
      </c>
      <c r="J1421" s="17" t="s">
        <v>43</v>
      </c>
      <c r="K1421" s="21" t="str">
        <f t="shared" si="36"/>
        <v>https://version2.ice-d.org/antarctica/sample/L2014-ISL-3/</v>
      </c>
      <c r="L1421" s="113" t="s">
        <v>1669</v>
      </c>
      <c r="M1421" s="155"/>
      <c r="N1421" s="17" t="s">
        <v>39</v>
      </c>
      <c r="O1421" s="28" t="s">
        <v>1671</v>
      </c>
      <c r="P1421" s="22">
        <v>-73.969317000000004</v>
      </c>
      <c r="Q1421" s="22">
        <v>-104.13485</v>
      </c>
      <c r="R1421" s="22"/>
      <c r="S1421" s="22">
        <v>26</v>
      </c>
      <c r="T1421" s="22">
        <v>0</v>
      </c>
      <c r="U1421" s="23">
        <v>690</v>
      </c>
      <c r="V1421" s="24" t="s">
        <v>1896</v>
      </c>
      <c r="W1421" s="148" t="s">
        <v>2458</v>
      </c>
      <c r="X1421" s="22">
        <f t="shared" si="37"/>
        <v>26</v>
      </c>
      <c r="Y1421" s="22">
        <v>5</v>
      </c>
      <c r="Z1421" s="22">
        <v>2.7</v>
      </c>
      <c r="AA1421" s="17" t="s">
        <v>58</v>
      </c>
      <c r="AB1421" s="26">
        <v>8426</v>
      </c>
      <c r="AC1421" s="26">
        <v>464</v>
      </c>
      <c r="AD1421" s="26">
        <v>681</v>
      </c>
      <c r="AE1421" s="27">
        <v>46024</v>
      </c>
      <c r="AF1421" s="27">
        <v>2531</v>
      </c>
      <c r="AG1421" s="28"/>
      <c r="AH1421" s="28"/>
      <c r="AI1421" s="17">
        <v>2010</v>
      </c>
      <c r="AJ1421" s="17">
        <v>1</v>
      </c>
      <c r="AK1421" s="17">
        <v>0</v>
      </c>
    </row>
    <row r="1422" spans="1:46" ht="15.75" customHeight="1">
      <c r="A1422" s="18" t="s">
        <v>1674</v>
      </c>
      <c r="B1422" s="19" t="s">
        <v>1675</v>
      </c>
      <c r="C1422" s="17">
        <v>161</v>
      </c>
      <c r="D1422" s="142" t="s">
        <v>196</v>
      </c>
      <c r="E1422" s="19">
        <v>0</v>
      </c>
      <c r="F1422" s="17" t="s">
        <v>1648</v>
      </c>
      <c r="G1422" s="19" t="s">
        <v>1665</v>
      </c>
      <c r="H1422" s="19" t="s">
        <v>1559</v>
      </c>
      <c r="I1422" s="17" t="b">
        <v>0</v>
      </c>
      <c r="J1422" s="17" t="s">
        <v>43</v>
      </c>
      <c r="K1422" s="21" t="str">
        <f t="shared" si="36"/>
        <v>https://version2.ice-d.org/antarctica/sample/SB2019-ED2-19-2C1/</v>
      </c>
      <c r="L1422" s="18" t="s">
        <v>39</v>
      </c>
      <c r="M1422" s="183" t="s">
        <v>44</v>
      </c>
      <c r="O1422" s="17" t="s">
        <v>1676</v>
      </c>
      <c r="P1422" s="22">
        <v>-73.873999999999995</v>
      </c>
      <c r="Q1422" s="22">
        <v>-102.9811</v>
      </c>
      <c r="R1422" s="22"/>
      <c r="S1422" s="22">
        <v>19.100000000000001</v>
      </c>
      <c r="T1422" s="17">
        <v>0</v>
      </c>
      <c r="U1422" s="23">
        <v>690</v>
      </c>
      <c r="V1422" s="24" t="s">
        <v>1897</v>
      </c>
      <c r="W1422" s="148" t="s">
        <v>2458</v>
      </c>
      <c r="X1422" s="22">
        <f t="shared" si="37"/>
        <v>19.100000000000001</v>
      </c>
      <c r="Y1422" s="22">
        <v>2.6</v>
      </c>
      <c r="Z1422" s="22">
        <v>2.7</v>
      </c>
      <c r="AA1422" s="17" t="s">
        <v>58</v>
      </c>
      <c r="AB1422" s="26">
        <v>3630</v>
      </c>
      <c r="AC1422" s="26">
        <v>145</v>
      </c>
      <c r="AD1422" s="26">
        <v>259</v>
      </c>
      <c r="AE1422" s="27">
        <v>20171</v>
      </c>
      <c r="AF1422" s="27">
        <v>806</v>
      </c>
      <c r="AG1422" s="28"/>
      <c r="AH1422" s="28"/>
      <c r="AI1422" s="17">
        <v>2019</v>
      </c>
      <c r="AJ1422" s="17">
        <v>1</v>
      </c>
      <c r="AK1422" s="17">
        <v>0</v>
      </c>
    </row>
    <row r="1423" spans="1:46" ht="15.75" customHeight="1">
      <c r="A1423" s="18" t="s">
        <v>1677</v>
      </c>
      <c r="B1423" s="19" t="s">
        <v>1675</v>
      </c>
      <c r="C1423" s="17">
        <v>161</v>
      </c>
      <c r="D1423" s="142" t="s">
        <v>196</v>
      </c>
      <c r="E1423" s="19">
        <v>0</v>
      </c>
      <c r="F1423" s="17" t="s">
        <v>1648</v>
      </c>
      <c r="G1423" s="19" t="s">
        <v>1665</v>
      </c>
      <c r="H1423" s="19" t="s">
        <v>1559</v>
      </c>
      <c r="I1423" s="17" t="b">
        <v>0</v>
      </c>
      <c r="J1423" s="17" t="s">
        <v>43</v>
      </c>
      <c r="K1423" s="21" t="str">
        <f t="shared" si="36"/>
        <v>https://version2.ice-d.org/antarctica/sample/SB2019-ED2-19-2C2/</v>
      </c>
      <c r="L1423" s="18" t="s">
        <v>39</v>
      </c>
      <c r="M1423" s="155"/>
      <c r="O1423" s="17" t="s">
        <v>1676</v>
      </c>
      <c r="P1423" s="22">
        <v>-73.873999999999995</v>
      </c>
      <c r="Q1423" s="22">
        <v>-102.9811</v>
      </c>
      <c r="R1423" s="22"/>
      <c r="S1423" s="22">
        <v>19.100000000000001</v>
      </c>
      <c r="T1423" s="17">
        <v>0</v>
      </c>
      <c r="U1423" s="23">
        <v>690</v>
      </c>
      <c r="V1423" s="24" t="s">
        <v>1898</v>
      </c>
      <c r="W1423" s="148" t="s">
        <v>2458</v>
      </c>
      <c r="X1423" s="22">
        <f t="shared" si="37"/>
        <v>19.100000000000001</v>
      </c>
      <c r="Y1423" s="22">
        <v>3.6</v>
      </c>
      <c r="Z1423" s="22">
        <v>2.7</v>
      </c>
      <c r="AA1423" s="17" t="s">
        <v>58</v>
      </c>
      <c r="AB1423" s="26">
        <v>3539</v>
      </c>
      <c r="AC1423" s="26">
        <v>103</v>
      </c>
      <c r="AD1423" s="26">
        <v>233</v>
      </c>
      <c r="AE1423" s="27">
        <v>19533</v>
      </c>
      <c r="AF1423" s="27">
        <v>567</v>
      </c>
      <c r="AG1423" s="28"/>
      <c r="AH1423" s="28"/>
      <c r="AI1423" s="17">
        <v>2019</v>
      </c>
      <c r="AJ1423" s="17">
        <v>1</v>
      </c>
      <c r="AK1423" s="17">
        <v>0</v>
      </c>
    </row>
    <row r="1424" spans="1:46" ht="15.75" customHeight="1">
      <c r="A1424" s="18" t="s">
        <v>1678</v>
      </c>
      <c r="B1424" s="19" t="s">
        <v>1661</v>
      </c>
      <c r="C1424" s="17">
        <v>161</v>
      </c>
      <c r="D1424" s="142" t="s">
        <v>196</v>
      </c>
      <c r="E1424" s="19">
        <v>0</v>
      </c>
      <c r="F1424" s="17" t="s">
        <v>1648</v>
      </c>
      <c r="G1424" s="19" t="s">
        <v>1665</v>
      </c>
      <c r="H1424" s="19" t="s">
        <v>1559</v>
      </c>
      <c r="I1424" s="17" t="b">
        <v>0</v>
      </c>
      <c r="J1424" s="17" t="s">
        <v>43</v>
      </c>
      <c r="K1424" s="21" t="str">
        <f t="shared" si="36"/>
        <v>https://version2.ice-d.org/antarctica/sample/SB2019-LD-19-C1/</v>
      </c>
      <c r="L1424" s="18" t="s">
        <v>39</v>
      </c>
      <c r="M1424" s="155"/>
      <c r="O1424" s="17" t="s">
        <v>1676</v>
      </c>
      <c r="P1424" s="22">
        <v>-73.606859999999998</v>
      </c>
      <c r="Q1424" s="22">
        <v>-103.0394</v>
      </c>
      <c r="R1424" s="22"/>
      <c r="S1424" s="22">
        <v>26.3</v>
      </c>
      <c r="T1424" s="17">
        <v>0</v>
      </c>
      <c r="U1424" s="23">
        <v>690</v>
      </c>
      <c r="V1424" s="24" t="s">
        <v>1899</v>
      </c>
      <c r="W1424" s="148" t="s">
        <v>2458</v>
      </c>
      <c r="X1424" s="22">
        <f t="shared" si="37"/>
        <v>26.3</v>
      </c>
      <c r="Y1424" s="22">
        <v>2.6</v>
      </c>
      <c r="Z1424" s="22">
        <v>2.7</v>
      </c>
      <c r="AA1424" s="17" t="s">
        <v>58</v>
      </c>
      <c r="AB1424" s="26">
        <v>7410</v>
      </c>
      <c r="AC1424" s="26">
        <v>242</v>
      </c>
      <c r="AD1424" s="26">
        <v>500</v>
      </c>
      <c r="AE1424" s="27">
        <v>41188</v>
      </c>
      <c r="AF1424" s="27">
        <v>1341</v>
      </c>
      <c r="AG1424" s="28"/>
      <c r="AH1424" s="28"/>
      <c r="AI1424" s="17">
        <v>2019</v>
      </c>
      <c r="AJ1424" s="17">
        <v>1</v>
      </c>
      <c r="AK1424" s="17">
        <v>0</v>
      </c>
    </row>
    <row r="1425" spans="1:38" ht="15.75" customHeight="1">
      <c r="A1425" s="18" t="s">
        <v>1679</v>
      </c>
      <c r="B1425" s="19" t="s">
        <v>1661</v>
      </c>
      <c r="C1425" s="17">
        <v>161</v>
      </c>
      <c r="D1425" s="142" t="s">
        <v>196</v>
      </c>
      <c r="E1425" s="19">
        <v>0</v>
      </c>
      <c r="F1425" s="17" t="s">
        <v>1648</v>
      </c>
      <c r="G1425" s="19" t="s">
        <v>1665</v>
      </c>
      <c r="H1425" s="19" t="s">
        <v>1559</v>
      </c>
      <c r="I1425" s="17" t="b">
        <v>0</v>
      </c>
      <c r="J1425" s="17" t="s">
        <v>43</v>
      </c>
      <c r="K1425" s="21" t="str">
        <f t="shared" si="36"/>
        <v>https://version2.ice-d.org/antarctica/sample/SB2019-LD-19-C2/</v>
      </c>
      <c r="L1425" s="18" t="s">
        <v>39</v>
      </c>
      <c r="M1425" s="155"/>
      <c r="O1425" s="17" t="s">
        <v>1676</v>
      </c>
      <c r="P1425" s="22">
        <v>-73.606859999999998</v>
      </c>
      <c r="Q1425" s="22">
        <v>-103.03928000000001</v>
      </c>
      <c r="R1425" s="22"/>
      <c r="S1425" s="22">
        <v>25.7</v>
      </c>
      <c r="T1425" s="17">
        <v>0</v>
      </c>
      <c r="U1425" s="23">
        <v>690</v>
      </c>
      <c r="V1425" s="24" t="s">
        <v>1900</v>
      </c>
      <c r="W1425" s="148" t="s">
        <v>2458</v>
      </c>
      <c r="X1425" s="22">
        <f t="shared" si="37"/>
        <v>25.7</v>
      </c>
      <c r="Y1425" s="22">
        <v>2.9</v>
      </c>
      <c r="Z1425" s="22">
        <v>2.7</v>
      </c>
      <c r="AA1425" s="17" t="s">
        <v>58</v>
      </c>
      <c r="AB1425" s="26">
        <v>8212</v>
      </c>
      <c r="AC1425" s="26">
        <v>170</v>
      </c>
      <c r="AD1425" s="26">
        <v>514</v>
      </c>
      <c r="AE1425" s="27">
        <v>45652</v>
      </c>
      <c r="AF1425" s="27">
        <v>942</v>
      </c>
      <c r="AG1425" s="28"/>
      <c r="AH1425" s="28"/>
      <c r="AI1425" s="17">
        <v>2019</v>
      </c>
      <c r="AJ1425" s="17">
        <v>1</v>
      </c>
      <c r="AK1425" s="17">
        <v>0</v>
      </c>
    </row>
    <row r="1426" spans="1:38" ht="15.75" customHeight="1">
      <c r="A1426" s="29" t="s">
        <v>1680</v>
      </c>
      <c r="B1426" s="19" t="s">
        <v>1681</v>
      </c>
      <c r="C1426" s="17">
        <v>163</v>
      </c>
      <c r="D1426" s="142" t="s">
        <v>196</v>
      </c>
      <c r="E1426" s="19">
        <v>5300</v>
      </c>
      <c r="F1426" s="33" t="s">
        <v>1682</v>
      </c>
      <c r="G1426" s="19" t="s">
        <v>1649</v>
      </c>
      <c r="H1426" s="19" t="s">
        <v>1559</v>
      </c>
      <c r="I1426" s="17" t="b">
        <v>0</v>
      </c>
      <c r="J1426" s="17" t="s">
        <v>43</v>
      </c>
      <c r="K1426" s="21" t="str">
        <f t="shared" si="36"/>
        <v>https://version2.ice-d.org/antarctica/sample/J2014-JF-03/</v>
      </c>
      <c r="L1426" s="29" t="s">
        <v>39</v>
      </c>
      <c r="M1426" s="184" t="s">
        <v>44</v>
      </c>
      <c r="O1426" s="17" t="s">
        <v>1683</v>
      </c>
      <c r="P1426" s="22">
        <v>-74.58905</v>
      </c>
      <c r="Q1426" s="22">
        <v>-99.449269999999999</v>
      </c>
      <c r="R1426" s="22"/>
      <c r="S1426" s="22">
        <v>268</v>
      </c>
      <c r="T1426" s="17">
        <v>180</v>
      </c>
      <c r="U1426" s="23">
        <v>690</v>
      </c>
      <c r="V1426" s="24" t="s">
        <v>1901</v>
      </c>
      <c r="W1426" s="148" t="s">
        <v>2458</v>
      </c>
      <c r="X1426" s="22">
        <f t="shared" si="37"/>
        <v>88</v>
      </c>
      <c r="Y1426" s="22">
        <v>3.32</v>
      </c>
      <c r="Z1426" s="22">
        <v>2.7</v>
      </c>
      <c r="AA1426" s="17" t="s">
        <v>73</v>
      </c>
      <c r="AB1426" s="26">
        <v>14021</v>
      </c>
      <c r="AC1426" s="26">
        <v>364</v>
      </c>
      <c r="AD1426" s="26"/>
      <c r="AE1426" s="27">
        <v>97951</v>
      </c>
      <c r="AF1426" s="27">
        <v>2536</v>
      </c>
      <c r="AG1426" s="28"/>
      <c r="AH1426" s="28"/>
      <c r="AI1426" s="17">
        <v>2010</v>
      </c>
      <c r="AJ1426" s="17">
        <v>1</v>
      </c>
      <c r="AK1426" s="17">
        <v>1</v>
      </c>
      <c r="AL1426" s="17" t="s">
        <v>1684</v>
      </c>
    </row>
    <row r="1427" spans="1:38" ht="15.75" customHeight="1">
      <c r="A1427" s="29" t="s">
        <v>1685</v>
      </c>
      <c r="B1427" s="19" t="s">
        <v>1681</v>
      </c>
      <c r="C1427" s="17">
        <v>163</v>
      </c>
      <c r="D1427" s="142" t="s">
        <v>196</v>
      </c>
      <c r="E1427" s="19">
        <v>5300</v>
      </c>
      <c r="F1427" s="33" t="s">
        <v>1682</v>
      </c>
      <c r="G1427" s="19" t="s">
        <v>1649</v>
      </c>
      <c r="H1427" s="19" t="s">
        <v>1559</v>
      </c>
      <c r="I1427" s="17" t="b">
        <v>0</v>
      </c>
      <c r="J1427" s="17" t="s">
        <v>43</v>
      </c>
      <c r="K1427" s="21" t="str">
        <f t="shared" si="36"/>
        <v>https://version2.ice-d.org/antarctica/sample/J2014-JF-01/</v>
      </c>
      <c r="L1427" s="29" t="s">
        <v>39</v>
      </c>
      <c r="M1427" s="155"/>
      <c r="O1427" s="17" t="s">
        <v>1683</v>
      </c>
      <c r="P1427" s="22">
        <v>-74.588830000000002</v>
      </c>
      <c r="Q1427" s="22">
        <v>-99.450999999999993</v>
      </c>
      <c r="R1427" s="22"/>
      <c r="S1427" s="22">
        <v>286</v>
      </c>
      <c r="T1427" s="17">
        <v>180</v>
      </c>
      <c r="U1427" s="23">
        <v>690</v>
      </c>
      <c r="V1427" s="24" t="s">
        <v>1902</v>
      </c>
      <c r="W1427" s="148" t="s">
        <v>2458</v>
      </c>
      <c r="X1427" s="22">
        <f t="shared" si="37"/>
        <v>106</v>
      </c>
      <c r="Y1427" s="22">
        <v>2.66</v>
      </c>
      <c r="Z1427" s="22">
        <v>2.7</v>
      </c>
      <c r="AA1427" s="17" t="s">
        <v>73</v>
      </c>
      <c r="AB1427" s="26">
        <v>7183</v>
      </c>
      <c r="AC1427" s="26">
        <v>202</v>
      </c>
      <c r="AD1427" s="26">
        <v>470</v>
      </c>
      <c r="AE1427" s="27">
        <v>50721</v>
      </c>
      <c r="AF1427" s="27">
        <v>1421</v>
      </c>
      <c r="AG1427" s="28"/>
      <c r="AH1427" s="28"/>
      <c r="AI1427" s="17">
        <v>2010</v>
      </c>
      <c r="AJ1427" s="17">
        <v>1</v>
      </c>
      <c r="AK1427" s="17">
        <v>0</v>
      </c>
      <c r="AL1427" s="17" t="s">
        <v>1686</v>
      </c>
    </row>
    <row r="1428" spans="1:38" ht="15.75" customHeight="1">
      <c r="A1428" s="29" t="s">
        <v>1687</v>
      </c>
      <c r="B1428" s="19" t="s">
        <v>1681</v>
      </c>
      <c r="C1428" s="17">
        <v>163</v>
      </c>
      <c r="D1428" s="142" t="s">
        <v>196</v>
      </c>
      <c r="E1428" s="19">
        <v>5300</v>
      </c>
      <c r="F1428" s="33" t="s">
        <v>1682</v>
      </c>
      <c r="G1428" s="19" t="s">
        <v>1649</v>
      </c>
      <c r="H1428" s="19" t="s">
        <v>1559</v>
      </c>
      <c r="I1428" s="17" t="b">
        <v>0</v>
      </c>
      <c r="J1428" s="17" t="s">
        <v>43</v>
      </c>
      <c r="K1428" s="21" t="str">
        <f t="shared" si="36"/>
        <v>https://version2.ice-d.org/antarctica/sample/J2014-JF-02/</v>
      </c>
      <c r="L1428" s="29" t="s">
        <v>39</v>
      </c>
      <c r="M1428" s="155"/>
      <c r="O1428" s="17" t="s">
        <v>1683</v>
      </c>
      <c r="P1428" s="22">
        <v>-74.589330000000004</v>
      </c>
      <c r="Q1428" s="22">
        <v>-99.448830000000001</v>
      </c>
      <c r="R1428" s="22"/>
      <c r="S1428" s="22">
        <v>268</v>
      </c>
      <c r="T1428" s="17">
        <v>180</v>
      </c>
      <c r="U1428" s="23">
        <v>690</v>
      </c>
      <c r="V1428" s="24" t="s">
        <v>1903</v>
      </c>
      <c r="W1428" s="148" t="s">
        <v>2458</v>
      </c>
      <c r="X1428" s="22">
        <f t="shared" si="37"/>
        <v>88</v>
      </c>
      <c r="Y1428" s="22">
        <v>2.2599999999999998</v>
      </c>
      <c r="Z1428" s="22">
        <v>2.7</v>
      </c>
      <c r="AA1428" s="17" t="s">
        <v>73</v>
      </c>
      <c r="AB1428" s="26">
        <v>7017</v>
      </c>
      <c r="AC1428" s="26">
        <v>199</v>
      </c>
      <c r="AD1428" s="26">
        <v>460</v>
      </c>
      <c r="AE1428" s="27">
        <v>49114</v>
      </c>
      <c r="AF1428" s="27">
        <v>1389</v>
      </c>
      <c r="AG1428" s="28"/>
      <c r="AH1428" s="28"/>
      <c r="AI1428" s="17">
        <v>2010</v>
      </c>
      <c r="AJ1428" s="17">
        <v>1</v>
      </c>
      <c r="AK1428" s="17">
        <v>0</v>
      </c>
      <c r="AL1428" s="17" t="s">
        <v>1686</v>
      </c>
    </row>
    <row r="1429" spans="1:38" ht="15.75" customHeight="1">
      <c r="A1429" s="29" t="s">
        <v>1688</v>
      </c>
      <c r="B1429" s="19" t="s">
        <v>1681</v>
      </c>
      <c r="C1429" s="17">
        <v>163</v>
      </c>
      <c r="D1429" s="142" t="s">
        <v>196</v>
      </c>
      <c r="E1429" s="19">
        <v>5300</v>
      </c>
      <c r="F1429" s="33" t="s">
        <v>1682</v>
      </c>
      <c r="G1429" s="19" t="s">
        <v>1649</v>
      </c>
      <c r="H1429" s="19" t="s">
        <v>1559</v>
      </c>
      <c r="I1429" s="17" t="b">
        <v>0</v>
      </c>
      <c r="J1429" s="17" t="s">
        <v>43</v>
      </c>
      <c r="K1429" s="21" t="str">
        <f t="shared" si="36"/>
        <v>https://version2.ice-d.org/antarctica/sample/J2014-JF-04/</v>
      </c>
      <c r="L1429" s="29" t="s">
        <v>39</v>
      </c>
      <c r="M1429" s="155"/>
      <c r="O1429" s="17" t="s">
        <v>1683</v>
      </c>
      <c r="P1429" s="22">
        <v>-74.590500000000006</v>
      </c>
      <c r="Q1429" s="22">
        <v>-99.440669999999997</v>
      </c>
      <c r="R1429" s="22"/>
      <c r="S1429" s="22">
        <v>255</v>
      </c>
      <c r="T1429" s="17">
        <v>180</v>
      </c>
      <c r="U1429" s="23">
        <v>690</v>
      </c>
      <c r="V1429" s="24" t="s">
        <v>1904</v>
      </c>
      <c r="W1429" s="148" t="s">
        <v>2458</v>
      </c>
      <c r="X1429" s="22">
        <f t="shared" si="37"/>
        <v>75</v>
      </c>
      <c r="Y1429" s="22">
        <v>1.78</v>
      </c>
      <c r="Z1429" s="22">
        <v>2.7</v>
      </c>
      <c r="AA1429" s="17" t="s">
        <v>73</v>
      </c>
      <c r="AB1429" s="26">
        <v>6999</v>
      </c>
      <c r="AC1429" s="26">
        <v>203</v>
      </c>
      <c r="AD1429" s="26">
        <v>461</v>
      </c>
      <c r="AE1429" s="27">
        <v>48928</v>
      </c>
      <c r="AF1429" s="27">
        <v>1414</v>
      </c>
      <c r="AG1429" s="28"/>
      <c r="AH1429" s="28"/>
      <c r="AI1429" s="17">
        <v>2010</v>
      </c>
      <c r="AJ1429" s="17">
        <v>1</v>
      </c>
      <c r="AK1429" s="17">
        <v>0</v>
      </c>
      <c r="AL1429" s="17" t="s">
        <v>1686</v>
      </c>
    </row>
    <row r="1430" spans="1:38" ht="15.75" customHeight="1">
      <c r="A1430" s="29" t="s">
        <v>1689</v>
      </c>
      <c r="B1430" s="19" t="s">
        <v>1681</v>
      </c>
      <c r="C1430" s="17">
        <v>163</v>
      </c>
      <c r="D1430" s="142" t="s">
        <v>196</v>
      </c>
      <c r="E1430" s="19">
        <v>5300</v>
      </c>
      <c r="F1430" s="33" t="s">
        <v>1682</v>
      </c>
      <c r="G1430" s="19" t="s">
        <v>1649</v>
      </c>
      <c r="H1430" s="19" t="s">
        <v>1559</v>
      </c>
      <c r="I1430" s="17" t="b">
        <v>0</v>
      </c>
      <c r="J1430" s="17" t="s">
        <v>43</v>
      </c>
      <c r="K1430" s="21" t="str">
        <f t="shared" si="36"/>
        <v>https://version2.ice-d.org/antarctica/sample/J2014-JF-07/</v>
      </c>
      <c r="L1430" s="29" t="s">
        <v>39</v>
      </c>
      <c r="M1430" s="155"/>
      <c r="O1430" s="17" t="s">
        <v>1683</v>
      </c>
      <c r="P1430" s="22">
        <v>-74.597250000000003</v>
      </c>
      <c r="Q1430" s="22">
        <v>-99.450530000000001</v>
      </c>
      <c r="R1430" s="22"/>
      <c r="S1430" s="22">
        <v>187</v>
      </c>
      <c r="T1430" s="17">
        <v>180</v>
      </c>
      <c r="U1430" s="23">
        <v>690</v>
      </c>
      <c r="V1430" s="24" t="s">
        <v>1905</v>
      </c>
      <c r="W1430" s="148" t="s">
        <v>2458</v>
      </c>
      <c r="X1430" s="22">
        <f t="shared" si="37"/>
        <v>7</v>
      </c>
      <c r="Y1430" s="22">
        <v>3.31</v>
      </c>
      <c r="Z1430" s="22">
        <v>2.7</v>
      </c>
      <c r="AA1430" s="17" t="s">
        <v>73</v>
      </c>
      <c r="AB1430" s="26">
        <v>7203</v>
      </c>
      <c r="AC1430" s="26">
        <v>200</v>
      </c>
      <c r="AD1430" s="26">
        <v>470</v>
      </c>
      <c r="AE1430" s="27">
        <v>46087</v>
      </c>
      <c r="AF1430" s="27">
        <v>1276</v>
      </c>
      <c r="AG1430" s="28"/>
      <c r="AH1430" s="28"/>
      <c r="AI1430" s="17">
        <v>2010</v>
      </c>
      <c r="AJ1430" s="17">
        <v>1</v>
      </c>
      <c r="AK1430" s="17">
        <v>0</v>
      </c>
      <c r="AL1430" s="17" t="s">
        <v>1686</v>
      </c>
    </row>
    <row r="1431" spans="1:38" ht="15.75" customHeight="1">
      <c r="A1431" s="31" t="s">
        <v>1690</v>
      </c>
      <c r="B1431" s="19" t="s">
        <v>1681</v>
      </c>
      <c r="C1431" s="17">
        <v>163</v>
      </c>
      <c r="D1431" s="142" t="s">
        <v>196</v>
      </c>
      <c r="E1431" s="19">
        <v>5300</v>
      </c>
      <c r="F1431" s="33" t="s">
        <v>1682</v>
      </c>
      <c r="G1431" s="19" t="s">
        <v>1649</v>
      </c>
      <c r="H1431" s="19" t="s">
        <v>1559</v>
      </c>
      <c r="I1431" s="17" t="b">
        <v>0</v>
      </c>
      <c r="J1431" s="17" t="s">
        <v>43</v>
      </c>
      <c r="K1431" s="21" t="str">
        <f t="shared" si="36"/>
        <v>https://version2.ice-d.org/antarctica/sample/J2016-JF-06/</v>
      </c>
      <c r="L1431" s="31" t="s">
        <v>39</v>
      </c>
      <c r="M1431" s="31" t="s">
        <v>44</v>
      </c>
      <c r="O1431" s="17" t="s">
        <v>1683</v>
      </c>
      <c r="P1431" s="22">
        <v>-74.596670000000003</v>
      </c>
      <c r="Q1431" s="22">
        <v>-99.455500000000001</v>
      </c>
      <c r="R1431" s="22"/>
      <c r="S1431" s="22">
        <v>200</v>
      </c>
      <c r="T1431" s="17">
        <v>180</v>
      </c>
      <c r="U1431" s="23">
        <v>690</v>
      </c>
      <c r="V1431" s="24" t="s">
        <v>1906</v>
      </c>
      <c r="W1431" s="148" t="s">
        <v>2458</v>
      </c>
      <c r="X1431" s="22">
        <f t="shared" si="37"/>
        <v>20</v>
      </c>
      <c r="Y1431" s="22">
        <v>2.9</v>
      </c>
      <c r="Z1431" s="22">
        <v>2.7</v>
      </c>
      <c r="AA1431" s="17" t="s">
        <v>73</v>
      </c>
      <c r="AB1431" s="26">
        <v>6806</v>
      </c>
      <c r="AC1431" s="26">
        <v>206</v>
      </c>
      <c r="AD1431" s="26">
        <v>452</v>
      </c>
      <c r="AE1431" s="27">
        <v>44756</v>
      </c>
      <c r="AF1431" s="27">
        <v>1352</v>
      </c>
      <c r="AG1431" s="28"/>
      <c r="AH1431" s="28"/>
      <c r="AI1431" s="17">
        <v>2010</v>
      </c>
      <c r="AJ1431" s="17">
        <v>1</v>
      </c>
      <c r="AK1431" s="17">
        <v>0</v>
      </c>
    </row>
    <row r="1432" spans="1:38" ht="15.75" customHeight="1">
      <c r="A1432" s="30" t="s">
        <v>1691</v>
      </c>
      <c r="B1432" s="19" t="s">
        <v>1692</v>
      </c>
      <c r="C1432" s="17">
        <v>164</v>
      </c>
      <c r="D1432" s="142" t="s">
        <v>196</v>
      </c>
      <c r="E1432" s="19">
        <v>0</v>
      </c>
      <c r="F1432" s="33" t="s">
        <v>1682</v>
      </c>
      <c r="G1432" s="19" t="s">
        <v>1649</v>
      </c>
      <c r="H1432" s="19" t="s">
        <v>1559</v>
      </c>
      <c r="I1432" s="17" t="b">
        <v>0</v>
      </c>
      <c r="J1432" s="17" t="s">
        <v>43</v>
      </c>
      <c r="K1432" s="21" t="str">
        <f t="shared" si="36"/>
        <v>https://version2.ice-d.org/antarctica/sample/J2014-MTM-01/</v>
      </c>
      <c r="L1432" s="30" t="s">
        <v>39</v>
      </c>
      <c r="M1432" s="185" t="s">
        <v>44</v>
      </c>
      <c r="O1432" s="17" t="s">
        <v>1683</v>
      </c>
      <c r="P1432" s="22">
        <v>-74.550780000000003</v>
      </c>
      <c r="Q1432" s="22">
        <v>-99.189220000000006</v>
      </c>
      <c r="R1432" s="22"/>
      <c r="S1432" s="22">
        <v>366</v>
      </c>
      <c r="T1432" s="17">
        <v>224</v>
      </c>
      <c r="U1432" s="23">
        <v>690</v>
      </c>
      <c r="V1432" s="24" t="s">
        <v>1907</v>
      </c>
      <c r="W1432" s="148" t="s">
        <v>2458</v>
      </c>
      <c r="X1432" s="22">
        <f t="shared" si="37"/>
        <v>142</v>
      </c>
      <c r="Y1432" s="22">
        <v>4.08</v>
      </c>
      <c r="Z1432" s="22">
        <v>2.7</v>
      </c>
      <c r="AA1432" s="17" t="s">
        <v>73</v>
      </c>
      <c r="AB1432" s="26">
        <v>6999</v>
      </c>
      <c r="AC1432" s="26">
        <v>194</v>
      </c>
      <c r="AD1432" s="26">
        <v>457</v>
      </c>
      <c r="AE1432" s="27">
        <v>53274</v>
      </c>
      <c r="AF1432" s="27">
        <v>1477</v>
      </c>
      <c r="AG1432" s="28"/>
      <c r="AH1432" s="28"/>
      <c r="AI1432" s="17">
        <v>2010</v>
      </c>
      <c r="AJ1432" s="17">
        <v>1</v>
      </c>
      <c r="AK1432" s="17">
        <v>0</v>
      </c>
    </row>
    <row r="1433" spans="1:38" ht="15.75" customHeight="1">
      <c r="A1433" s="30" t="s">
        <v>1693</v>
      </c>
      <c r="B1433" s="19" t="s">
        <v>1692</v>
      </c>
      <c r="C1433" s="17">
        <v>164</v>
      </c>
      <c r="D1433" s="142" t="s">
        <v>196</v>
      </c>
      <c r="E1433" s="19">
        <v>0</v>
      </c>
      <c r="F1433" s="33" t="s">
        <v>1682</v>
      </c>
      <c r="G1433" s="19" t="s">
        <v>1649</v>
      </c>
      <c r="H1433" s="19" t="s">
        <v>1559</v>
      </c>
      <c r="I1433" s="17" t="b">
        <v>0</v>
      </c>
      <c r="J1433" s="17" t="s">
        <v>43</v>
      </c>
      <c r="K1433" s="21" t="str">
        <f t="shared" si="36"/>
        <v>https://version2.ice-d.org/antarctica/sample/J2014-MTM-02/</v>
      </c>
      <c r="L1433" s="30" t="s">
        <v>39</v>
      </c>
      <c r="M1433" s="155"/>
      <c r="O1433" s="17" t="s">
        <v>1683</v>
      </c>
      <c r="P1433" s="22">
        <v>-74.550529999999995</v>
      </c>
      <c r="Q1433" s="22">
        <v>-99.192679999999996</v>
      </c>
      <c r="R1433" s="22"/>
      <c r="S1433" s="22">
        <v>351</v>
      </c>
      <c r="T1433" s="17">
        <v>224</v>
      </c>
      <c r="U1433" s="23">
        <v>690</v>
      </c>
      <c r="V1433" s="24" t="s">
        <v>1908</v>
      </c>
      <c r="W1433" s="148" t="s">
        <v>2458</v>
      </c>
      <c r="X1433" s="22">
        <f t="shared" si="37"/>
        <v>127</v>
      </c>
      <c r="Y1433" s="22">
        <v>2.52</v>
      </c>
      <c r="Z1433" s="22">
        <v>2.7</v>
      </c>
      <c r="AA1433" s="17" t="s">
        <v>73</v>
      </c>
      <c r="AB1433" s="26">
        <v>7021</v>
      </c>
      <c r="AC1433" s="26">
        <v>203</v>
      </c>
      <c r="AD1433" s="26">
        <v>462</v>
      </c>
      <c r="AE1433" s="27">
        <v>52588</v>
      </c>
      <c r="AF1433" s="27">
        <v>1514</v>
      </c>
      <c r="AG1433" s="28"/>
      <c r="AH1433" s="28"/>
      <c r="AI1433" s="17">
        <v>2010</v>
      </c>
      <c r="AJ1433" s="17">
        <v>1</v>
      </c>
      <c r="AK1433" s="17">
        <v>0</v>
      </c>
    </row>
    <row r="1434" spans="1:38" ht="15.75" customHeight="1">
      <c r="A1434" s="30" t="s">
        <v>1694</v>
      </c>
      <c r="B1434" s="19" t="s">
        <v>1692</v>
      </c>
      <c r="C1434" s="17">
        <v>164</v>
      </c>
      <c r="D1434" s="142" t="s">
        <v>196</v>
      </c>
      <c r="E1434" s="19">
        <v>0</v>
      </c>
      <c r="F1434" s="33" t="s">
        <v>1682</v>
      </c>
      <c r="G1434" s="19" t="s">
        <v>1649</v>
      </c>
      <c r="H1434" s="19" t="s">
        <v>1559</v>
      </c>
      <c r="I1434" s="17" t="b">
        <v>0</v>
      </c>
      <c r="J1434" s="17" t="s">
        <v>43</v>
      </c>
      <c r="K1434" s="21" t="str">
        <f t="shared" si="36"/>
        <v>https://version2.ice-d.org/antarctica/sample/J2014-MTM-03/</v>
      </c>
      <c r="L1434" s="30" t="s">
        <v>39</v>
      </c>
      <c r="M1434" s="155"/>
      <c r="O1434" s="17" t="s">
        <v>1683</v>
      </c>
      <c r="P1434" s="22">
        <v>-74.552570000000003</v>
      </c>
      <c r="Q1434" s="22">
        <v>-99.191649999999996</v>
      </c>
      <c r="R1434" s="22"/>
      <c r="S1434" s="22">
        <v>310</v>
      </c>
      <c r="T1434" s="17">
        <v>224</v>
      </c>
      <c r="U1434" s="23">
        <v>690</v>
      </c>
      <c r="V1434" s="24" t="s">
        <v>1909</v>
      </c>
      <c r="W1434" s="148" t="s">
        <v>2458</v>
      </c>
      <c r="X1434" s="22">
        <f t="shared" si="37"/>
        <v>86</v>
      </c>
      <c r="Y1434" s="22">
        <v>3.49</v>
      </c>
      <c r="Z1434" s="22">
        <v>2.7</v>
      </c>
      <c r="AA1434" s="17" t="s">
        <v>73</v>
      </c>
      <c r="AB1434" s="26">
        <v>6980</v>
      </c>
      <c r="AC1434" s="26">
        <v>184</v>
      </c>
      <c r="AD1434" s="26">
        <v>452</v>
      </c>
      <c r="AE1434" s="27">
        <v>49939</v>
      </c>
      <c r="AF1434" s="27">
        <v>1315</v>
      </c>
      <c r="AG1434" s="28"/>
      <c r="AH1434" s="28"/>
      <c r="AI1434" s="17">
        <v>2010</v>
      </c>
      <c r="AJ1434" s="17">
        <v>1</v>
      </c>
      <c r="AK1434" s="17">
        <v>0</v>
      </c>
    </row>
    <row r="1435" spans="1:38" ht="15.75" customHeight="1">
      <c r="A1435" s="30" t="s">
        <v>1695</v>
      </c>
      <c r="B1435" s="19" t="s">
        <v>1692</v>
      </c>
      <c r="C1435" s="17">
        <v>164</v>
      </c>
      <c r="D1435" s="142" t="s">
        <v>196</v>
      </c>
      <c r="E1435" s="19">
        <v>0</v>
      </c>
      <c r="F1435" s="33" t="s">
        <v>1682</v>
      </c>
      <c r="G1435" s="19" t="s">
        <v>1649</v>
      </c>
      <c r="H1435" s="19" t="s">
        <v>1559</v>
      </c>
      <c r="I1435" s="17" t="b">
        <v>0</v>
      </c>
      <c r="J1435" s="17" t="s">
        <v>43</v>
      </c>
      <c r="K1435" s="21" t="str">
        <f t="shared" si="36"/>
        <v>https://version2.ice-d.org/antarctica/sample/J2014-MTM-04/</v>
      </c>
      <c r="L1435" s="30" t="s">
        <v>39</v>
      </c>
      <c r="M1435" s="155"/>
      <c r="O1435" s="17" t="s">
        <v>1683</v>
      </c>
      <c r="P1435" s="22">
        <v>-74.553219999999996</v>
      </c>
      <c r="Q1435" s="22">
        <v>-99.199190000000002</v>
      </c>
      <c r="R1435" s="22"/>
      <c r="S1435" s="22">
        <v>247</v>
      </c>
      <c r="T1435" s="17">
        <v>224</v>
      </c>
      <c r="U1435" s="23">
        <v>690</v>
      </c>
      <c r="V1435" s="24" t="s">
        <v>1910</v>
      </c>
      <c r="W1435" s="148" t="s">
        <v>2458</v>
      </c>
      <c r="X1435" s="22">
        <f t="shared" si="37"/>
        <v>23</v>
      </c>
      <c r="Y1435" s="22">
        <v>2.5299999999999998</v>
      </c>
      <c r="Z1435" s="22">
        <v>2.7</v>
      </c>
      <c r="AA1435" s="17" t="s">
        <v>73</v>
      </c>
      <c r="AB1435" s="26">
        <v>5606</v>
      </c>
      <c r="AC1435" s="26">
        <v>157</v>
      </c>
      <c r="AD1435" s="26">
        <v>366</v>
      </c>
      <c r="AE1435" s="27">
        <v>37691</v>
      </c>
      <c r="AF1435" s="27">
        <v>1053</v>
      </c>
      <c r="AG1435" s="28"/>
      <c r="AH1435" s="28"/>
      <c r="AI1435" s="17">
        <v>2010</v>
      </c>
      <c r="AJ1435" s="17">
        <v>1</v>
      </c>
      <c r="AK1435" s="17">
        <v>0</v>
      </c>
    </row>
    <row r="1436" spans="1:38" ht="15.75" customHeight="1">
      <c r="A1436" s="30" t="s">
        <v>1696</v>
      </c>
      <c r="B1436" s="19" t="s">
        <v>1692</v>
      </c>
      <c r="C1436" s="17">
        <v>164</v>
      </c>
      <c r="D1436" s="142" t="s">
        <v>196</v>
      </c>
      <c r="E1436" s="19">
        <v>0</v>
      </c>
      <c r="F1436" s="33" t="s">
        <v>1682</v>
      </c>
      <c r="G1436" s="19" t="s">
        <v>1649</v>
      </c>
      <c r="H1436" s="19" t="s">
        <v>1559</v>
      </c>
      <c r="I1436" s="17" t="b">
        <v>0</v>
      </c>
      <c r="J1436" s="17" t="s">
        <v>43</v>
      </c>
      <c r="K1436" s="21" t="str">
        <f t="shared" si="36"/>
        <v>https://version2.ice-d.org/antarctica/sample/J2014-MTM-05/</v>
      </c>
      <c r="L1436" s="30" t="s">
        <v>39</v>
      </c>
      <c r="M1436" s="155"/>
      <c r="O1436" s="17" t="s">
        <v>1683</v>
      </c>
      <c r="P1436" s="22">
        <v>-74.553749999999994</v>
      </c>
      <c r="Q1436" s="22">
        <v>-99.196569999999994</v>
      </c>
      <c r="R1436" s="22"/>
      <c r="S1436" s="22">
        <v>244</v>
      </c>
      <c r="T1436" s="17">
        <v>224</v>
      </c>
      <c r="U1436" s="23">
        <v>690</v>
      </c>
      <c r="V1436" s="24" t="s">
        <v>1911</v>
      </c>
      <c r="W1436" s="148" t="s">
        <v>2458</v>
      </c>
      <c r="X1436" s="22">
        <f t="shared" si="37"/>
        <v>20</v>
      </c>
      <c r="Y1436" s="22">
        <v>2.54</v>
      </c>
      <c r="Z1436" s="22">
        <v>2.7</v>
      </c>
      <c r="AA1436" s="17" t="s">
        <v>73</v>
      </c>
      <c r="AB1436" s="26">
        <v>6198</v>
      </c>
      <c r="AC1436" s="26">
        <v>181</v>
      </c>
      <c r="AD1436" s="26">
        <v>409</v>
      </c>
      <c r="AE1436" s="27">
        <v>41595</v>
      </c>
      <c r="AF1436" s="27">
        <v>1215</v>
      </c>
      <c r="AG1436" s="28"/>
      <c r="AH1436" s="28"/>
      <c r="AI1436" s="17">
        <v>2010</v>
      </c>
      <c r="AJ1436" s="17">
        <v>1</v>
      </c>
      <c r="AK1436" s="17">
        <v>0</v>
      </c>
    </row>
    <row r="1437" spans="1:38" ht="15.75" customHeight="1">
      <c r="A1437" s="30" t="s">
        <v>1697</v>
      </c>
      <c r="B1437" s="19" t="s">
        <v>1692</v>
      </c>
      <c r="C1437" s="17">
        <v>164</v>
      </c>
      <c r="D1437" s="142" t="s">
        <v>196</v>
      </c>
      <c r="E1437" s="19">
        <v>0</v>
      </c>
      <c r="F1437" s="33" t="s">
        <v>1682</v>
      </c>
      <c r="G1437" s="19" t="s">
        <v>1649</v>
      </c>
      <c r="H1437" s="19" t="s">
        <v>1559</v>
      </c>
      <c r="I1437" s="17" t="b">
        <v>0</v>
      </c>
      <c r="J1437" s="17" t="s">
        <v>43</v>
      </c>
      <c r="K1437" s="21" t="str">
        <f t="shared" si="36"/>
        <v>https://version2.ice-d.org/antarctica/sample/J2014-MTM-06/</v>
      </c>
      <c r="L1437" s="30" t="s">
        <v>39</v>
      </c>
      <c r="M1437" s="155"/>
      <c r="O1437" s="17" t="s">
        <v>1683</v>
      </c>
      <c r="P1437" s="22">
        <v>-74.552859999999995</v>
      </c>
      <c r="Q1437" s="22">
        <v>-99.202079999999995</v>
      </c>
      <c r="R1437" s="22"/>
      <c r="S1437" s="22">
        <v>224</v>
      </c>
      <c r="T1437" s="17">
        <v>224</v>
      </c>
      <c r="U1437" s="23">
        <v>690</v>
      </c>
      <c r="V1437" s="24" t="s">
        <v>1912</v>
      </c>
      <c r="W1437" s="148" t="s">
        <v>2458</v>
      </c>
      <c r="X1437" s="22">
        <f t="shared" si="37"/>
        <v>0</v>
      </c>
      <c r="Y1437" s="22">
        <v>4.01</v>
      </c>
      <c r="Z1437" s="22">
        <v>2.7</v>
      </c>
      <c r="AA1437" s="17" t="s">
        <v>51</v>
      </c>
      <c r="AB1437" s="26">
        <v>5309</v>
      </c>
      <c r="AC1437" s="26">
        <v>148</v>
      </c>
      <c r="AD1437" s="26">
        <v>347</v>
      </c>
      <c r="AE1437" s="27">
        <v>34909</v>
      </c>
      <c r="AF1437" s="27">
        <v>974</v>
      </c>
      <c r="AG1437" s="28"/>
      <c r="AH1437" s="28"/>
      <c r="AI1437" s="17">
        <v>2010</v>
      </c>
      <c r="AJ1437" s="17">
        <v>1</v>
      </c>
      <c r="AK1437" s="17">
        <v>0</v>
      </c>
    </row>
    <row r="1438" spans="1:38" ht="12.75" customHeight="1">
      <c r="A1438" s="63" t="s">
        <v>1698</v>
      </c>
      <c r="B1438" s="33" t="s">
        <v>1699</v>
      </c>
      <c r="C1438" s="27">
        <v>165</v>
      </c>
      <c r="D1438" s="142" t="s">
        <v>196</v>
      </c>
      <c r="E1438" s="33">
        <v>0</v>
      </c>
      <c r="F1438" s="33" t="s">
        <v>1682</v>
      </c>
      <c r="G1438" s="33" t="s">
        <v>1649</v>
      </c>
      <c r="H1438" s="33" t="s">
        <v>1559</v>
      </c>
      <c r="I1438" s="17" t="b">
        <v>0</v>
      </c>
      <c r="J1438" s="17" t="s">
        <v>43</v>
      </c>
      <c r="K1438" s="21" t="str">
        <f t="shared" si="36"/>
        <v>https://version2.ice-d.org/antarctica/sample/GHC19-EVK-102/</v>
      </c>
      <c r="L1438" s="63" t="s">
        <v>39</v>
      </c>
      <c r="M1438" s="63" t="s">
        <v>44</v>
      </c>
      <c r="O1438" s="17" t="s">
        <v>1700</v>
      </c>
      <c r="P1438" s="22">
        <v>-74.849770000000007</v>
      </c>
      <c r="Q1438" s="22">
        <v>-100.4182</v>
      </c>
      <c r="R1438" s="22"/>
      <c r="S1438" s="22">
        <v>220</v>
      </c>
      <c r="T1438" s="22">
        <v>29</v>
      </c>
      <c r="U1438" s="23">
        <v>690</v>
      </c>
      <c r="V1438" s="24" t="s">
        <v>1913</v>
      </c>
      <c r="W1438" s="148" t="s">
        <v>2458</v>
      </c>
      <c r="X1438" s="22">
        <f t="shared" si="37"/>
        <v>191</v>
      </c>
      <c r="Z1438" s="22">
        <v>2.7</v>
      </c>
      <c r="AA1438" s="17" t="s">
        <v>73</v>
      </c>
      <c r="AB1438" s="26">
        <v>7950</v>
      </c>
      <c r="AC1438" s="26">
        <v>206</v>
      </c>
      <c r="AD1438" s="26">
        <v>513</v>
      </c>
      <c r="AE1438" s="27">
        <v>53882</v>
      </c>
      <c r="AF1438" s="27">
        <v>1394</v>
      </c>
      <c r="AG1438" s="28"/>
      <c r="AH1438" s="28"/>
      <c r="AI1438" s="17">
        <v>2019</v>
      </c>
      <c r="AJ1438" s="17">
        <v>1</v>
      </c>
      <c r="AK1438" s="34">
        <v>0</v>
      </c>
    </row>
    <row r="1439" spans="1:38" ht="12.75" customHeight="1">
      <c r="A1439" s="63" t="s">
        <v>1701</v>
      </c>
      <c r="B1439" s="33" t="s">
        <v>1699</v>
      </c>
      <c r="C1439" s="27">
        <v>165</v>
      </c>
      <c r="D1439" s="142" t="s">
        <v>196</v>
      </c>
      <c r="E1439" s="33">
        <v>0</v>
      </c>
      <c r="F1439" s="33" t="s">
        <v>1682</v>
      </c>
      <c r="G1439" s="33" t="s">
        <v>1649</v>
      </c>
      <c r="H1439" s="33" t="s">
        <v>1559</v>
      </c>
      <c r="I1439" s="17" t="b">
        <v>0</v>
      </c>
      <c r="J1439" s="17" t="s">
        <v>43</v>
      </c>
      <c r="K1439" s="21" t="str">
        <f t="shared" si="36"/>
        <v>https://version2.ice-d.org/antarctica/sample/GHC19-EVK-103/</v>
      </c>
      <c r="L1439" s="63" t="s">
        <v>39</v>
      </c>
      <c r="M1439" s="63"/>
      <c r="O1439" s="17" t="s">
        <v>1700</v>
      </c>
      <c r="P1439" s="22">
        <v>-74.848290000000006</v>
      </c>
      <c r="Q1439" s="22">
        <v>-100.4105</v>
      </c>
      <c r="R1439" s="22"/>
      <c r="S1439" s="22">
        <v>190</v>
      </c>
      <c r="T1439" s="22">
        <v>29</v>
      </c>
      <c r="U1439" s="23">
        <v>690</v>
      </c>
      <c r="V1439" s="24" t="s">
        <v>1914</v>
      </c>
      <c r="W1439" s="148" t="s">
        <v>2458</v>
      </c>
      <c r="X1439" s="22">
        <f t="shared" si="37"/>
        <v>161</v>
      </c>
      <c r="Z1439" s="22">
        <v>2.7</v>
      </c>
      <c r="AA1439" s="17" t="s">
        <v>51</v>
      </c>
      <c r="AB1439" s="26">
        <v>7402</v>
      </c>
      <c r="AC1439" s="26">
        <v>298</v>
      </c>
      <c r="AD1439" s="26">
        <v>529</v>
      </c>
      <c r="AE1439" s="27">
        <v>49256</v>
      </c>
      <c r="AF1439" s="27">
        <v>1704</v>
      </c>
      <c r="AG1439" s="28"/>
      <c r="AH1439" s="28"/>
      <c r="AI1439" s="17">
        <v>2019</v>
      </c>
      <c r="AJ1439" s="17">
        <v>1</v>
      </c>
      <c r="AK1439" s="34">
        <v>0</v>
      </c>
    </row>
    <row r="1440" spans="1:38" ht="12.75" customHeight="1">
      <c r="A1440" s="63" t="s">
        <v>1701</v>
      </c>
      <c r="B1440" s="33" t="s">
        <v>1699</v>
      </c>
      <c r="C1440" s="27">
        <v>165</v>
      </c>
      <c r="D1440" s="142" t="s">
        <v>196</v>
      </c>
      <c r="E1440" s="33">
        <v>0</v>
      </c>
      <c r="F1440" s="33" t="s">
        <v>1682</v>
      </c>
      <c r="G1440" s="33" t="s">
        <v>1649</v>
      </c>
      <c r="H1440" s="33" t="s">
        <v>1559</v>
      </c>
      <c r="I1440" s="17" t="b">
        <v>0</v>
      </c>
      <c r="J1440" s="17" t="s">
        <v>43</v>
      </c>
      <c r="K1440" s="21" t="str">
        <f t="shared" si="36"/>
        <v>https://version2.ice-d.org/antarctica/sample/GHC19-EVK-103/</v>
      </c>
      <c r="L1440" s="63" t="s">
        <v>39</v>
      </c>
      <c r="M1440" s="63"/>
      <c r="O1440" s="17" t="s">
        <v>1700</v>
      </c>
      <c r="P1440" s="22">
        <v>-74.848290000000006</v>
      </c>
      <c r="Q1440" s="22">
        <v>-100.4105</v>
      </c>
      <c r="R1440" s="22"/>
      <c r="S1440" s="22">
        <v>190</v>
      </c>
      <c r="T1440" s="22">
        <v>29</v>
      </c>
      <c r="U1440" s="23">
        <v>690</v>
      </c>
      <c r="V1440" s="24" t="s">
        <v>1915</v>
      </c>
      <c r="W1440" s="148" t="s">
        <v>2458</v>
      </c>
      <c r="X1440" s="22">
        <f t="shared" si="37"/>
        <v>161</v>
      </c>
      <c r="Z1440" s="22">
        <v>2.7</v>
      </c>
      <c r="AA1440" s="17" t="s">
        <v>51</v>
      </c>
      <c r="AB1440" s="26">
        <v>7417</v>
      </c>
      <c r="AC1440" s="26">
        <v>257</v>
      </c>
      <c r="AD1440" s="26">
        <v>508</v>
      </c>
      <c r="AE1440" s="27">
        <v>49256</v>
      </c>
      <c r="AF1440" s="27">
        <v>1704</v>
      </c>
      <c r="AG1440" s="28"/>
      <c r="AH1440" s="28"/>
      <c r="AI1440" s="17">
        <v>2019</v>
      </c>
      <c r="AJ1440" s="17">
        <v>1</v>
      </c>
      <c r="AK1440" s="34">
        <v>0</v>
      </c>
    </row>
    <row r="1441" spans="1:38" ht="12.75" customHeight="1">
      <c r="A1441" s="63" t="s">
        <v>1702</v>
      </c>
      <c r="B1441" s="33" t="s">
        <v>1699</v>
      </c>
      <c r="C1441" s="27">
        <v>165</v>
      </c>
      <c r="D1441" s="142" t="s">
        <v>196</v>
      </c>
      <c r="E1441" s="33">
        <v>0</v>
      </c>
      <c r="F1441" s="33" t="s">
        <v>1682</v>
      </c>
      <c r="G1441" s="33" t="s">
        <v>1649</v>
      </c>
      <c r="H1441" s="33" t="s">
        <v>1559</v>
      </c>
      <c r="I1441" s="17" t="b">
        <v>0</v>
      </c>
      <c r="J1441" s="17" t="s">
        <v>43</v>
      </c>
      <c r="K1441" s="21" t="str">
        <f t="shared" si="36"/>
        <v>https://version2.ice-d.org/antarctica/sample/GHC19-EVK-104/</v>
      </c>
      <c r="L1441" s="63" t="s">
        <v>39</v>
      </c>
      <c r="M1441" s="63"/>
      <c r="O1441" s="17" t="s">
        <v>1700</v>
      </c>
      <c r="P1441" s="22">
        <v>-74.847239999999999</v>
      </c>
      <c r="Q1441" s="22">
        <v>-100.41144</v>
      </c>
      <c r="R1441" s="22"/>
      <c r="S1441" s="22">
        <v>173</v>
      </c>
      <c r="T1441" s="22">
        <v>29</v>
      </c>
      <c r="U1441" s="23">
        <v>690</v>
      </c>
      <c r="V1441" s="24" t="s">
        <v>1916</v>
      </c>
      <c r="W1441" s="148" t="s">
        <v>2458</v>
      </c>
      <c r="X1441" s="22">
        <f t="shared" si="37"/>
        <v>144</v>
      </c>
      <c r="Z1441" s="22">
        <v>2.7</v>
      </c>
      <c r="AA1441" s="17" t="s">
        <v>73</v>
      </c>
      <c r="AB1441" s="26">
        <v>7662</v>
      </c>
      <c r="AC1441" s="26">
        <v>396</v>
      </c>
      <c r="AD1441" s="26">
        <v>602</v>
      </c>
      <c r="AE1441" s="27">
        <v>50061</v>
      </c>
      <c r="AF1441" s="27">
        <v>2583</v>
      </c>
      <c r="AG1441" s="28"/>
      <c r="AH1441" s="28"/>
      <c r="AI1441" s="17">
        <v>2019</v>
      </c>
      <c r="AJ1441" s="17">
        <v>1</v>
      </c>
      <c r="AK1441" s="34">
        <v>0</v>
      </c>
    </row>
    <row r="1442" spans="1:38" ht="12.75" customHeight="1">
      <c r="A1442" s="63" t="s">
        <v>1703</v>
      </c>
      <c r="B1442" s="33" t="s">
        <v>1699</v>
      </c>
      <c r="C1442" s="27">
        <v>165</v>
      </c>
      <c r="D1442" s="142" t="s">
        <v>196</v>
      </c>
      <c r="E1442" s="33">
        <v>0</v>
      </c>
      <c r="F1442" s="33" t="s">
        <v>1682</v>
      </c>
      <c r="G1442" s="33" t="s">
        <v>1649</v>
      </c>
      <c r="H1442" s="33" t="s">
        <v>1559</v>
      </c>
      <c r="I1442" s="17" t="b">
        <v>0</v>
      </c>
      <c r="J1442" s="17" t="s">
        <v>43</v>
      </c>
      <c r="K1442" s="21" t="str">
        <f t="shared" si="36"/>
        <v>https://version2.ice-d.org/antarctica/sample/GHC19-EVK-106/</v>
      </c>
      <c r="L1442" s="63" t="s">
        <v>39</v>
      </c>
      <c r="M1442" s="63"/>
      <c r="O1442" s="17" t="s">
        <v>1700</v>
      </c>
      <c r="P1442" s="22">
        <v>-74.85078</v>
      </c>
      <c r="Q1442" s="22">
        <v>-100.41498</v>
      </c>
      <c r="R1442" s="22"/>
      <c r="S1442" s="22">
        <v>252</v>
      </c>
      <c r="T1442" s="22">
        <v>29</v>
      </c>
      <c r="U1442" s="23">
        <v>690</v>
      </c>
      <c r="V1442" s="24" t="s">
        <v>1917</v>
      </c>
      <c r="W1442" s="148" t="s">
        <v>2458</v>
      </c>
      <c r="X1442" s="22">
        <f t="shared" si="37"/>
        <v>223</v>
      </c>
      <c r="Z1442" s="22">
        <v>2.7</v>
      </c>
      <c r="AA1442" s="17" t="s">
        <v>51</v>
      </c>
      <c r="AB1442" s="26">
        <v>7470</v>
      </c>
      <c r="AC1442" s="26">
        <v>259</v>
      </c>
      <c r="AD1442" s="26">
        <v>512</v>
      </c>
      <c r="AE1442" s="27">
        <v>52596</v>
      </c>
      <c r="AF1442" s="27">
        <v>1817</v>
      </c>
      <c r="AG1442" s="28"/>
      <c r="AH1442" s="28"/>
      <c r="AI1442" s="17">
        <v>2019</v>
      </c>
      <c r="AJ1442" s="17">
        <v>1</v>
      </c>
      <c r="AK1442" s="34">
        <v>0</v>
      </c>
    </row>
    <row r="1443" spans="1:38" ht="12.75" customHeight="1">
      <c r="A1443" s="63" t="s">
        <v>1704</v>
      </c>
      <c r="B1443" s="33" t="s">
        <v>1705</v>
      </c>
      <c r="C1443" s="27">
        <v>166</v>
      </c>
      <c r="D1443" s="142" t="s">
        <v>196</v>
      </c>
      <c r="E1443" s="33">
        <v>0</v>
      </c>
      <c r="F1443" s="33" t="s">
        <v>1682</v>
      </c>
      <c r="G1443" s="33" t="s">
        <v>1649</v>
      </c>
      <c r="H1443" s="33" t="s">
        <v>1559</v>
      </c>
      <c r="I1443" s="17" t="b">
        <v>0</v>
      </c>
      <c r="J1443" s="17" t="s">
        <v>43</v>
      </c>
      <c r="K1443" s="21" t="str">
        <f t="shared" si="36"/>
        <v>https://version2.ice-d.org/antarctica/sample/GHC19-UNN-106/</v>
      </c>
      <c r="L1443" s="63" t="s">
        <v>1104</v>
      </c>
      <c r="M1443" s="63"/>
      <c r="N1443" s="17" t="s">
        <v>39</v>
      </c>
      <c r="O1443" s="17" t="s">
        <v>1700</v>
      </c>
      <c r="P1443" s="22">
        <v>-74.861909999999995</v>
      </c>
      <c r="Q1443" s="22">
        <v>-99.777699999999996</v>
      </c>
      <c r="R1443" s="22"/>
      <c r="S1443" s="22">
        <v>476</v>
      </c>
      <c r="T1443" s="22">
        <v>389</v>
      </c>
      <c r="U1443" s="23">
        <v>690</v>
      </c>
      <c r="V1443" s="24" t="s">
        <v>1918</v>
      </c>
      <c r="W1443" s="148" t="s">
        <v>2458</v>
      </c>
      <c r="X1443" s="22">
        <f t="shared" si="37"/>
        <v>87</v>
      </c>
      <c r="Z1443" s="22">
        <v>2.7</v>
      </c>
      <c r="AA1443" s="17" t="s">
        <v>73</v>
      </c>
      <c r="AB1443" s="26">
        <v>12049</v>
      </c>
      <c r="AC1443" s="26">
        <v>396</v>
      </c>
      <c r="AD1443" s="26">
        <v>816</v>
      </c>
      <c r="AE1443" s="27">
        <v>105114</v>
      </c>
      <c r="AF1443" s="27">
        <v>3444</v>
      </c>
      <c r="AG1443" s="28"/>
      <c r="AH1443" s="28"/>
      <c r="AI1443" s="17">
        <v>2019</v>
      </c>
      <c r="AJ1443" s="17">
        <v>1</v>
      </c>
      <c r="AK1443" s="17">
        <v>1</v>
      </c>
      <c r="AL1443" s="17" t="s">
        <v>1706</v>
      </c>
    </row>
    <row r="1444" spans="1:38" ht="12.75" customHeight="1">
      <c r="A1444" s="63" t="s">
        <v>1707</v>
      </c>
      <c r="B1444" s="33" t="s">
        <v>1705</v>
      </c>
      <c r="C1444" s="27">
        <v>166</v>
      </c>
      <c r="D1444" s="142" t="s">
        <v>196</v>
      </c>
      <c r="E1444" s="33">
        <v>0</v>
      </c>
      <c r="F1444" s="33" t="s">
        <v>1682</v>
      </c>
      <c r="G1444" s="33" t="s">
        <v>1649</v>
      </c>
      <c r="H1444" s="33" t="s">
        <v>1559</v>
      </c>
      <c r="I1444" s="17" t="b">
        <v>0</v>
      </c>
      <c r="J1444" s="17" t="s">
        <v>43</v>
      </c>
      <c r="K1444" s="21" t="str">
        <f t="shared" si="36"/>
        <v>https://version2.ice-d.org/antarctica/sample/GHC19-UNN-102/</v>
      </c>
      <c r="L1444" s="63" t="s">
        <v>1104</v>
      </c>
      <c r="M1444" s="63"/>
      <c r="N1444" s="17" t="s">
        <v>39</v>
      </c>
      <c r="O1444" s="17" t="s">
        <v>1700</v>
      </c>
      <c r="P1444" s="22">
        <v>-74.86112</v>
      </c>
      <c r="Q1444" s="22">
        <v>-99.782499999999999</v>
      </c>
      <c r="R1444" s="22"/>
      <c r="S1444" s="22">
        <v>499</v>
      </c>
      <c r="T1444" s="22">
        <v>389</v>
      </c>
      <c r="U1444" s="23">
        <v>690</v>
      </c>
      <c r="V1444" s="24" t="s">
        <v>1919</v>
      </c>
      <c r="W1444" s="148" t="s">
        <v>2458</v>
      </c>
      <c r="X1444" s="22">
        <f t="shared" si="37"/>
        <v>110</v>
      </c>
      <c r="Z1444" s="22">
        <v>2.7</v>
      </c>
      <c r="AA1444" s="17" t="s">
        <v>73</v>
      </c>
      <c r="AB1444" s="26">
        <v>7065</v>
      </c>
      <c r="AC1444" s="26">
        <v>256</v>
      </c>
      <c r="AD1444" s="26">
        <v>490</v>
      </c>
      <c r="AE1444" s="27">
        <v>63161</v>
      </c>
      <c r="AF1444" s="27">
        <v>2282</v>
      </c>
      <c r="AG1444" s="28"/>
      <c r="AH1444" s="28"/>
      <c r="AI1444" s="17">
        <v>2019</v>
      </c>
      <c r="AJ1444" s="17">
        <v>1</v>
      </c>
      <c r="AK1444" s="34">
        <v>0</v>
      </c>
    </row>
    <row r="1445" spans="1:38" ht="12.75" customHeight="1">
      <c r="A1445" s="63" t="s">
        <v>1708</v>
      </c>
      <c r="B1445" s="33" t="s">
        <v>1705</v>
      </c>
      <c r="C1445" s="27">
        <v>166</v>
      </c>
      <c r="D1445" s="142" t="s">
        <v>196</v>
      </c>
      <c r="E1445" s="33">
        <v>0</v>
      </c>
      <c r="F1445" s="33" t="s">
        <v>1682</v>
      </c>
      <c r="G1445" s="33" t="s">
        <v>1649</v>
      </c>
      <c r="H1445" s="33" t="s">
        <v>1559</v>
      </c>
      <c r="I1445" s="17" t="b">
        <v>0</v>
      </c>
      <c r="J1445" s="17" t="s">
        <v>43</v>
      </c>
      <c r="K1445" s="21" t="str">
        <f t="shared" si="36"/>
        <v>https://version2.ice-d.org/antarctica/sample/GHC19-UNN-103/</v>
      </c>
      <c r="L1445" s="63" t="s">
        <v>1104</v>
      </c>
      <c r="M1445" s="63"/>
      <c r="N1445" s="17" t="s">
        <v>39</v>
      </c>
      <c r="O1445" s="17" t="s">
        <v>1700</v>
      </c>
      <c r="P1445" s="22">
        <v>-74.86139</v>
      </c>
      <c r="Q1445" s="22">
        <v>-99.780519999999996</v>
      </c>
      <c r="R1445" s="22"/>
      <c r="S1445" s="22">
        <v>500</v>
      </c>
      <c r="T1445" s="22">
        <v>389</v>
      </c>
      <c r="U1445" s="23">
        <v>690</v>
      </c>
      <c r="V1445" s="24" t="s">
        <v>1920</v>
      </c>
      <c r="W1445" s="148" t="s">
        <v>2458</v>
      </c>
      <c r="X1445" s="22">
        <f t="shared" si="37"/>
        <v>111</v>
      </c>
      <c r="Z1445" s="22">
        <v>2.7</v>
      </c>
      <c r="AA1445" s="17" t="s">
        <v>73</v>
      </c>
      <c r="AB1445" s="26">
        <v>7390</v>
      </c>
      <c r="AC1445" s="26">
        <v>183</v>
      </c>
      <c r="AD1445" s="26">
        <v>474</v>
      </c>
      <c r="AE1445" s="27">
        <v>66404</v>
      </c>
      <c r="AF1445" s="27">
        <v>1642</v>
      </c>
      <c r="AG1445" s="28"/>
      <c r="AH1445" s="28"/>
      <c r="AI1445" s="17">
        <v>2019</v>
      </c>
      <c r="AJ1445" s="17">
        <v>1</v>
      </c>
      <c r="AK1445" s="34">
        <v>0</v>
      </c>
    </row>
    <row r="1446" spans="1:38" ht="12.75" customHeight="1">
      <c r="A1446" s="63" t="s">
        <v>1709</v>
      </c>
      <c r="B1446" s="33" t="s">
        <v>1705</v>
      </c>
      <c r="C1446" s="27">
        <v>166</v>
      </c>
      <c r="D1446" s="142" t="s">
        <v>196</v>
      </c>
      <c r="E1446" s="33">
        <v>0</v>
      </c>
      <c r="F1446" s="33" t="s">
        <v>1682</v>
      </c>
      <c r="G1446" s="33" t="s">
        <v>1649</v>
      </c>
      <c r="H1446" s="33" t="s">
        <v>1559</v>
      </c>
      <c r="I1446" s="17" t="b">
        <v>0</v>
      </c>
      <c r="J1446" s="17" t="s">
        <v>43</v>
      </c>
      <c r="K1446" s="21" t="str">
        <f t="shared" si="36"/>
        <v>https://version2.ice-d.org/antarctica/sample/GHC19-UNN-105/</v>
      </c>
      <c r="L1446" s="63" t="s">
        <v>1104</v>
      </c>
      <c r="M1446" s="63"/>
      <c r="N1446" s="17" t="s">
        <v>39</v>
      </c>
      <c r="O1446" s="17" t="s">
        <v>1700</v>
      </c>
      <c r="P1446" s="22">
        <v>-74.861590000000007</v>
      </c>
      <c r="Q1446" s="22">
        <v>-99.77928</v>
      </c>
      <c r="R1446" s="22"/>
      <c r="S1446" s="22">
        <v>495</v>
      </c>
      <c r="T1446" s="22">
        <v>389</v>
      </c>
      <c r="U1446" s="23">
        <v>690</v>
      </c>
      <c r="V1446" s="24" t="s">
        <v>1921</v>
      </c>
      <c r="W1446" s="148" t="s">
        <v>2458</v>
      </c>
      <c r="X1446" s="22">
        <f t="shared" si="37"/>
        <v>106</v>
      </c>
      <c r="Z1446" s="22">
        <v>2.7</v>
      </c>
      <c r="AA1446" s="17" t="s">
        <v>73</v>
      </c>
      <c r="AB1446" s="26">
        <v>7594</v>
      </c>
      <c r="AC1446" s="26">
        <v>364</v>
      </c>
      <c r="AD1446" s="26">
        <v>578</v>
      </c>
      <c r="AE1446" s="27">
        <v>67936</v>
      </c>
      <c r="AF1446" s="27">
        <v>3246</v>
      </c>
      <c r="AG1446" s="28"/>
      <c r="AH1446" s="28"/>
      <c r="AI1446" s="17">
        <v>2019</v>
      </c>
      <c r="AJ1446" s="17">
        <v>1</v>
      </c>
      <c r="AK1446" s="34">
        <v>0</v>
      </c>
    </row>
    <row r="1447" spans="1:38" ht="12.75" customHeight="1">
      <c r="A1447" s="63" t="s">
        <v>1710</v>
      </c>
      <c r="B1447" s="33" t="s">
        <v>1705</v>
      </c>
      <c r="C1447" s="27">
        <v>166</v>
      </c>
      <c r="D1447" s="142" t="s">
        <v>196</v>
      </c>
      <c r="E1447" s="33">
        <v>0</v>
      </c>
      <c r="F1447" s="33" t="s">
        <v>1682</v>
      </c>
      <c r="G1447" s="33" t="s">
        <v>1649</v>
      </c>
      <c r="H1447" s="33" t="s">
        <v>1559</v>
      </c>
      <c r="I1447" s="17" t="b">
        <v>0</v>
      </c>
      <c r="J1447" s="17" t="s">
        <v>43</v>
      </c>
      <c r="K1447" s="21" t="str">
        <f t="shared" si="36"/>
        <v>https://version2.ice-d.org/antarctica/sample/GHC19-UNN-109/</v>
      </c>
      <c r="L1447" s="63" t="s">
        <v>1104</v>
      </c>
      <c r="M1447" s="63"/>
      <c r="N1447" s="17" t="s">
        <v>39</v>
      </c>
      <c r="O1447" s="17" t="s">
        <v>1700</v>
      </c>
      <c r="P1447" s="22">
        <v>-74.862530000000007</v>
      </c>
      <c r="Q1447" s="22">
        <v>-99.772440000000003</v>
      </c>
      <c r="R1447" s="22"/>
      <c r="S1447" s="22">
        <v>445</v>
      </c>
      <c r="T1447" s="22">
        <v>389</v>
      </c>
      <c r="U1447" s="23">
        <v>690</v>
      </c>
      <c r="V1447" s="24" t="s">
        <v>1922</v>
      </c>
      <c r="W1447" s="148" t="s">
        <v>2458</v>
      </c>
      <c r="X1447" s="22">
        <f t="shared" si="37"/>
        <v>56</v>
      </c>
      <c r="Z1447" s="22">
        <v>2.7</v>
      </c>
      <c r="AA1447" s="17" t="s">
        <v>73</v>
      </c>
      <c r="AB1447" s="26">
        <v>6897</v>
      </c>
      <c r="AC1447" s="26">
        <v>246</v>
      </c>
      <c r="AD1447" s="26">
        <v>476</v>
      </c>
      <c r="AE1447" s="27">
        <v>56252</v>
      </c>
      <c r="AF1447" s="27">
        <v>2001</v>
      </c>
      <c r="AG1447" s="28"/>
      <c r="AH1447" s="28"/>
      <c r="AI1447" s="17">
        <v>2019</v>
      </c>
      <c r="AJ1447" s="17">
        <v>1</v>
      </c>
      <c r="AK1447" s="34">
        <v>0</v>
      </c>
    </row>
    <row r="1448" spans="1:38" ht="12.75" customHeight="1">
      <c r="A1448" s="63" t="s">
        <v>1711</v>
      </c>
      <c r="B1448" s="33" t="s">
        <v>1705</v>
      </c>
      <c r="C1448" s="27">
        <v>166</v>
      </c>
      <c r="D1448" s="142" t="s">
        <v>196</v>
      </c>
      <c r="E1448" s="33">
        <v>0</v>
      </c>
      <c r="F1448" s="33" t="s">
        <v>1682</v>
      </c>
      <c r="G1448" s="33" t="s">
        <v>1649</v>
      </c>
      <c r="H1448" s="33" t="s">
        <v>1559</v>
      </c>
      <c r="I1448" s="17" t="b">
        <v>0</v>
      </c>
      <c r="J1448" s="17" t="s">
        <v>43</v>
      </c>
      <c r="K1448" s="21" t="str">
        <f t="shared" si="36"/>
        <v>https://version2.ice-d.org/antarctica/sample/GHC19-UNN-110/</v>
      </c>
      <c r="L1448" s="63" t="s">
        <v>1104</v>
      </c>
      <c r="M1448" s="63"/>
      <c r="N1448" s="17" t="s">
        <v>39</v>
      </c>
      <c r="O1448" s="17" t="s">
        <v>1700</v>
      </c>
      <c r="P1448" s="22">
        <v>-74.858909999999995</v>
      </c>
      <c r="Q1448" s="22">
        <v>-99.786479999999997</v>
      </c>
      <c r="R1448" s="22"/>
      <c r="S1448" s="22">
        <v>493</v>
      </c>
      <c r="T1448" s="22">
        <v>389</v>
      </c>
      <c r="U1448" s="23">
        <v>690</v>
      </c>
      <c r="V1448" s="24" t="s">
        <v>1923</v>
      </c>
      <c r="W1448" s="148" t="s">
        <v>2458</v>
      </c>
      <c r="X1448" s="22">
        <f t="shared" si="37"/>
        <v>104</v>
      </c>
      <c r="Z1448" s="22">
        <v>2.7</v>
      </c>
      <c r="AA1448" s="17" t="s">
        <v>73</v>
      </c>
      <c r="AB1448" s="26">
        <v>7301</v>
      </c>
      <c r="AC1448" s="26">
        <v>193</v>
      </c>
      <c r="AD1448" s="26">
        <v>473</v>
      </c>
      <c r="AE1448" s="27">
        <v>64566</v>
      </c>
      <c r="AF1448" s="27">
        <v>1701</v>
      </c>
      <c r="AG1448" s="28"/>
      <c r="AH1448" s="28"/>
      <c r="AI1448" s="17">
        <v>2019</v>
      </c>
      <c r="AJ1448" s="17">
        <v>1</v>
      </c>
      <c r="AK1448" s="34">
        <v>0</v>
      </c>
    </row>
    <row r="1449" spans="1:38" ht="12.75" customHeight="1">
      <c r="A1449" s="63" t="s">
        <v>1712</v>
      </c>
      <c r="B1449" s="33" t="s">
        <v>1705</v>
      </c>
      <c r="C1449" s="27">
        <v>166</v>
      </c>
      <c r="D1449" s="142" t="s">
        <v>196</v>
      </c>
      <c r="E1449" s="33">
        <v>0</v>
      </c>
      <c r="F1449" s="33" t="s">
        <v>1682</v>
      </c>
      <c r="G1449" s="33" t="s">
        <v>1649</v>
      </c>
      <c r="H1449" s="33" t="s">
        <v>1559</v>
      </c>
      <c r="I1449" s="17" t="b">
        <v>0</v>
      </c>
      <c r="J1449" s="17" t="s">
        <v>43</v>
      </c>
      <c r="K1449" s="21" t="str">
        <f t="shared" si="36"/>
        <v>https://version2.ice-d.org/antarctica/sample/GHC19-UNN-111/</v>
      </c>
      <c r="L1449" s="63" t="s">
        <v>1104</v>
      </c>
      <c r="M1449" s="63"/>
      <c r="N1449" s="17" t="s">
        <v>39</v>
      </c>
      <c r="O1449" s="17" t="s">
        <v>1700</v>
      </c>
      <c r="P1449" s="22">
        <v>-74.858909999999995</v>
      </c>
      <c r="Q1449" s="22">
        <v>-99.786479999999997</v>
      </c>
      <c r="R1449" s="22"/>
      <c r="S1449" s="22">
        <v>493</v>
      </c>
      <c r="T1449" s="22">
        <v>389</v>
      </c>
      <c r="U1449" s="23">
        <v>690</v>
      </c>
      <c r="V1449" s="24" t="s">
        <v>1924</v>
      </c>
      <c r="W1449" s="148" t="s">
        <v>2458</v>
      </c>
      <c r="X1449" s="22">
        <f t="shared" si="37"/>
        <v>104</v>
      </c>
      <c r="Z1449" s="22">
        <v>2.7</v>
      </c>
      <c r="AA1449" s="17" t="s">
        <v>73</v>
      </c>
      <c r="AB1449" s="26">
        <v>7307</v>
      </c>
      <c r="AC1449" s="26">
        <v>259</v>
      </c>
      <c r="AD1449" s="26">
        <v>504</v>
      </c>
      <c r="AE1449" s="27">
        <v>65090</v>
      </c>
      <c r="AF1449" s="27">
        <v>2301</v>
      </c>
      <c r="AG1449" s="28"/>
      <c r="AH1449" s="28"/>
      <c r="AI1449" s="17">
        <v>2019</v>
      </c>
      <c r="AJ1449" s="17">
        <v>1</v>
      </c>
      <c r="AK1449" s="34">
        <v>0</v>
      </c>
    </row>
    <row r="1450" spans="1:38" ht="12.75" customHeight="1">
      <c r="A1450" s="63" t="s">
        <v>1713</v>
      </c>
      <c r="B1450" s="19" t="s">
        <v>1714</v>
      </c>
      <c r="C1450" s="27">
        <v>167</v>
      </c>
      <c r="D1450" s="142" t="s">
        <v>196</v>
      </c>
      <c r="E1450" s="33">
        <v>0</v>
      </c>
      <c r="F1450" s="33" t="s">
        <v>1682</v>
      </c>
      <c r="G1450" s="33" t="s">
        <v>1649</v>
      </c>
      <c r="H1450" s="33" t="s">
        <v>1559</v>
      </c>
      <c r="I1450" s="17" t="b">
        <v>0</v>
      </c>
      <c r="J1450" s="17" t="s">
        <v>43</v>
      </c>
      <c r="K1450" s="21" t="str">
        <f t="shared" si="36"/>
        <v>https://version2.ice-d.org/antarctica/sample/GHC19-MEY-102/</v>
      </c>
      <c r="L1450" s="63" t="s">
        <v>39</v>
      </c>
      <c r="M1450" s="63"/>
      <c r="O1450" s="17" t="s">
        <v>1700</v>
      </c>
      <c r="P1450" s="22">
        <v>-74.90531</v>
      </c>
      <c r="Q1450" s="22">
        <v>-98.75</v>
      </c>
      <c r="R1450" s="22"/>
      <c r="S1450" s="22">
        <v>609</v>
      </c>
      <c r="T1450" s="22">
        <v>547</v>
      </c>
      <c r="U1450" s="23">
        <v>690</v>
      </c>
      <c r="V1450" s="24" t="s">
        <v>1925</v>
      </c>
      <c r="W1450" s="148" t="s">
        <v>2458</v>
      </c>
      <c r="X1450" s="22">
        <f t="shared" si="37"/>
        <v>62</v>
      </c>
      <c r="Z1450" s="22">
        <v>2.7</v>
      </c>
      <c r="AA1450" s="17" t="s">
        <v>73</v>
      </c>
      <c r="AB1450" s="26">
        <v>10010</v>
      </c>
      <c r="AC1450" s="26">
        <v>471</v>
      </c>
      <c r="AD1450" s="26">
        <v>757</v>
      </c>
      <c r="AE1450" s="27">
        <v>99703</v>
      </c>
      <c r="AF1450" s="27">
        <v>4679</v>
      </c>
      <c r="AG1450" s="28"/>
      <c r="AH1450" s="28"/>
      <c r="AI1450" s="17">
        <v>2019</v>
      </c>
      <c r="AJ1450" s="17">
        <v>1</v>
      </c>
      <c r="AK1450" s="17">
        <v>1</v>
      </c>
      <c r="AL1450" s="17" t="s">
        <v>1706</v>
      </c>
    </row>
    <row r="1451" spans="1:38" ht="12.75" customHeight="1">
      <c r="A1451" s="63" t="s">
        <v>1715</v>
      </c>
      <c r="B1451" s="19" t="s">
        <v>1714</v>
      </c>
      <c r="C1451" s="27">
        <v>167</v>
      </c>
      <c r="D1451" s="142" t="s">
        <v>196</v>
      </c>
      <c r="E1451" s="33">
        <v>0</v>
      </c>
      <c r="F1451" s="33" t="s">
        <v>1682</v>
      </c>
      <c r="G1451" s="33" t="s">
        <v>1649</v>
      </c>
      <c r="H1451" s="33" t="s">
        <v>1559</v>
      </c>
      <c r="I1451" s="17" t="b">
        <v>0</v>
      </c>
      <c r="J1451" s="17" t="s">
        <v>43</v>
      </c>
      <c r="K1451" s="21" t="str">
        <f t="shared" si="36"/>
        <v>https://version2.ice-d.org/antarctica/sample/GHC19-MEY-101/</v>
      </c>
      <c r="L1451" s="63" t="s">
        <v>39</v>
      </c>
      <c r="M1451" s="63"/>
      <c r="O1451" s="17" t="s">
        <v>1700</v>
      </c>
      <c r="P1451" s="22">
        <v>-74.905379999999994</v>
      </c>
      <c r="Q1451" s="22">
        <v>-98.753429999999994</v>
      </c>
      <c r="R1451" s="22"/>
      <c r="S1451" s="22">
        <v>621</v>
      </c>
      <c r="T1451" s="22">
        <v>547</v>
      </c>
      <c r="U1451" s="23">
        <v>690</v>
      </c>
      <c r="V1451" s="24" t="s">
        <v>1926</v>
      </c>
      <c r="W1451" s="148" t="s">
        <v>2458</v>
      </c>
      <c r="X1451" s="22">
        <f t="shared" si="37"/>
        <v>74</v>
      </c>
      <c r="Z1451" s="22">
        <v>2.7</v>
      </c>
      <c r="AA1451" s="17" t="s">
        <v>73</v>
      </c>
      <c r="AB1451" s="26">
        <v>7343</v>
      </c>
      <c r="AC1451" s="26">
        <v>204</v>
      </c>
      <c r="AD1451" s="26">
        <v>479</v>
      </c>
      <c r="AE1451" s="27">
        <v>73350</v>
      </c>
      <c r="AF1451" s="27">
        <v>2031</v>
      </c>
      <c r="AG1451" s="28"/>
      <c r="AH1451" s="28"/>
      <c r="AI1451" s="17">
        <v>2019</v>
      </c>
      <c r="AJ1451" s="17">
        <v>1</v>
      </c>
      <c r="AK1451" s="34">
        <v>0</v>
      </c>
    </row>
    <row r="1452" spans="1:38" ht="12.75" customHeight="1">
      <c r="A1452" s="63" t="s">
        <v>1716</v>
      </c>
      <c r="B1452" s="19" t="s">
        <v>1714</v>
      </c>
      <c r="C1452" s="27">
        <v>167</v>
      </c>
      <c r="D1452" s="142" t="s">
        <v>196</v>
      </c>
      <c r="E1452" s="33">
        <v>0</v>
      </c>
      <c r="F1452" s="33" t="s">
        <v>1682</v>
      </c>
      <c r="G1452" s="33" t="s">
        <v>1649</v>
      </c>
      <c r="H1452" s="33" t="s">
        <v>1559</v>
      </c>
      <c r="I1452" s="17" t="b">
        <v>0</v>
      </c>
      <c r="J1452" s="17" t="s">
        <v>43</v>
      </c>
      <c r="K1452" s="21" t="str">
        <f t="shared" si="36"/>
        <v>https://version2.ice-d.org/antarctica/sample/GHC19-MEY-103/</v>
      </c>
      <c r="L1452" s="63" t="s">
        <v>39</v>
      </c>
      <c r="M1452" s="63"/>
      <c r="O1452" s="17" t="s">
        <v>1700</v>
      </c>
      <c r="P1452" s="22">
        <v>-74.905190000000005</v>
      </c>
      <c r="Q1452" s="22">
        <v>-98.750579999999999</v>
      </c>
      <c r="R1452" s="22"/>
      <c r="S1452" s="22">
        <v>610</v>
      </c>
      <c r="T1452" s="22">
        <v>547</v>
      </c>
      <c r="U1452" s="23">
        <v>690</v>
      </c>
      <c r="V1452" s="24" t="s">
        <v>1927</v>
      </c>
      <c r="W1452" s="148" t="s">
        <v>2458</v>
      </c>
      <c r="X1452" s="22">
        <f t="shared" si="37"/>
        <v>63</v>
      </c>
      <c r="Z1452" s="22">
        <v>2.7</v>
      </c>
      <c r="AA1452" s="17" t="s">
        <v>73</v>
      </c>
      <c r="AB1452" s="26">
        <v>7266</v>
      </c>
      <c r="AC1452" s="26">
        <v>190</v>
      </c>
      <c r="AD1452" s="26">
        <v>469</v>
      </c>
      <c r="AE1452" s="27">
        <v>72235</v>
      </c>
      <c r="AF1452" s="27">
        <v>1882</v>
      </c>
      <c r="AG1452" s="28"/>
      <c r="AH1452" s="28"/>
      <c r="AI1452" s="17">
        <v>2019</v>
      </c>
      <c r="AJ1452" s="17">
        <v>1</v>
      </c>
      <c r="AK1452" s="34">
        <v>0</v>
      </c>
    </row>
    <row r="1453" spans="1:38" ht="12.75" customHeight="1">
      <c r="A1453" s="63" t="s">
        <v>1717</v>
      </c>
      <c r="B1453" s="19" t="s">
        <v>1714</v>
      </c>
      <c r="C1453" s="27">
        <v>167</v>
      </c>
      <c r="D1453" s="142" t="s">
        <v>196</v>
      </c>
      <c r="E1453" s="33">
        <v>0</v>
      </c>
      <c r="F1453" s="33" t="s">
        <v>1682</v>
      </c>
      <c r="G1453" s="33" t="s">
        <v>1649</v>
      </c>
      <c r="H1453" s="33" t="s">
        <v>1559</v>
      </c>
      <c r="I1453" s="17" t="b">
        <v>0</v>
      </c>
      <c r="J1453" s="17" t="s">
        <v>43</v>
      </c>
      <c r="K1453" s="21" t="str">
        <f t="shared" si="36"/>
        <v>https://version2.ice-d.org/antarctica/sample/GHC19-MEY-105/</v>
      </c>
      <c r="L1453" s="63" t="s">
        <v>39</v>
      </c>
      <c r="M1453" s="63"/>
      <c r="O1453" s="17" t="s">
        <v>1700</v>
      </c>
      <c r="P1453" s="22">
        <v>-74.905240000000006</v>
      </c>
      <c r="Q1453" s="22">
        <v>-98.74776</v>
      </c>
      <c r="R1453" s="22"/>
      <c r="S1453" s="22">
        <v>593</v>
      </c>
      <c r="T1453" s="22">
        <v>547</v>
      </c>
      <c r="U1453" s="23">
        <v>690</v>
      </c>
      <c r="V1453" s="24" t="s">
        <v>1928</v>
      </c>
      <c r="W1453" s="148" t="s">
        <v>2458</v>
      </c>
      <c r="X1453" s="22">
        <f t="shared" si="37"/>
        <v>46</v>
      </c>
      <c r="Z1453" s="22">
        <v>2.7</v>
      </c>
      <c r="AA1453" s="17" t="s">
        <v>73</v>
      </c>
      <c r="AB1453" s="26">
        <v>6398</v>
      </c>
      <c r="AC1453" s="26">
        <v>177</v>
      </c>
      <c r="AD1453" s="26">
        <v>417</v>
      </c>
      <c r="AE1453" s="27">
        <v>62036</v>
      </c>
      <c r="AF1453" s="27">
        <v>1713</v>
      </c>
      <c r="AG1453" s="28"/>
      <c r="AH1453" s="28"/>
      <c r="AI1453" s="17">
        <v>2019</v>
      </c>
      <c r="AJ1453" s="17">
        <v>1</v>
      </c>
      <c r="AK1453" s="34">
        <v>0</v>
      </c>
    </row>
    <row r="1454" spans="1:38" ht="12.75" customHeight="1">
      <c r="A1454" s="63" t="s">
        <v>1718</v>
      </c>
      <c r="B1454" s="33" t="s">
        <v>1719</v>
      </c>
      <c r="C1454" s="27">
        <v>168</v>
      </c>
      <c r="D1454" s="142" t="s">
        <v>196</v>
      </c>
      <c r="E1454" s="33">
        <v>0</v>
      </c>
      <c r="F1454" s="33" t="s">
        <v>1682</v>
      </c>
      <c r="G1454" s="33" t="s">
        <v>1649</v>
      </c>
      <c r="H1454" s="33" t="s">
        <v>1559</v>
      </c>
      <c r="I1454" s="17" t="b">
        <v>0</v>
      </c>
      <c r="J1454" s="17" t="s">
        <v>43</v>
      </c>
      <c r="K1454" s="21" t="str">
        <f t="shared" si="36"/>
        <v>https://version2.ice-d.org/antarctica/sample/GHC19-SHD-102/</v>
      </c>
      <c r="L1454" s="63" t="s">
        <v>39</v>
      </c>
      <c r="M1454" s="63"/>
      <c r="O1454" s="17" t="s">
        <v>1700</v>
      </c>
      <c r="P1454" s="22">
        <v>-74.882260000000002</v>
      </c>
      <c r="Q1454" s="22">
        <v>-99.537549999999996</v>
      </c>
      <c r="R1454" s="22"/>
      <c r="S1454" s="22">
        <v>510</v>
      </c>
      <c r="T1454" s="22">
        <v>303</v>
      </c>
      <c r="U1454" s="23">
        <v>690</v>
      </c>
      <c r="V1454" s="24" t="s">
        <v>1929</v>
      </c>
      <c r="W1454" s="148" t="s">
        <v>2458</v>
      </c>
      <c r="X1454" s="22">
        <f t="shared" si="37"/>
        <v>207</v>
      </c>
      <c r="Z1454" s="22">
        <v>2.7</v>
      </c>
      <c r="AA1454" s="17" t="s">
        <v>73</v>
      </c>
      <c r="AB1454" s="26">
        <v>5969</v>
      </c>
      <c r="AC1454" s="26">
        <v>174</v>
      </c>
      <c r="AD1454" s="26">
        <v>394</v>
      </c>
      <c r="AE1454" s="27">
        <v>52781</v>
      </c>
      <c r="AF1454" s="27">
        <v>1539</v>
      </c>
      <c r="AG1454" s="28"/>
      <c r="AH1454" s="28"/>
      <c r="AI1454" s="17">
        <v>2019</v>
      </c>
      <c r="AJ1454" s="17">
        <v>1</v>
      </c>
      <c r="AK1454" s="34">
        <v>0</v>
      </c>
    </row>
    <row r="1455" spans="1:38" ht="12.75" customHeight="1">
      <c r="A1455" s="63" t="s">
        <v>1720</v>
      </c>
      <c r="B1455" s="33" t="s">
        <v>1719</v>
      </c>
      <c r="C1455" s="27">
        <v>168</v>
      </c>
      <c r="D1455" s="142" t="s">
        <v>196</v>
      </c>
      <c r="E1455" s="33">
        <v>0</v>
      </c>
      <c r="F1455" s="33" t="s">
        <v>1682</v>
      </c>
      <c r="G1455" s="33" t="s">
        <v>1649</v>
      </c>
      <c r="H1455" s="33" t="s">
        <v>1559</v>
      </c>
      <c r="I1455" s="17" t="b">
        <v>0</v>
      </c>
      <c r="J1455" s="17" t="s">
        <v>43</v>
      </c>
      <c r="K1455" s="21" t="str">
        <f t="shared" si="36"/>
        <v>https://version2.ice-d.org/antarctica/sample/GHC19-SHD-103/</v>
      </c>
      <c r="L1455" s="63" t="s">
        <v>39</v>
      </c>
      <c r="M1455" s="63"/>
      <c r="O1455" s="17" t="s">
        <v>1700</v>
      </c>
      <c r="P1455" s="22">
        <v>-74.882249999999999</v>
      </c>
      <c r="Q1455" s="22">
        <v>-99.537319999999994</v>
      </c>
      <c r="R1455" s="22"/>
      <c r="S1455" s="22">
        <v>512</v>
      </c>
      <c r="T1455" s="22">
        <v>303</v>
      </c>
      <c r="U1455" s="23">
        <v>690</v>
      </c>
      <c r="V1455" s="24" t="s">
        <v>1930</v>
      </c>
      <c r="W1455" s="148" t="s">
        <v>2458</v>
      </c>
      <c r="X1455" s="22">
        <f t="shared" si="37"/>
        <v>209</v>
      </c>
      <c r="Z1455" s="22">
        <v>2.7</v>
      </c>
      <c r="AA1455" s="17" t="s">
        <v>73</v>
      </c>
      <c r="AB1455" s="26">
        <v>5878</v>
      </c>
      <c r="AC1455" s="26">
        <v>169</v>
      </c>
      <c r="AD1455" s="26">
        <v>386</v>
      </c>
      <c r="AE1455" s="27">
        <v>52059</v>
      </c>
      <c r="AF1455" s="27">
        <v>1491</v>
      </c>
      <c r="AG1455" s="28"/>
      <c r="AH1455" s="28"/>
      <c r="AI1455" s="17">
        <v>2019</v>
      </c>
      <c r="AJ1455" s="17">
        <v>1</v>
      </c>
      <c r="AK1455" s="34">
        <v>0</v>
      </c>
    </row>
    <row r="1456" spans="1:38" ht="14.25" customHeight="1">
      <c r="A1456" s="63" t="s">
        <v>1721</v>
      </c>
      <c r="B1456" s="33" t="s">
        <v>1719</v>
      </c>
      <c r="C1456" s="27">
        <v>168</v>
      </c>
      <c r="D1456" s="142" t="s">
        <v>196</v>
      </c>
      <c r="E1456" s="33">
        <v>0</v>
      </c>
      <c r="F1456" s="33" t="s">
        <v>1682</v>
      </c>
      <c r="G1456" s="33" t="s">
        <v>1649</v>
      </c>
      <c r="H1456" s="33" t="s">
        <v>1559</v>
      </c>
      <c r="I1456" s="17" t="b">
        <v>0</v>
      </c>
      <c r="J1456" s="17" t="s">
        <v>43</v>
      </c>
      <c r="K1456" s="21" t="str">
        <f t="shared" si="36"/>
        <v>https://version2.ice-d.org/antarctica/sample/GHC19-SHD-104/</v>
      </c>
      <c r="L1456" s="63" t="s">
        <v>39</v>
      </c>
      <c r="M1456" s="63"/>
      <c r="O1456" s="17" t="s">
        <v>1700</v>
      </c>
      <c r="P1456" s="22">
        <v>-74.882300000000001</v>
      </c>
      <c r="Q1456" s="22">
        <v>-99.536010000000005</v>
      </c>
      <c r="R1456" s="22"/>
      <c r="S1456" s="22">
        <v>523</v>
      </c>
      <c r="T1456" s="22">
        <v>303</v>
      </c>
      <c r="U1456" s="23">
        <v>690</v>
      </c>
      <c r="V1456" s="24" t="s">
        <v>1931</v>
      </c>
      <c r="W1456" s="148" t="s">
        <v>2458</v>
      </c>
      <c r="X1456" s="22">
        <f t="shared" si="37"/>
        <v>220</v>
      </c>
      <c r="Z1456" s="22">
        <v>2.7</v>
      </c>
      <c r="AA1456" s="17" t="s">
        <v>73</v>
      </c>
      <c r="AB1456" s="26">
        <v>7310</v>
      </c>
      <c r="AC1456" s="26">
        <v>211</v>
      </c>
      <c r="AD1456" s="26">
        <v>481</v>
      </c>
      <c r="AE1456" s="27">
        <v>66671</v>
      </c>
      <c r="AF1456" s="27">
        <v>1917</v>
      </c>
      <c r="AG1456" s="28"/>
      <c r="AH1456" s="28"/>
      <c r="AI1456" s="17">
        <v>2019</v>
      </c>
      <c r="AJ1456" s="17">
        <v>1</v>
      </c>
      <c r="AK1456" s="34">
        <v>0</v>
      </c>
    </row>
    <row r="1457" spans="1:37" ht="12.75" customHeight="1">
      <c r="A1457" s="63" t="s">
        <v>1722</v>
      </c>
      <c r="B1457" s="33" t="s">
        <v>1719</v>
      </c>
      <c r="C1457" s="27">
        <v>168</v>
      </c>
      <c r="D1457" s="142" t="s">
        <v>196</v>
      </c>
      <c r="E1457" s="33">
        <v>0</v>
      </c>
      <c r="F1457" s="33" t="s">
        <v>1682</v>
      </c>
      <c r="G1457" s="33" t="s">
        <v>1649</v>
      </c>
      <c r="H1457" s="33" t="s">
        <v>1559</v>
      </c>
      <c r="I1457" s="17" t="b">
        <v>0</v>
      </c>
      <c r="J1457" s="17" t="s">
        <v>43</v>
      </c>
      <c r="K1457" s="21" t="str">
        <f t="shared" si="36"/>
        <v>https://version2.ice-d.org/antarctica/sample/GHC19-SHD-105/</v>
      </c>
      <c r="L1457" s="63" t="s">
        <v>39</v>
      </c>
      <c r="M1457" s="63"/>
      <c r="O1457" s="17" t="s">
        <v>1700</v>
      </c>
      <c r="P1457" s="22">
        <v>-74.882320000000007</v>
      </c>
      <c r="Q1457" s="22">
        <v>-99.535740000000004</v>
      </c>
      <c r="R1457" s="22"/>
      <c r="S1457" s="22">
        <v>524</v>
      </c>
      <c r="T1457" s="22">
        <v>303</v>
      </c>
      <c r="U1457" s="23">
        <v>690</v>
      </c>
      <c r="V1457" s="24" t="s">
        <v>1932</v>
      </c>
      <c r="W1457" s="148" t="s">
        <v>2458</v>
      </c>
      <c r="X1457" s="22">
        <f t="shared" si="37"/>
        <v>221</v>
      </c>
      <c r="Z1457" s="22">
        <v>2.7</v>
      </c>
      <c r="AA1457" s="17" t="s">
        <v>73</v>
      </c>
      <c r="AB1457" s="26">
        <v>6980</v>
      </c>
      <c r="AC1457" s="26">
        <v>252</v>
      </c>
      <c r="AD1457" s="26">
        <v>483</v>
      </c>
      <c r="AE1457" s="27">
        <v>63028</v>
      </c>
      <c r="AF1457" s="27">
        <v>2268</v>
      </c>
      <c r="AG1457" s="28"/>
      <c r="AH1457" s="28"/>
      <c r="AI1457" s="17">
        <v>2019</v>
      </c>
      <c r="AJ1457" s="17">
        <v>1</v>
      </c>
      <c r="AK1457" s="34">
        <v>0</v>
      </c>
    </row>
    <row r="1458" spans="1:37" ht="12.75" customHeight="1">
      <c r="A1458" s="63" t="s">
        <v>1723</v>
      </c>
      <c r="B1458" s="33" t="s">
        <v>1719</v>
      </c>
      <c r="C1458" s="27">
        <v>168</v>
      </c>
      <c r="D1458" s="142" t="s">
        <v>196</v>
      </c>
      <c r="E1458" s="33">
        <v>0</v>
      </c>
      <c r="F1458" s="33" t="s">
        <v>1682</v>
      </c>
      <c r="G1458" s="33" t="s">
        <v>1649</v>
      </c>
      <c r="H1458" s="33" t="s">
        <v>1559</v>
      </c>
      <c r="I1458" s="17" t="b">
        <v>0</v>
      </c>
      <c r="J1458" s="17" t="s">
        <v>43</v>
      </c>
      <c r="K1458" s="21" t="str">
        <f t="shared" si="36"/>
        <v>https://version2.ice-d.org/antarctica/sample/GHC19-SHD-106/</v>
      </c>
      <c r="L1458" s="63" t="s">
        <v>39</v>
      </c>
      <c r="M1458" s="63"/>
      <c r="O1458" s="17" t="s">
        <v>1700</v>
      </c>
      <c r="P1458" s="22">
        <v>-74.882419999999996</v>
      </c>
      <c r="Q1458" s="22">
        <v>-99.534040000000005</v>
      </c>
      <c r="R1458" s="22"/>
      <c r="S1458" s="22">
        <v>533</v>
      </c>
      <c r="T1458" s="22">
        <v>303</v>
      </c>
      <c r="U1458" s="23">
        <v>690</v>
      </c>
      <c r="V1458" s="24" t="s">
        <v>1933</v>
      </c>
      <c r="W1458" s="148" t="s">
        <v>2458</v>
      </c>
      <c r="X1458" s="22">
        <f t="shared" si="37"/>
        <v>230</v>
      </c>
      <c r="Z1458" s="22">
        <v>2.7</v>
      </c>
      <c r="AA1458" s="17" t="s">
        <v>73</v>
      </c>
      <c r="AB1458" s="26">
        <v>6941</v>
      </c>
      <c r="AC1458" s="26">
        <v>185</v>
      </c>
      <c r="AD1458" s="26">
        <v>450</v>
      </c>
      <c r="AE1458" s="27">
        <v>64050</v>
      </c>
      <c r="AF1458" s="27">
        <v>1705</v>
      </c>
      <c r="AG1458" s="28"/>
      <c r="AH1458" s="28"/>
      <c r="AI1458" s="17">
        <v>2019</v>
      </c>
      <c r="AJ1458" s="17">
        <v>1</v>
      </c>
      <c r="AK1458" s="34">
        <v>0</v>
      </c>
    </row>
    <row r="1459" spans="1:37" ht="12.75" customHeight="1">
      <c r="A1459" s="63" t="s">
        <v>1724</v>
      </c>
      <c r="B1459" s="33" t="s">
        <v>1719</v>
      </c>
      <c r="C1459" s="27">
        <v>168</v>
      </c>
      <c r="D1459" s="142" t="s">
        <v>196</v>
      </c>
      <c r="E1459" s="33">
        <v>0</v>
      </c>
      <c r="F1459" s="33" t="s">
        <v>1682</v>
      </c>
      <c r="G1459" s="33" t="s">
        <v>1649</v>
      </c>
      <c r="H1459" s="33" t="s">
        <v>1559</v>
      </c>
      <c r="I1459" s="17" t="b">
        <v>0</v>
      </c>
      <c r="J1459" s="17" t="s">
        <v>43</v>
      </c>
      <c r="K1459" s="21" t="str">
        <f t="shared" si="36"/>
        <v>https://version2.ice-d.org/antarctica/sample/GHC19-SHD-107/</v>
      </c>
      <c r="L1459" s="63" t="s">
        <v>39</v>
      </c>
      <c r="M1459" s="63"/>
      <c r="O1459" s="17" t="s">
        <v>1700</v>
      </c>
      <c r="P1459" s="22">
        <v>-74.88082</v>
      </c>
      <c r="Q1459" s="22">
        <v>-99.534149999999997</v>
      </c>
      <c r="R1459" s="22"/>
      <c r="S1459" s="22">
        <v>566</v>
      </c>
      <c r="T1459" s="22">
        <v>303</v>
      </c>
      <c r="U1459" s="23">
        <v>690</v>
      </c>
      <c r="V1459" s="24" t="s">
        <v>1934</v>
      </c>
      <c r="W1459" s="148" t="s">
        <v>2458</v>
      </c>
      <c r="X1459" s="22">
        <f t="shared" si="37"/>
        <v>263</v>
      </c>
      <c r="Z1459" s="22">
        <v>2.7</v>
      </c>
      <c r="AA1459" s="17" t="s">
        <v>73</v>
      </c>
      <c r="AB1459" s="26">
        <v>7332</v>
      </c>
      <c r="AC1459" s="26">
        <v>183</v>
      </c>
      <c r="AD1459" s="26">
        <v>470</v>
      </c>
      <c r="AE1459" s="27">
        <v>70071</v>
      </c>
      <c r="AF1459" s="27">
        <v>1745</v>
      </c>
      <c r="AG1459" s="28"/>
      <c r="AH1459" s="28"/>
      <c r="AI1459" s="17">
        <v>2019</v>
      </c>
      <c r="AJ1459" s="17">
        <v>1</v>
      </c>
      <c r="AK1459" s="34">
        <v>0</v>
      </c>
    </row>
    <row r="1460" spans="1:37" ht="12.75" customHeight="1">
      <c r="A1460" s="63" t="s">
        <v>1725</v>
      </c>
      <c r="B1460" s="33" t="s">
        <v>1719</v>
      </c>
      <c r="C1460" s="27">
        <v>168</v>
      </c>
      <c r="D1460" s="142" t="s">
        <v>196</v>
      </c>
      <c r="E1460" s="33">
        <v>0</v>
      </c>
      <c r="F1460" s="33" t="s">
        <v>1682</v>
      </c>
      <c r="G1460" s="33" t="s">
        <v>1649</v>
      </c>
      <c r="H1460" s="33" t="s">
        <v>1559</v>
      </c>
      <c r="I1460" s="17" t="b">
        <v>0</v>
      </c>
      <c r="J1460" s="17" t="s">
        <v>43</v>
      </c>
      <c r="K1460" s="21" t="str">
        <f t="shared" si="36"/>
        <v>https://version2.ice-d.org/antarctica/sample/GHC19-SHD-109/</v>
      </c>
      <c r="L1460" s="63" t="s">
        <v>39</v>
      </c>
      <c r="M1460" s="63"/>
      <c r="O1460" s="17" t="s">
        <v>1700</v>
      </c>
      <c r="P1460" s="22">
        <v>-74.880269999999996</v>
      </c>
      <c r="Q1460" s="22">
        <v>-99.535349999999994</v>
      </c>
      <c r="R1460" s="22"/>
      <c r="S1460" s="22">
        <v>563</v>
      </c>
      <c r="T1460" s="22">
        <v>303</v>
      </c>
      <c r="U1460" s="23">
        <v>690</v>
      </c>
      <c r="V1460" s="24" t="s">
        <v>1935</v>
      </c>
      <c r="W1460" s="148" t="s">
        <v>2458</v>
      </c>
      <c r="X1460" s="22">
        <f t="shared" si="37"/>
        <v>260</v>
      </c>
      <c r="Z1460" s="22">
        <v>2.7</v>
      </c>
      <c r="AA1460" s="17" t="s">
        <v>73</v>
      </c>
      <c r="AB1460" s="26">
        <v>6997</v>
      </c>
      <c r="AC1460" s="26">
        <v>254</v>
      </c>
      <c r="AD1460" s="26">
        <v>485</v>
      </c>
      <c r="AE1460" s="27">
        <v>66402</v>
      </c>
      <c r="AF1460" s="27">
        <v>2404</v>
      </c>
      <c r="AG1460" s="28"/>
      <c r="AH1460" s="28"/>
      <c r="AI1460" s="17">
        <v>2019</v>
      </c>
      <c r="AJ1460" s="17">
        <v>1</v>
      </c>
      <c r="AK1460" s="34">
        <v>0</v>
      </c>
    </row>
    <row r="1461" spans="1:37" ht="12.75" customHeight="1">
      <c r="A1461" s="63" t="s">
        <v>1726</v>
      </c>
      <c r="B1461" s="19" t="s">
        <v>1727</v>
      </c>
      <c r="C1461" s="27">
        <v>169</v>
      </c>
      <c r="D1461" s="142" t="s">
        <v>196</v>
      </c>
      <c r="E1461" s="33">
        <v>0</v>
      </c>
      <c r="F1461" s="33" t="s">
        <v>1682</v>
      </c>
      <c r="G1461" s="33" t="s">
        <v>1649</v>
      </c>
      <c r="H1461" s="33" t="s">
        <v>1559</v>
      </c>
      <c r="I1461" s="17" t="b">
        <v>0</v>
      </c>
      <c r="J1461" s="17" t="s">
        <v>43</v>
      </c>
      <c r="K1461" s="21" t="str">
        <f t="shared" si="36"/>
        <v>https://version2.ice-d.org/antarctica/sample/GHC19-INM-101/</v>
      </c>
      <c r="L1461" s="63" t="s">
        <v>39</v>
      </c>
      <c r="M1461" s="63"/>
      <c r="O1461" s="17" t="s">
        <v>1700</v>
      </c>
      <c r="P1461" s="22">
        <v>-74.825100000000006</v>
      </c>
      <c r="Q1461" s="22">
        <v>-98.877120000000005</v>
      </c>
      <c r="R1461" s="22"/>
      <c r="S1461" s="22">
        <v>778</v>
      </c>
      <c r="T1461" s="22">
        <v>553</v>
      </c>
      <c r="U1461" s="23">
        <v>690</v>
      </c>
      <c r="V1461" s="24" t="s">
        <v>1936</v>
      </c>
      <c r="W1461" s="148" t="s">
        <v>2458</v>
      </c>
      <c r="X1461" s="22">
        <f t="shared" si="37"/>
        <v>225</v>
      </c>
      <c r="Z1461" s="22">
        <v>2.7</v>
      </c>
      <c r="AA1461" s="17" t="s">
        <v>51</v>
      </c>
      <c r="AB1461" s="26">
        <v>7137</v>
      </c>
      <c r="AC1461" s="26">
        <v>172</v>
      </c>
      <c r="AD1461" s="26">
        <v>456</v>
      </c>
      <c r="AE1461" s="27">
        <v>82983</v>
      </c>
      <c r="AF1461" s="27">
        <v>1998</v>
      </c>
      <c r="AG1461" s="28"/>
      <c r="AH1461" s="28"/>
      <c r="AI1461" s="17">
        <v>2019</v>
      </c>
      <c r="AJ1461" s="17">
        <v>1</v>
      </c>
      <c r="AK1461" s="34">
        <v>0</v>
      </c>
    </row>
    <row r="1462" spans="1:37" ht="12.75" customHeight="1">
      <c r="A1462" s="63" t="s">
        <v>1728</v>
      </c>
      <c r="B1462" s="19" t="s">
        <v>1727</v>
      </c>
      <c r="C1462" s="27">
        <v>169</v>
      </c>
      <c r="D1462" s="142" t="s">
        <v>196</v>
      </c>
      <c r="E1462" s="33">
        <v>0</v>
      </c>
      <c r="F1462" s="33" t="s">
        <v>1682</v>
      </c>
      <c r="G1462" s="33" t="s">
        <v>1649</v>
      </c>
      <c r="H1462" s="33" t="s">
        <v>1559</v>
      </c>
      <c r="I1462" s="17" t="b">
        <v>0</v>
      </c>
      <c r="J1462" s="17" t="s">
        <v>43</v>
      </c>
      <c r="K1462" s="21" t="str">
        <f t="shared" si="36"/>
        <v>https://version2.ice-d.org/antarctica/sample/GHC19-INM-102/</v>
      </c>
      <c r="L1462" s="63" t="s">
        <v>39</v>
      </c>
      <c r="M1462" s="63"/>
      <c r="O1462" s="17" t="s">
        <v>1700</v>
      </c>
      <c r="P1462" s="22">
        <v>-74.825029999999998</v>
      </c>
      <c r="Q1462" s="22">
        <v>-98.876959999999997</v>
      </c>
      <c r="R1462" s="22"/>
      <c r="S1462" s="22">
        <v>779</v>
      </c>
      <c r="T1462" s="22">
        <v>553</v>
      </c>
      <c r="U1462" s="23">
        <v>690</v>
      </c>
      <c r="V1462" s="24" t="s">
        <v>1937</v>
      </c>
      <c r="W1462" s="148" t="s">
        <v>2458</v>
      </c>
      <c r="X1462" s="22">
        <f t="shared" si="37"/>
        <v>226</v>
      </c>
      <c r="Z1462" s="22">
        <v>2.7</v>
      </c>
      <c r="AA1462" s="17" t="s">
        <v>51</v>
      </c>
      <c r="AB1462" s="26">
        <v>6928</v>
      </c>
      <c r="AC1462" s="26">
        <v>256</v>
      </c>
      <c r="AD1462" s="26">
        <v>483</v>
      </c>
      <c r="AE1462" s="27">
        <v>80535</v>
      </c>
      <c r="AF1462" s="27">
        <v>2974</v>
      </c>
      <c r="AG1462" s="28"/>
      <c r="AH1462" s="28"/>
      <c r="AI1462" s="17">
        <v>2019</v>
      </c>
      <c r="AJ1462" s="17">
        <v>1</v>
      </c>
      <c r="AK1462" s="34">
        <v>0</v>
      </c>
    </row>
    <row r="1463" spans="1:37" ht="12.75" customHeight="1">
      <c r="A1463" s="63" t="s">
        <v>1729</v>
      </c>
      <c r="B1463" s="19" t="s">
        <v>1727</v>
      </c>
      <c r="C1463" s="27">
        <v>169</v>
      </c>
      <c r="D1463" s="142" t="s">
        <v>196</v>
      </c>
      <c r="E1463" s="33">
        <v>0</v>
      </c>
      <c r="F1463" s="33" t="s">
        <v>1682</v>
      </c>
      <c r="G1463" s="33" t="s">
        <v>1649</v>
      </c>
      <c r="H1463" s="33" t="s">
        <v>1559</v>
      </c>
      <c r="I1463" s="17" t="b">
        <v>0</v>
      </c>
      <c r="J1463" s="17" t="s">
        <v>43</v>
      </c>
      <c r="K1463" s="21" t="str">
        <f t="shared" si="36"/>
        <v>https://version2.ice-d.org/antarctica/sample/GHC19-INM-104/</v>
      </c>
      <c r="L1463" s="63" t="s">
        <v>39</v>
      </c>
      <c r="M1463" s="63"/>
      <c r="O1463" s="17" t="s">
        <v>1700</v>
      </c>
      <c r="P1463" s="22">
        <v>-74.824780000000004</v>
      </c>
      <c r="Q1463" s="22">
        <v>-98.873919999999998</v>
      </c>
      <c r="R1463" s="22"/>
      <c r="S1463" s="22">
        <v>769</v>
      </c>
      <c r="T1463" s="22">
        <v>553</v>
      </c>
      <c r="U1463" s="23">
        <v>690</v>
      </c>
      <c r="V1463" s="24" t="s">
        <v>1938</v>
      </c>
      <c r="W1463" s="148" t="s">
        <v>2458</v>
      </c>
      <c r="X1463" s="22">
        <f t="shared" si="37"/>
        <v>216</v>
      </c>
      <c r="Z1463" s="22">
        <v>2.7</v>
      </c>
      <c r="AA1463" s="17" t="s">
        <v>73</v>
      </c>
      <c r="AB1463" s="26">
        <v>6320</v>
      </c>
      <c r="AC1463" s="26">
        <v>154</v>
      </c>
      <c r="AD1463" s="26">
        <v>404</v>
      </c>
      <c r="AE1463" s="27">
        <v>72199</v>
      </c>
      <c r="AF1463" s="27">
        <v>1752</v>
      </c>
      <c r="AG1463" s="28"/>
      <c r="AH1463" s="28"/>
      <c r="AI1463" s="17">
        <v>2019</v>
      </c>
      <c r="AJ1463" s="17">
        <v>1</v>
      </c>
      <c r="AK1463" s="34">
        <v>0</v>
      </c>
    </row>
    <row r="1464" spans="1:37" ht="12.75" customHeight="1">
      <c r="A1464" s="63" t="s">
        <v>1730</v>
      </c>
      <c r="B1464" s="19" t="s">
        <v>1727</v>
      </c>
      <c r="C1464" s="27">
        <v>169</v>
      </c>
      <c r="D1464" s="142" t="s">
        <v>196</v>
      </c>
      <c r="E1464" s="33">
        <v>0</v>
      </c>
      <c r="F1464" s="33" t="s">
        <v>1682</v>
      </c>
      <c r="G1464" s="33" t="s">
        <v>1649</v>
      </c>
      <c r="H1464" s="33" t="s">
        <v>1559</v>
      </c>
      <c r="I1464" s="17" t="b">
        <v>0</v>
      </c>
      <c r="J1464" s="17" t="s">
        <v>43</v>
      </c>
      <c r="K1464" s="21" t="str">
        <f t="shared" si="36"/>
        <v>https://version2.ice-d.org/antarctica/sample/GHC19-INM-105/</v>
      </c>
      <c r="L1464" s="63" t="s">
        <v>39</v>
      </c>
      <c r="M1464" s="63"/>
      <c r="O1464" s="17" t="s">
        <v>1700</v>
      </c>
      <c r="P1464" s="22">
        <v>-74.824770000000001</v>
      </c>
      <c r="Q1464" s="22">
        <v>-98.87379</v>
      </c>
      <c r="R1464" s="22"/>
      <c r="S1464" s="22">
        <v>769</v>
      </c>
      <c r="T1464" s="22">
        <v>553</v>
      </c>
      <c r="U1464" s="23">
        <v>690</v>
      </c>
      <c r="V1464" s="24" t="s">
        <v>1939</v>
      </c>
      <c r="W1464" s="148" t="s">
        <v>2458</v>
      </c>
      <c r="X1464" s="22">
        <f t="shared" si="37"/>
        <v>216</v>
      </c>
      <c r="Z1464" s="22">
        <v>2.7</v>
      </c>
      <c r="AA1464" s="17" t="s">
        <v>73</v>
      </c>
      <c r="AB1464" s="26">
        <v>6691</v>
      </c>
      <c r="AC1464" s="26">
        <v>170</v>
      </c>
      <c r="AD1464" s="36">
        <v>430</v>
      </c>
      <c r="AE1464" s="27">
        <v>76897</v>
      </c>
      <c r="AF1464" s="27">
        <v>2039</v>
      </c>
      <c r="AG1464" s="28"/>
      <c r="AH1464" s="28"/>
      <c r="AI1464" s="17">
        <v>2019</v>
      </c>
      <c r="AJ1464" s="17">
        <v>1</v>
      </c>
      <c r="AK1464" s="34">
        <v>0</v>
      </c>
    </row>
    <row r="1465" spans="1:37" ht="12.75" customHeight="1">
      <c r="A1465" s="63" t="s">
        <v>1730</v>
      </c>
      <c r="B1465" s="19" t="s">
        <v>1727</v>
      </c>
      <c r="C1465" s="27">
        <v>169</v>
      </c>
      <c r="D1465" s="142" t="s">
        <v>196</v>
      </c>
      <c r="E1465" s="33">
        <v>0</v>
      </c>
      <c r="F1465" s="33" t="s">
        <v>1682</v>
      </c>
      <c r="G1465" s="33" t="s">
        <v>1649</v>
      </c>
      <c r="H1465" s="33" t="s">
        <v>1559</v>
      </c>
      <c r="I1465" s="17" t="b">
        <v>0</v>
      </c>
      <c r="J1465" s="17" t="s">
        <v>43</v>
      </c>
      <c r="K1465" s="21" t="str">
        <f t="shared" si="36"/>
        <v>https://version2.ice-d.org/antarctica/sample/GHC19-INM-105/</v>
      </c>
      <c r="L1465" s="63" t="s">
        <v>39</v>
      </c>
      <c r="M1465" s="63"/>
      <c r="O1465" s="17" t="s">
        <v>1700</v>
      </c>
      <c r="P1465" s="22">
        <v>-74.824770000000001</v>
      </c>
      <c r="Q1465" s="22">
        <v>-98.87379</v>
      </c>
      <c r="R1465" s="22"/>
      <c r="S1465" s="22">
        <v>769</v>
      </c>
      <c r="T1465" s="22">
        <v>553</v>
      </c>
      <c r="U1465" s="23">
        <v>690</v>
      </c>
      <c r="V1465" s="24" t="s">
        <v>1940</v>
      </c>
      <c r="W1465" s="148" t="s">
        <v>2458</v>
      </c>
      <c r="X1465" s="22">
        <f t="shared" si="37"/>
        <v>216</v>
      </c>
      <c r="Z1465" s="22">
        <v>2.7</v>
      </c>
      <c r="AA1465" s="17" t="s">
        <v>73</v>
      </c>
      <c r="AB1465" s="26">
        <v>6730</v>
      </c>
      <c r="AC1465" s="26">
        <v>179</v>
      </c>
      <c r="AD1465" s="26">
        <v>436</v>
      </c>
      <c r="AE1465" s="27">
        <v>76897</v>
      </c>
      <c r="AF1465" s="27">
        <v>2039</v>
      </c>
      <c r="AG1465" s="28"/>
      <c r="AH1465" s="28"/>
      <c r="AI1465" s="17">
        <v>2019</v>
      </c>
      <c r="AJ1465" s="17">
        <v>1</v>
      </c>
      <c r="AK1465" s="34">
        <v>0</v>
      </c>
    </row>
    <row r="1466" spans="1:37" ht="12.75" customHeight="1">
      <c r="A1466" s="63" t="s">
        <v>1731</v>
      </c>
      <c r="B1466" s="19" t="s">
        <v>1727</v>
      </c>
      <c r="C1466" s="27">
        <v>169</v>
      </c>
      <c r="D1466" s="142" t="s">
        <v>196</v>
      </c>
      <c r="E1466" s="33">
        <v>0</v>
      </c>
      <c r="F1466" s="33" t="s">
        <v>1682</v>
      </c>
      <c r="G1466" s="33" t="s">
        <v>1649</v>
      </c>
      <c r="H1466" s="33" t="s">
        <v>1559</v>
      </c>
      <c r="I1466" s="17" t="b">
        <v>0</v>
      </c>
      <c r="J1466" s="17" t="s">
        <v>43</v>
      </c>
      <c r="K1466" s="21" t="str">
        <f t="shared" si="36"/>
        <v>https://version2.ice-d.org/antarctica/sample/GHC19-INM-106/</v>
      </c>
      <c r="L1466" s="63" t="s">
        <v>39</v>
      </c>
      <c r="M1466" s="63"/>
      <c r="O1466" s="17" t="s">
        <v>1700</v>
      </c>
      <c r="P1466" s="22">
        <v>-74.824709999999996</v>
      </c>
      <c r="Q1466" s="22">
        <v>-98.873260000000002</v>
      </c>
      <c r="R1466" s="22"/>
      <c r="S1466" s="22">
        <v>767</v>
      </c>
      <c r="T1466" s="22">
        <v>553</v>
      </c>
      <c r="U1466" s="23">
        <v>690</v>
      </c>
      <c r="V1466" s="24" t="s">
        <v>1941</v>
      </c>
      <c r="W1466" s="148" t="s">
        <v>2458</v>
      </c>
      <c r="X1466" s="22">
        <f t="shared" si="37"/>
        <v>214</v>
      </c>
      <c r="Z1466" s="22">
        <v>2.7</v>
      </c>
      <c r="AA1466" s="17" t="s">
        <v>73</v>
      </c>
      <c r="AB1466" s="26">
        <v>6420</v>
      </c>
      <c r="AC1466" s="26">
        <v>212</v>
      </c>
      <c r="AD1466" s="26">
        <v>435</v>
      </c>
      <c r="AE1466" s="27">
        <v>72708</v>
      </c>
      <c r="AF1466" s="27">
        <v>2401</v>
      </c>
      <c r="AG1466" s="28"/>
      <c r="AH1466" s="28"/>
      <c r="AI1466" s="17">
        <v>2019</v>
      </c>
      <c r="AJ1466" s="17">
        <v>1</v>
      </c>
      <c r="AK1466" s="34">
        <v>0</v>
      </c>
    </row>
  </sheetData>
  <mergeCells count="140">
    <mergeCell ref="M142:M169"/>
    <mergeCell ref="M511:M520"/>
    <mergeCell ref="M521:M533"/>
    <mergeCell ref="M534:M552"/>
    <mergeCell ref="M617:M639"/>
    <mergeCell ref="M641:M642"/>
    <mergeCell ref="M643:M645"/>
    <mergeCell ref="M646:M647"/>
    <mergeCell ref="M648:M652"/>
    <mergeCell ref="M170:M171"/>
    <mergeCell ref="M173:M187"/>
    <mergeCell ref="M188:M191"/>
    <mergeCell ref="M192:M207"/>
    <mergeCell ref="M208:M212"/>
    <mergeCell ref="M213:M214"/>
    <mergeCell ref="M215:M216"/>
    <mergeCell ref="M217:M232"/>
    <mergeCell ref="M233:M241"/>
    <mergeCell ref="M242:M248"/>
    <mergeCell ref="M249:M258"/>
    <mergeCell ref="M259:M262"/>
    <mergeCell ref="M283:M292"/>
    <mergeCell ref="M294:M304"/>
    <mergeCell ref="M305:M306"/>
    <mergeCell ref="M65:M78"/>
    <mergeCell ref="M79:M80"/>
    <mergeCell ref="M81:M85"/>
    <mergeCell ref="M87:M90"/>
    <mergeCell ref="M92:M93"/>
    <mergeCell ref="M115:M116"/>
    <mergeCell ref="M117:M126"/>
    <mergeCell ref="M127:M129"/>
    <mergeCell ref="M130:M141"/>
    <mergeCell ref="M2:M4"/>
    <mergeCell ref="M5:M7"/>
    <mergeCell ref="M8:M9"/>
    <mergeCell ref="M11:M27"/>
    <mergeCell ref="M28:M41"/>
    <mergeCell ref="M42:M45"/>
    <mergeCell ref="M46:M57"/>
    <mergeCell ref="M58:M62"/>
    <mergeCell ref="M63:M64"/>
    <mergeCell ref="M386:M388"/>
    <mergeCell ref="M389:M391"/>
    <mergeCell ref="M392:M394"/>
    <mergeCell ref="M395:M401"/>
    <mergeCell ref="M402:M413"/>
    <mergeCell ref="M414:M423"/>
    <mergeCell ref="M424:M468"/>
    <mergeCell ref="M509:M510"/>
    <mergeCell ref="M712:M723"/>
    <mergeCell ref="M725:M729"/>
    <mergeCell ref="M730:M747"/>
    <mergeCell ref="M748:M757"/>
    <mergeCell ref="M656:M663"/>
    <mergeCell ref="M664:M666"/>
    <mergeCell ref="M667:M668"/>
    <mergeCell ref="M669:M670"/>
    <mergeCell ref="M681:M708"/>
    <mergeCell ref="M653:M655"/>
    <mergeCell ref="M758:M765"/>
    <mergeCell ref="M766:M778"/>
    <mergeCell ref="M779:M783"/>
    <mergeCell ref="M1230:M1233"/>
    <mergeCell ref="M1234:M1239"/>
    <mergeCell ref="M1240:M1256"/>
    <mergeCell ref="M1257:M1261"/>
    <mergeCell ref="M1263:M1267"/>
    <mergeCell ref="M1268:M1272"/>
    <mergeCell ref="M784:M809"/>
    <mergeCell ref="M810:M812"/>
    <mergeCell ref="M813:M832"/>
    <mergeCell ref="M860:M863"/>
    <mergeCell ref="M866:M868"/>
    <mergeCell ref="M869:M872"/>
    <mergeCell ref="M879:M884"/>
    <mergeCell ref="M885:M887"/>
    <mergeCell ref="M888:M893"/>
    <mergeCell ref="M902:M903"/>
    <mergeCell ref="M904:M907"/>
    <mergeCell ref="M910:M913"/>
    <mergeCell ref="M914:M915"/>
    <mergeCell ref="M916:M920"/>
    <mergeCell ref="M921:M925"/>
    <mergeCell ref="M1273:M1277"/>
    <mergeCell ref="M1278:M1284"/>
    <mergeCell ref="M1304:M1306"/>
    <mergeCell ref="M1307:M1311"/>
    <mergeCell ref="M1312:M1316"/>
    <mergeCell ref="M1317:M1321"/>
    <mergeCell ref="M1322:M1328"/>
    <mergeCell ref="M1329:M1331"/>
    <mergeCell ref="M1332:M1335"/>
    <mergeCell ref="M1338:M1343"/>
    <mergeCell ref="M1344:M1351"/>
    <mergeCell ref="M1352:M1353"/>
    <mergeCell ref="M1354:M1358"/>
    <mergeCell ref="M1426:M1430"/>
    <mergeCell ref="M1432:M1437"/>
    <mergeCell ref="M1360:M1368"/>
    <mergeCell ref="M1373:M1381"/>
    <mergeCell ref="M1382:M1406"/>
    <mergeCell ref="M1409:M1411"/>
    <mergeCell ref="M1412:M1413"/>
    <mergeCell ref="M1420:M1421"/>
    <mergeCell ref="M1422:M1425"/>
    <mergeCell ref="M927:M931"/>
    <mergeCell ref="M932:M937"/>
    <mergeCell ref="M939:M942"/>
    <mergeCell ref="M947:M966"/>
    <mergeCell ref="M967:M980"/>
    <mergeCell ref="M981:M982"/>
    <mergeCell ref="M983:M991"/>
    <mergeCell ref="M992:M1002"/>
    <mergeCell ref="M1003:M1004"/>
    <mergeCell ref="M1005:M1023"/>
    <mergeCell ref="M1024:M1032"/>
    <mergeCell ref="M1033:M1039"/>
    <mergeCell ref="M1040:M1042"/>
    <mergeCell ref="M1043:M1045"/>
    <mergeCell ref="M1046:M1048"/>
    <mergeCell ref="M1049:M1062"/>
    <mergeCell ref="M1063:M1069"/>
    <mergeCell ref="M1074:M1083"/>
    <mergeCell ref="M1184:M1193"/>
    <mergeCell ref="M1194:M1196"/>
    <mergeCell ref="M1197:M1198"/>
    <mergeCell ref="M1199:M1208"/>
    <mergeCell ref="M1209:M1212"/>
    <mergeCell ref="M1213:M1221"/>
    <mergeCell ref="M1222:M1227"/>
    <mergeCell ref="M1092:M1095"/>
    <mergeCell ref="M1106:M1107"/>
    <mergeCell ref="M1108:M1113"/>
    <mergeCell ref="M1114:M1126"/>
    <mergeCell ref="M1127:M1141"/>
    <mergeCell ref="M1142:M1157"/>
    <mergeCell ref="M1159:M1162"/>
    <mergeCell ref="M1163:M1165"/>
    <mergeCell ref="M1166:M1183"/>
  </mergeCells>
  <phoneticPr fontId="8" type="noConversion"/>
  <conditionalFormatting sqref="A1">
    <cfRule type="colorScale" priority="1">
      <colorScale>
        <cfvo type="min"/>
        <cfvo type="max"/>
        <color rgb="FF57BB8A"/>
        <color rgb="FFFFFFFF"/>
      </colorScale>
    </cfRule>
  </conditionalFormatting>
  <hyperlinks>
    <hyperlink ref="K58" r:id="rId1" xr:uid="{00000000-0004-0000-0000-000000000000}"/>
    <hyperlink ref="K59" r:id="rId2" xr:uid="{00000000-0004-0000-0000-000001000000}"/>
    <hyperlink ref="K60" r:id="rId3" xr:uid="{00000000-0004-0000-0000-000002000000}"/>
    <hyperlink ref="K61" r:id="rId4" xr:uid="{00000000-0004-0000-0000-000003000000}"/>
    <hyperlink ref="K62" r:id="rId5" xr:uid="{00000000-0004-0000-0000-000004000000}"/>
    <hyperlink ref="K63" r:id="rId6" xr:uid="{00000000-0004-0000-0000-000005000000}"/>
    <hyperlink ref="M63" r:id="rId7" xr:uid="{00000000-0004-0000-0000-000006000000}"/>
    <hyperlink ref="K64" r:id="rId8" xr:uid="{00000000-0004-0000-0000-000007000000}"/>
    <hyperlink ref="M94" r:id="rId9" xr:uid="{00000000-0004-0000-0000-000008000000}"/>
    <hyperlink ref="O118" r:id="rId10" xr:uid="{00000000-0004-0000-0000-000009000000}"/>
    <hyperlink ref="M127" r:id="rId11" xr:uid="{00000000-0004-0000-0000-00000A000000}"/>
    <hyperlink ref="M142" r:id="rId12" xr:uid="{00000000-0004-0000-0000-00000B000000}"/>
    <hyperlink ref="M170" r:id="rId13" xr:uid="{00000000-0004-0000-0000-00000C000000}"/>
    <hyperlink ref="M249" r:id="rId14" xr:uid="{00000000-0004-0000-0000-00000D000000}"/>
    <hyperlink ref="M282" r:id="rId15" xr:uid="{00000000-0004-0000-0000-00000E000000}"/>
    <hyperlink ref="M283" r:id="rId16" xr:uid="{00000000-0004-0000-0000-00000F000000}"/>
    <hyperlink ref="K284" r:id="rId17" xr:uid="{00000000-0004-0000-0000-000010000000}"/>
    <hyperlink ref="A341" r:id="rId18" xr:uid="{00000000-0004-0000-0000-000011000000}"/>
    <hyperlink ref="A342" r:id="rId19" xr:uid="{00000000-0004-0000-0000-000012000000}"/>
    <hyperlink ref="A343" r:id="rId20" xr:uid="{00000000-0004-0000-0000-000013000000}"/>
    <hyperlink ref="A344" r:id="rId21" xr:uid="{00000000-0004-0000-0000-000014000000}"/>
    <hyperlink ref="A345" r:id="rId22" xr:uid="{00000000-0004-0000-0000-000015000000}"/>
    <hyperlink ref="A346" r:id="rId23" xr:uid="{00000000-0004-0000-0000-000016000000}"/>
    <hyperlink ref="A347" r:id="rId24" xr:uid="{00000000-0004-0000-0000-000017000000}"/>
    <hyperlink ref="A348" r:id="rId25" xr:uid="{00000000-0004-0000-0000-000018000000}"/>
    <hyperlink ref="M349" r:id="rId26" xr:uid="{00000000-0004-0000-0000-000019000000}"/>
    <hyperlink ref="M385" r:id="rId27" xr:uid="{00000000-0004-0000-0000-00001A000000}"/>
    <hyperlink ref="K386" r:id="rId28" xr:uid="{00000000-0004-0000-0000-00001B000000}"/>
    <hyperlink ref="K387" r:id="rId29" xr:uid="{00000000-0004-0000-0000-00001C000000}"/>
    <hyperlink ref="K388" r:id="rId30" xr:uid="{00000000-0004-0000-0000-00001D000000}"/>
    <hyperlink ref="M402" r:id="rId31" xr:uid="{00000000-0004-0000-0000-00001E000000}"/>
    <hyperlink ref="K414" r:id="rId32" xr:uid="{00000000-0004-0000-0000-00001F000000}"/>
    <hyperlink ref="M414" r:id="rId33" xr:uid="{00000000-0004-0000-0000-000020000000}"/>
    <hyperlink ref="K415" r:id="rId34" xr:uid="{00000000-0004-0000-0000-000021000000}"/>
    <hyperlink ref="K416" r:id="rId35" xr:uid="{00000000-0004-0000-0000-000022000000}"/>
    <hyperlink ref="K417" r:id="rId36" xr:uid="{00000000-0004-0000-0000-000023000000}"/>
    <hyperlink ref="K418" r:id="rId37" xr:uid="{00000000-0004-0000-0000-000024000000}"/>
    <hyperlink ref="K419" r:id="rId38" xr:uid="{00000000-0004-0000-0000-000025000000}"/>
    <hyperlink ref="K420" r:id="rId39" xr:uid="{00000000-0004-0000-0000-000026000000}"/>
    <hyperlink ref="K421" r:id="rId40" xr:uid="{00000000-0004-0000-0000-000027000000}"/>
    <hyperlink ref="K422" r:id="rId41" xr:uid="{00000000-0004-0000-0000-000028000000}"/>
    <hyperlink ref="K423" r:id="rId42" xr:uid="{00000000-0004-0000-0000-000029000000}"/>
    <hyperlink ref="M564" r:id="rId43" xr:uid="{00000000-0004-0000-0000-00002A000000}"/>
    <hyperlink ref="M583" r:id="rId44" xr:uid="{00000000-0004-0000-0000-00002B000000}"/>
    <hyperlink ref="K590" r:id="rId45" xr:uid="{00000000-0004-0000-0000-00002C000000}"/>
    <hyperlink ref="K591" r:id="rId46" xr:uid="{00000000-0004-0000-0000-00002D000000}"/>
    <hyperlink ref="K592" r:id="rId47" xr:uid="{00000000-0004-0000-0000-00002E000000}"/>
    <hyperlink ref="K593" r:id="rId48" xr:uid="{00000000-0004-0000-0000-00002F000000}"/>
    <hyperlink ref="K594" r:id="rId49" xr:uid="{00000000-0004-0000-0000-000030000000}"/>
    <hyperlink ref="K595" r:id="rId50" xr:uid="{00000000-0004-0000-0000-000031000000}"/>
    <hyperlink ref="K596" r:id="rId51" xr:uid="{00000000-0004-0000-0000-000032000000}"/>
    <hyperlink ref="K597" r:id="rId52" xr:uid="{00000000-0004-0000-0000-000033000000}"/>
    <hyperlink ref="M598" r:id="rId53" xr:uid="{00000000-0004-0000-0000-000034000000}"/>
    <hyperlink ref="K602" r:id="rId54" xr:uid="{00000000-0004-0000-0000-000035000000}"/>
    <hyperlink ref="K603" r:id="rId55" xr:uid="{00000000-0004-0000-0000-000036000000}"/>
    <hyperlink ref="K604" r:id="rId56" xr:uid="{00000000-0004-0000-0000-000037000000}"/>
    <hyperlink ref="K605" r:id="rId57" xr:uid="{00000000-0004-0000-0000-000038000000}"/>
    <hyperlink ref="K606" r:id="rId58" xr:uid="{00000000-0004-0000-0000-000039000000}"/>
    <hyperlink ref="K607" r:id="rId59" xr:uid="{00000000-0004-0000-0000-00003A000000}"/>
    <hyperlink ref="M669" r:id="rId60" xr:uid="{00000000-0004-0000-0000-00003B000000}"/>
    <hyperlink ref="M681" r:id="rId61" xr:uid="{00000000-0004-0000-0000-00003C000000}"/>
    <hyperlink ref="A710" r:id="rId62" xr:uid="{00000000-0004-0000-0000-00003D000000}"/>
    <hyperlink ref="A711" r:id="rId63" xr:uid="{00000000-0004-0000-0000-00003E000000}"/>
    <hyperlink ref="A718" r:id="rId64" xr:uid="{00000000-0004-0000-0000-00003F000000}"/>
    <hyperlink ref="A719" r:id="rId65" xr:uid="{00000000-0004-0000-0000-000040000000}"/>
    <hyperlink ref="A720" r:id="rId66" xr:uid="{00000000-0004-0000-0000-000041000000}"/>
    <hyperlink ref="A721" r:id="rId67" xr:uid="{00000000-0004-0000-0000-000042000000}"/>
    <hyperlink ref="A722" r:id="rId68" xr:uid="{00000000-0004-0000-0000-000043000000}"/>
    <hyperlink ref="A723" r:id="rId69" xr:uid="{00000000-0004-0000-0000-000044000000}"/>
    <hyperlink ref="A743" r:id="rId70" xr:uid="{00000000-0004-0000-0000-000046000000}"/>
    <hyperlink ref="A744" r:id="rId71" xr:uid="{00000000-0004-0000-0000-000047000000}"/>
    <hyperlink ref="A745" r:id="rId72" xr:uid="{00000000-0004-0000-0000-000048000000}"/>
    <hyperlink ref="A748" r:id="rId73" xr:uid="{00000000-0004-0000-0000-000049000000}"/>
    <hyperlink ref="A749" r:id="rId74" xr:uid="{00000000-0004-0000-0000-00004A000000}"/>
    <hyperlink ref="A750" r:id="rId75" xr:uid="{00000000-0004-0000-0000-00004B000000}"/>
    <hyperlink ref="A751" r:id="rId76" xr:uid="{00000000-0004-0000-0000-00004C000000}"/>
    <hyperlink ref="A752" r:id="rId77" xr:uid="{00000000-0004-0000-0000-00004D000000}"/>
    <hyperlink ref="A753" r:id="rId78" xr:uid="{00000000-0004-0000-0000-00004E000000}"/>
    <hyperlink ref="A754" r:id="rId79" xr:uid="{00000000-0004-0000-0000-00004F000000}"/>
    <hyperlink ref="A755" r:id="rId80" xr:uid="{00000000-0004-0000-0000-000050000000}"/>
    <hyperlink ref="A756" r:id="rId81" xr:uid="{00000000-0004-0000-0000-000051000000}"/>
    <hyperlink ref="A757" r:id="rId82" xr:uid="{00000000-0004-0000-0000-000052000000}"/>
    <hyperlink ref="A758" r:id="rId83" xr:uid="{00000000-0004-0000-0000-000053000000}"/>
    <hyperlink ref="A759" r:id="rId84" xr:uid="{00000000-0004-0000-0000-000054000000}"/>
    <hyperlink ref="A760" r:id="rId85" xr:uid="{00000000-0004-0000-0000-000055000000}"/>
    <hyperlink ref="A761" r:id="rId86" xr:uid="{00000000-0004-0000-0000-000056000000}"/>
    <hyperlink ref="A762" r:id="rId87" xr:uid="{00000000-0004-0000-0000-000057000000}"/>
    <hyperlink ref="A763" r:id="rId88" xr:uid="{00000000-0004-0000-0000-000058000000}"/>
    <hyperlink ref="A764" r:id="rId89" xr:uid="{00000000-0004-0000-0000-000059000000}"/>
    <hyperlink ref="A765" r:id="rId90" xr:uid="{00000000-0004-0000-0000-00005A000000}"/>
    <hyperlink ref="A766" r:id="rId91" xr:uid="{00000000-0004-0000-0000-00005B000000}"/>
    <hyperlink ref="A767" r:id="rId92" xr:uid="{00000000-0004-0000-0000-00005C000000}"/>
    <hyperlink ref="A768" r:id="rId93" xr:uid="{00000000-0004-0000-0000-00005D000000}"/>
    <hyperlink ref="A769" r:id="rId94" xr:uid="{00000000-0004-0000-0000-00005E000000}"/>
    <hyperlink ref="A770" r:id="rId95" xr:uid="{00000000-0004-0000-0000-00005F000000}"/>
    <hyperlink ref="A771" r:id="rId96" xr:uid="{00000000-0004-0000-0000-000060000000}"/>
    <hyperlink ref="A772" r:id="rId97" xr:uid="{00000000-0004-0000-0000-000061000000}"/>
    <hyperlink ref="A773" r:id="rId98" xr:uid="{00000000-0004-0000-0000-000062000000}"/>
    <hyperlink ref="A774" r:id="rId99" xr:uid="{00000000-0004-0000-0000-000063000000}"/>
    <hyperlink ref="A775" r:id="rId100" xr:uid="{00000000-0004-0000-0000-000064000000}"/>
    <hyperlink ref="A776" r:id="rId101" xr:uid="{00000000-0004-0000-0000-000065000000}"/>
    <hyperlink ref="A777" r:id="rId102" xr:uid="{00000000-0004-0000-0000-000066000000}"/>
    <hyperlink ref="A778" r:id="rId103" xr:uid="{00000000-0004-0000-0000-000067000000}"/>
    <hyperlink ref="A780" r:id="rId104" xr:uid="{00000000-0004-0000-0000-000068000000}"/>
    <hyperlink ref="A781" r:id="rId105" xr:uid="{00000000-0004-0000-0000-000069000000}"/>
    <hyperlink ref="A782" r:id="rId106" xr:uid="{00000000-0004-0000-0000-00006A000000}"/>
    <hyperlink ref="A783" r:id="rId107" xr:uid="{00000000-0004-0000-0000-00006B000000}"/>
    <hyperlink ref="A784" r:id="rId108" xr:uid="{00000000-0004-0000-0000-00006C000000}"/>
    <hyperlink ref="A785" r:id="rId109" xr:uid="{00000000-0004-0000-0000-00006D000000}"/>
    <hyperlink ref="A786" r:id="rId110" xr:uid="{00000000-0004-0000-0000-00006E000000}"/>
    <hyperlink ref="A787" r:id="rId111" xr:uid="{00000000-0004-0000-0000-00006F000000}"/>
    <hyperlink ref="A788" r:id="rId112" xr:uid="{00000000-0004-0000-0000-000070000000}"/>
    <hyperlink ref="A789" r:id="rId113" xr:uid="{00000000-0004-0000-0000-000071000000}"/>
    <hyperlink ref="A790" r:id="rId114" xr:uid="{00000000-0004-0000-0000-000072000000}"/>
    <hyperlink ref="A791" r:id="rId115" xr:uid="{00000000-0004-0000-0000-000073000000}"/>
    <hyperlink ref="A792" r:id="rId116" xr:uid="{00000000-0004-0000-0000-000074000000}"/>
    <hyperlink ref="A793" r:id="rId117" xr:uid="{00000000-0004-0000-0000-000075000000}"/>
    <hyperlink ref="A794" r:id="rId118" xr:uid="{00000000-0004-0000-0000-000076000000}"/>
    <hyperlink ref="A795" r:id="rId119" xr:uid="{00000000-0004-0000-0000-000077000000}"/>
    <hyperlink ref="A796" r:id="rId120" xr:uid="{00000000-0004-0000-0000-000078000000}"/>
    <hyperlink ref="A797" r:id="rId121" xr:uid="{00000000-0004-0000-0000-000079000000}"/>
    <hyperlink ref="A798" r:id="rId122" xr:uid="{00000000-0004-0000-0000-00007A000000}"/>
    <hyperlink ref="A799" r:id="rId123" xr:uid="{00000000-0004-0000-0000-00007B000000}"/>
    <hyperlink ref="A800" r:id="rId124" xr:uid="{00000000-0004-0000-0000-00007C000000}"/>
    <hyperlink ref="A801" r:id="rId125" xr:uid="{00000000-0004-0000-0000-00007D000000}"/>
    <hyperlink ref="A802" r:id="rId126" xr:uid="{00000000-0004-0000-0000-00007E000000}"/>
    <hyperlink ref="A803" r:id="rId127" xr:uid="{00000000-0004-0000-0000-00007F000000}"/>
    <hyperlink ref="A804" r:id="rId128" xr:uid="{00000000-0004-0000-0000-000080000000}"/>
    <hyperlink ref="A805" r:id="rId129" xr:uid="{00000000-0004-0000-0000-000081000000}"/>
    <hyperlink ref="A806" r:id="rId130" xr:uid="{00000000-0004-0000-0000-000082000000}"/>
    <hyperlink ref="A807" r:id="rId131" xr:uid="{00000000-0004-0000-0000-000083000000}"/>
    <hyperlink ref="A808" r:id="rId132" xr:uid="{00000000-0004-0000-0000-000084000000}"/>
    <hyperlink ref="A809" r:id="rId133" xr:uid="{00000000-0004-0000-0000-000085000000}"/>
    <hyperlink ref="O833" r:id="rId134" xr:uid="{00000000-0004-0000-0000-000086000000}"/>
    <hyperlink ref="O834" r:id="rId135" xr:uid="{00000000-0004-0000-0000-000087000000}"/>
    <hyperlink ref="O835" r:id="rId136" xr:uid="{00000000-0004-0000-0000-000088000000}"/>
    <hyperlink ref="O836" r:id="rId137" xr:uid="{00000000-0004-0000-0000-000089000000}"/>
    <hyperlink ref="O837" r:id="rId138" xr:uid="{00000000-0004-0000-0000-00008A000000}"/>
    <hyperlink ref="O838" r:id="rId139" xr:uid="{00000000-0004-0000-0000-00008B000000}"/>
    <hyperlink ref="O839" r:id="rId140" xr:uid="{00000000-0004-0000-0000-00008C000000}"/>
    <hyperlink ref="O840" r:id="rId141" xr:uid="{00000000-0004-0000-0000-00008D000000}"/>
    <hyperlink ref="O841" r:id="rId142" xr:uid="{00000000-0004-0000-0000-00008E000000}"/>
    <hyperlink ref="O842" r:id="rId143" xr:uid="{00000000-0004-0000-0000-00008F000000}"/>
    <hyperlink ref="O843" r:id="rId144" xr:uid="{00000000-0004-0000-0000-000090000000}"/>
    <hyperlink ref="O844" r:id="rId145" xr:uid="{00000000-0004-0000-0000-000091000000}"/>
    <hyperlink ref="O845" r:id="rId146" xr:uid="{00000000-0004-0000-0000-000092000000}"/>
    <hyperlink ref="O846" r:id="rId147" xr:uid="{00000000-0004-0000-0000-000093000000}"/>
    <hyperlink ref="O847" r:id="rId148" xr:uid="{00000000-0004-0000-0000-000094000000}"/>
    <hyperlink ref="O848" r:id="rId149" xr:uid="{00000000-0004-0000-0000-000095000000}"/>
    <hyperlink ref="A857" r:id="rId150" xr:uid="{00000000-0004-0000-0000-000096000000}"/>
    <hyperlink ref="A858" r:id="rId151" xr:uid="{00000000-0004-0000-0000-000097000000}"/>
    <hyperlink ref="A859" r:id="rId152" xr:uid="{00000000-0004-0000-0000-000098000000}"/>
    <hyperlink ref="A860" r:id="rId153" xr:uid="{00000000-0004-0000-0000-000099000000}"/>
    <hyperlink ref="A861" r:id="rId154" xr:uid="{00000000-0004-0000-0000-00009A000000}"/>
    <hyperlink ref="A862" r:id="rId155" xr:uid="{00000000-0004-0000-0000-00009B000000}"/>
    <hyperlink ref="A863" r:id="rId156" xr:uid="{00000000-0004-0000-0000-00009C000000}"/>
    <hyperlink ref="O873" r:id="rId157" xr:uid="{00000000-0004-0000-0000-00009D000000}"/>
    <hyperlink ref="O874" r:id="rId158" xr:uid="{00000000-0004-0000-0000-00009E000000}"/>
    <hyperlink ref="O875" r:id="rId159" xr:uid="{00000000-0004-0000-0000-00009F000000}"/>
    <hyperlink ref="O876" r:id="rId160" xr:uid="{00000000-0004-0000-0000-0000A0000000}"/>
    <hyperlink ref="O877" r:id="rId161" xr:uid="{00000000-0004-0000-0000-0000A1000000}"/>
    <hyperlink ref="O878" r:id="rId162" xr:uid="{00000000-0004-0000-0000-0000A2000000}"/>
    <hyperlink ref="A888" r:id="rId163" xr:uid="{00000000-0004-0000-0000-0000A3000000}"/>
    <hyperlink ref="A889" r:id="rId164" xr:uid="{00000000-0004-0000-0000-0000A4000000}"/>
    <hyperlink ref="A890" r:id="rId165" xr:uid="{00000000-0004-0000-0000-0000A5000000}"/>
    <hyperlink ref="A891" r:id="rId166" xr:uid="{00000000-0004-0000-0000-0000A6000000}"/>
    <hyperlink ref="A892" r:id="rId167" xr:uid="{00000000-0004-0000-0000-0000A7000000}"/>
    <hyperlink ref="A893" r:id="rId168" xr:uid="{00000000-0004-0000-0000-0000A8000000}"/>
    <hyperlink ref="O894" r:id="rId169" xr:uid="{00000000-0004-0000-0000-0000A9000000}"/>
    <hyperlink ref="O895" r:id="rId170" xr:uid="{00000000-0004-0000-0000-0000AA000000}"/>
    <hyperlink ref="M926" r:id="rId171" xr:uid="{00000000-0004-0000-0000-0000AB000000}"/>
    <hyperlink ref="M927" r:id="rId172" xr:uid="{00000000-0004-0000-0000-0000AC000000}"/>
    <hyperlink ref="M939" r:id="rId173" xr:uid="{00000000-0004-0000-0000-0000AD000000}"/>
    <hyperlink ref="A1026" r:id="rId174" xr:uid="{00000000-0004-0000-0000-0000AE000000}"/>
    <hyperlink ref="A1028" r:id="rId175" xr:uid="{00000000-0004-0000-0000-0000AF000000}"/>
    <hyperlink ref="A1030" r:id="rId176" xr:uid="{00000000-0004-0000-0000-0000B0000000}"/>
    <hyperlink ref="M1046" r:id="rId177" xr:uid="{00000000-0004-0000-0000-0000B1000000}"/>
    <hyperlink ref="M1049" r:id="rId178" xr:uid="{00000000-0004-0000-0000-0000B2000000}"/>
    <hyperlink ref="M1106" r:id="rId179" xr:uid="{00000000-0004-0000-0000-0000B3000000}"/>
    <hyperlink ref="K1108" r:id="rId180" xr:uid="{00000000-0004-0000-0000-0000B4000000}"/>
    <hyperlink ref="K1109" r:id="rId181" xr:uid="{00000000-0004-0000-0000-0000B5000000}"/>
    <hyperlink ref="K1110" r:id="rId182" xr:uid="{00000000-0004-0000-0000-0000B6000000}"/>
    <hyperlink ref="K1111" r:id="rId183" xr:uid="{00000000-0004-0000-0000-0000B7000000}"/>
    <hyperlink ref="K1112" r:id="rId184" xr:uid="{00000000-0004-0000-0000-0000B8000000}"/>
    <hyperlink ref="K1113" r:id="rId185" xr:uid="{00000000-0004-0000-0000-0000B9000000}"/>
    <hyperlink ref="K1114" r:id="rId186" xr:uid="{00000000-0004-0000-0000-0000BA000000}"/>
    <hyperlink ref="M1114" r:id="rId187" xr:uid="{00000000-0004-0000-0000-0000BB000000}"/>
    <hyperlink ref="K1115" r:id="rId188" xr:uid="{00000000-0004-0000-0000-0000BC000000}"/>
    <hyperlink ref="K1116" r:id="rId189" xr:uid="{00000000-0004-0000-0000-0000BD000000}"/>
    <hyperlink ref="K1117" r:id="rId190" xr:uid="{00000000-0004-0000-0000-0000BE000000}"/>
    <hyperlink ref="K1118" r:id="rId191" xr:uid="{00000000-0004-0000-0000-0000BF000000}"/>
    <hyperlink ref="K1119" r:id="rId192" xr:uid="{00000000-0004-0000-0000-0000C0000000}"/>
    <hyperlink ref="K1120" r:id="rId193" xr:uid="{00000000-0004-0000-0000-0000C1000000}"/>
    <hyperlink ref="K1121" r:id="rId194" xr:uid="{00000000-0004-0000-0000-0000C2000000}"/>
    <hyperlink ref="K1122" r:id="rId195" xr:uid="{00000000-0004-0000-0000-0000C3000000}"/>
    <hyperlink ref="K1123" r:id="rId196" xr:uid="{00000000-0004-0000-0000-0000C4000000}"/>
    <hyperlink ref="K1124" r:id="rId197" xr:uid="{00000000-0004-0000-0000-0000C5000000}"/>
    <hyperlink ref="K1125" r:id="rId198" xr:uid="{00000000-0004-0000-0000-0000C6000000}"/>
    <hyperlink ref="K1126" r:id="rId199" xr:uid="{00000000-0004-0000-0000-0000C7000000}"/>
    <hyperlink ref="K1127" r:id="rId200" xr:uid="{00000000-0004-0000-0000-0000C8000000}"/>
    <hyperlink ref="M1127" r:id="rId201" xr:uid="{00000000-0004-0000-0000-0000C9000000}"/>
    <hyperlink ref="K1128" r:id="rId202" xr:uid="{00000000-0004-0000-0000-0000CA000000}"/>
    <hyperlink ref="K1129" r:id="rId203" xr:uid="{00000000-0004-0000-0000-0000CB000000}"/>
    <hyperlink ref="K1130" r:id="rId204" xr:uid="{00000000-0004-0000-0000-0000CC000000}"/>
    <hyperlink ref="K1131" r:id="rId205" xr:uid="{00000000-0004-0000-0000-0000CD000000}"/>
    <hyperlink ref="K1132" r:id="rId206" xr:uid="{00000000-0004-0000-0000-0000CE000000}"/>
    <hyperlink ref="K1133" r:id="rId207" xr:uid="{00000000-0004-0000-0000-0000CF000000}"/>
    <hyperlink ref="K1134" r:id="rId208" xr:uid="{00000000-0004-0000-0000-0000D0000000}"/>
    <hyperlink ref="K1135" r:id="rId209" xr:uid="{00000000-0004-0000-0000-0000D1000000}"/>
    <hyperlink ref="K1136" r:id="rId210" xr:uid="{00000000-0004-0000-0000-0000D2000000}"/>
    <hyperlink ref="K1137" r:id="rId211" xr:uid="{00000000-0004-0000-0000-0000D3000000}"/>
    <hyperlink ref="K1138" r:id="rId212" xr:uid="{00000000-0004-0000-0000-0000D4000000}"/>
    <hyperlink ref="K1139" r:id="rId213" xr:uid="{00000000-0004-0000-0000-0000D5000000}"/>
    <hyperlink ref="K1140" r:id="rId214" xr:uid="{00000000-0004-0000-0000-0000D6000000}"/>
    <hyperlink ref="K1141" r:id="rId215" xr:uid="{00000000-0004-0000-0000-0000D7000000}"/>
    <hyperlink ref="K1142" r:id="rId216" xr:uid="{00000000-0004-0000-0000-0000D8000000}"/>
    <hyperlink ref="M1142" r:id="rId217" xr:uid="{00000000-0004-0000-0000-0000D9000000}"/>
    <hyperlink ref="K1143" r:id="rId218" xr:uid="{00000000-0004-0000-0000-0000DA000000}"/>
    <hyperlink ref="K1144" r:id="rId219" xr:uid="{00000000-0004-0000-0000-0000DB000000}"/>
    <hyperlink ref="K1145" r:id="rId220" xr:uid="{00000000-0004-0000-0000-0000DC000000}"/>
    <hyperlink ref="K1146" r:id="rId221" xr:uid="{00000000-0004-0000-0000-0000DD000000}"/>
    <hyperlink ref="K1147" r:id="rId222" xr:uid="{00000000-0004-0000-0000-0000DE000000}"/>
    <hyperlink ref="K1148" r:id="rId223" xr:uid="{00000000-0004-0000-0000-0000DF000000}"/>
    <hyperlink ref="K1149" r:id="rId224" xr:uid="{00000000-0004-0000-0000-0000E0000000}"/>
    <hyperlink ref="K1150" r:id="rId225" xr:uid="{00000000-0004-0000-0000-0000E1000000}"/>
    <hyperlink ref="K1151" r:id="rId226" xr:uid="{00000000-0004-0000-0000-0000E2000000}"/>
    <hyperlink ref="K1152" r:id="rId227" xr:uid="{00000000-0004-0000-0000-0000E3000000}"/>
    <hyperlink ref="K1153" r:id="rId228" xr:uid="{00000000-0004-0000-0000-0000E4000000}"/>
    <hyperlink ref="K1154" r:id="rId229" xr:uid="{00000000-0004-0000-0000-0000E5000000}"/>
    <hyperlink ref="K1155" r:id="rId230" xr:uid="{00000000-0004-0000-0000-0000E6000000}"/>
    <hyperlink ref="K1156" r:id="rId231" xr:uid="{00000000-0004-0000-0000-0000E7000000}"/>
    <hyperlink ref="K1157" r:id="rId232" xr:uid="{00000000-0004-0000-0000-0000E8000000}"/>
    <hyperlink ref="M1184" r:id="rId233" xr:uid="{00000000-0004-0000-0000-0000E9000000}"/>
    <hyperlink ref="M1199" r:id="rId234" xr:uid="{00000000-0004-0000-0000-0000EA000000}"/>
    <hyperlink ref="M1209" r:id="rId235" xr:uid="{00000000-0004-0000-0000-0000EB000000}"/>
    <hyperlink ref="M1213" r:id="rId236" xr:uid="{00000000-0004-0000-0000-0000EC000000}"/>
    <hyperlink ref="M1222" r:id="rId237" xr:uid="{00000000-0004-0000-0000-0000ED000000}"/>
    <hyperlink ref="M1230" r:id="rId238" xr:uid="{00000000-0004-0000-0000-0000EE000000}"/>
    <hyperlink ref="M1240" r:id="rId239" xr:uid="{00000000-0004-0000-0000-0000EF000000}"/>
    <hyperlink ref="M1263" r:id="rId240" xr:uid="{00000000-0004-0000-0000-0000F0000000}"/>
    <hyperlink ref="K1312" r:id="rId241" xr:uid="{00000000-0004-0000-0000-0000F1000000}"/>
    <hyperlink ref="M1312" r:id="rId242" xr:uid="{00000000-0004-0000-0000-0000F2000000}"/>
    <hyperlink ref="K1313" r:id="rId243" xr:uid="{00000000-0004-0000-0000-0000F3000000}"/>
    <hyperlink ref="K1314" r:id="rId244" xr:uid="{00000000-0004-0000-0000-0000F4000000}"/>
    <hyperlink ref="K1315" r:id="rId245" xr:uid="{00000000-0004-0000-0000-0000F5000000}"/>
    <hyperlink ref="K1316" r:id="rId246" xr:uid="{00000000-0004-0000-0000-0000F6000000}"/>
    <hyperlink ref="M1317" r:id="rId247" xr:uid="{00000000-0004-0000-0000-0000F7000000}"/>
    <hyperlink ref="K1332" r:id="rId248" xr:uid="{00000000-0004-0000-0000-0000F8000000}"/>
    <hyperlink ref="K1333" r:id="rId249" xr:uid="{00000000-0004-0000-0000-0000F9000000}"/>
    <hyperlink ref="A1362" r:id="rId250" xr:uid="{00000000-0004-0000-0000-000000010000}"/>
    <hyperlink ref="A1363" r:id="rId251" xr:uid="{00000000-0004-0000-0000-000001010000}"/>
    <hyperlink ref="A1366" r:id="rId252" xr:uid="{00000000-0004-0000-0000-000002010000}"/>
    <hyperlink ref="A1367" r:id="rId253" xr:uid="{00000000-0004-0000-0000-000003010000}"/>
    <hyperlink ref="A1368" r:id="rId254" xr:uid="{00000000-0004-0000-0000-000004010000}"/>
    <hyperlink ref="M1369" r:id="rId255" xr:uid="{00000000-0004-0000-0000-000005010000}"/>
    <hyperlink ref="M1418" r:id="rId256" xr:uid="{00000000-0004-0000-0000-000006010000}"/>
    <hyperlink ref="M1420" r:id="rId257" xr:uid="{00000000-0004-0000-0000-000007010000}"/>
    <hyperlink ref="V2" r:id="rId258" xr:uid="{EA11DC8C-06C7-DD42-B2F0-47D06B69AF0C}"/>
    <hyperlink ref="V3:V7" r:id="rId259" display="https://doi.org/10.1002/2013JF002870" xr:uid="{835BD9EF-BB3C-3745-9F5C-F444C4403857}"/>
    <hyperlink ref="V8:V10" r:id="rId260" display="https://doi.org/10.1002/2013JF002870" xr:uid="{5383D82D-7917-464D-A765-797FCCCFD477}"/>
    <hyperlink ref="V11" r:id="rId261" tooltip="Persistent link using digital object identifier" display="https://doi.org/10.1016/j.quascirev.2013.07.024" xr:uid="{B5017943-366E-8B49-9EBE-32773DE48402}"/>
    <hyperlink ref="V46" r:id="rId262" xr:uid="{CFDB6E2D-9D29-CA4E-AC89-887625E3DE51}"/>
    <hyperlink ref="V47:V57" r:id="rId263" tooltip="Persistent link using digital object identifier" display="https://doi.org/10.1016/j.quascirev.2020.106540" xr:uid="{AF9F4ED9-ABAD-4542-8581-7F574F55BCAD}"/>
    <hyperlink ref="V60" r:id="rId264" tooltip="Persistent link using digital object identifier" display="https://doi.org/10.1016/j.quascirev.2020.106540" xr:uid="{17162E79-5335-1740-9CC8-E52E1074444A}"/>
    <hyperlink ref="V61" r:id="rId265" tooltip="Persistent link using digital object identifier" display="https://doi.org/10.1016/j.quascirev.2020.106540" xr:uid="{52DFF2C8-810F-844E-809C-DFCADBEA094E}"/>
    <hyperlink ref="V62" r:id="rId266" tooltip="Persistent link using digital object identifier" display="https://doi.org/10.1016/j.quascirev.2020.106540" xr:uid="{BD7CAB7D-9E3D-9F42-A162-DFFB7C954E7F}"/>
    <hyperlink ref="V64" r:id="rId267" tooltip="Persistent link using digital object identifier" display="https://doi.org/10.1016/j.quascirev.2020.106540" xr:uid="{FBD7710B-881C-7E40-8ED0-19CC6128C10D}"/>
    <hyperlink ref="V65" r:id="rId268" display="https://doi.org/10.1002/jqs.1465" xr:uid="{596F3918-42E3-564A-87BE-429BDC97A7BD}"/>
    <hyperlink ref="V1412" r:id="rId269" display="https://doi.org/10.1130/G51326.1" xr:uid="{D7489136-AFE7-C545-8D31-3535BD20C212}"/>
    <hyperlink ref="V1413:V1466" r:id="rId270" display="https://doi.org/10.1130/G51326.1" xr:uid="{F316CF90-E94E-B041-A16B-EDB00A2A6850}"/>
    <hyperlink ref="V58:V59" r:id="rId271" tooltip="Persistent link using digital object identifier" display="https://doi.org/10.1016/j.quascirev.2020.106540" xr:uid="{5075D55E-A674-F044-8AA0-0E945C7D40A6}"/>
    <hyperlink ref="V1143" r:id="rId272" xr:uid="{227B4762-6D1A-F94C-8ABB-758ADAA65863}"/>
    <hyperlink ref="V217" r:id="rId273" tooltip="Persistent link using digital object identifier" xr:uid="{E2E24749-4BD1-584F-9B76-52F21A379742}"/>
    <hyperlink ref="V218:V232" r:id="rId274" tooltip="Persistent link using digital object identifier" display="https://doi.org/10.1016/j.quascirev.2019.105897" xr:uid="{CB40A627-3729-D341-A21C-4D91F1177FC5}"/>
    <hyperlink ref="V283" r:id="rId275" tooltip="Persistent link using digital object identifier" xr:uid="{EB3C5D9A-4966-8B45-B439-762FDEBDFC27}"/>
    <hyperlink ref="V981" r:id="rId276" xr:uid="{F8210F56-25B0-B94A-9325-CD75E5F38944}"/>
    <hyperlink ref="V1033" r:id="rId277" xr:uid="{D44EAE78-1BA1-5E47-BB3E-B28153C0C639}"/>
    <hyperlink ref="V1034:V1054" r:id="rId278" display="https://doi.org/10.5194/tc-13-2935-2019" xr:uid="{A2447782-9B16-524F-AF25-D391A7824224}"/>
    <hyperlink ref="V1055:V1066" r:id="rId279" display="https://doi.org/10.5194/tc-13-2935-2019" xr:uid="{F6D89972-9B44-1C47-BF4D-25F941F4EB11}"/>
    <hyperlink ref="V1067" r:id="rId280" display="https://doi.org/10.5194/tc-13-2935-2019" xr:uid="{1ADCA61F-3C48-CF42-ABC6-A23DA9C8D7F7}"/>
    <hyperlink ref="V1080" r:id="rId281" display="https://doi.org/10.5194/tc-13-2935-2019" xr:uid="{4944DE5F-6C36-9942-B468-5C465CA5C3B6}"/>
    <hyperlink ref="V1093" r:id="rId282" display="https://doi.org/10.5194/tc-13-2935-2019" xr:uid="{7D221CD0-5312-224C-8A4E-F6AF91AF3A96}"/>
    <hyperlink ref="V1106" r:id="rId283" display="https://doi.org/10.5194/tc-13-2935-2019" xr:uid="{B406F7A9-716B-A648-BC6C-072AA4FBA8AC}"/>
    <hyperlink ref="V1068:V1079" r:id="rId284" display="https://doi.org/10.5194/tc-13-2935-2019" xr:uid="{4414503E-7E29-7343-AC87-8C668B844EA1}"/>
    <hyperlink ref="V1081:V1092" r:id="rId285" display="https://doi.org/10.5194/tc-13-2935-2019" xr:uid="{B9092F6B-5D33-724D-B93D-88A910190D9F}"/>
    <hyperlink ref="V1094:V1105" r:id="rId286" display="https://doi.org/10.5194/tc-13-2935-2019" xr:uid="{47F8019E-46ED-894F-A0AF-99B8D8DAF6CB}"/>
    <hyperlink ref="V1107" r:id="rId287" display="https://doi.org/10.5194/tc-13-2935-2019" xr:uid="{9FC21D6D-DCEE-4B47-B9E6-AA59EAAF7F3D}"/>
    <hyperlink ref="V1142" r:id="rId288" xr:uid="{966C21D5-ED9B-B542-97B3-41D1F2154A6E}"/>
    <hyperlink ref="V1144:V1157" r:id="rId289" display="https://doi.org/10.5194/tc-13-2935-2032" xr:uid="{AEA1B934-E1D3-A642-8C3D-A128528A1722}"/>
    <hyperlink ref="V1113" r:id="rId290" xr:uid="{CD19710B-5338-5543-8994-0B72486721C0}"/>
    <hyperlink ref="V1114:V1134" r:id="rId291" display="https://doi.org/10.5194/tc-13-2935-2031" xr:uid="{EB6BBFAE-78CE-8645-9415-460906652A45}"/>
    <hyperlink ref="V1135" r:id="rId292" display="https://doi.org/10.5194/tc-13-2935-2031" xr:uid="{7CD5AF68-6752-4A4E-9D6B-43BE48CF56EC}"/>
    <hyperlink ref="V1136:V1141" r:id="rId293" display="https://doi.org/10.5194/tc-13-2935-2031" xr:uid="{850CACE9-4191-E541-912A-BF6B4A1A8423}"/>
    <hyperlink ref="V1108:V1112" r:id="rId294" display="https://doi.org/10.5194/tc-13-2935-2019" xr:uid="{99BB1B9B-4CE8-CF40-A375-F69862CAA19F}"/>
    <hyperlink ref="V66:V78" r:id="rId295" display="https://doi.org/10.1002/jqs.1465" xr:uid="{463FC412-55F2-8D4C-B2F8-C9912C3C0F3A}"/>
    <hyperlink ref="V79" r:id="rId296" tooltip="Persistent link using digital object identifier" xr:uid="{DAC64E52-533A-D54A-BE7B-FBB17E710607}"/>
    <hyperlink ref="V80:V91" r:id="rId297" tooltip="Persistent link using digital object identifier" display="https://doi.org/10.1016/j.quascirev.2013.07.024" xr:uid="{6195034F-830F-814B-9381-0F3E893A8691}"/>
    <hyperlink ref="V91" r:id="rId298" xr:uid="{9C5DC68C-4B22-0740-869C-E1AE8D150582}"/>
    <hyperlink ref="V142" r:id="rId299" tooltip="Persistent link using digital object identifier" display="https://doi.org/10.1016/j.quascirev.2013.07.024" xr:uid="{4EAC24F4-198E-AA49-8570-88BD3D539A6C}"/>
    <hyperlink ref="V143:V187" r:id="rId300" tooltip="Persistent link using digital object identifier" display="https://doi.org/10.1016/j.quascirev.2013.07.024" xr:uid="{C7648C43-564E-5D47-8B09-E8B2E16DE746}"/>
    <hyperlink ref="V188:V207" r:id="rId301" tooltip="Persistent link using digital object identifier" display="https://doi.org/10.1016/j.quascirev.2013.07.024" xr:uid="{999E37F8-42AA-DD42-9D80-D6214AF45521}"/>
    <hyperlink ref="V207" r:id="rId302" xr:uid="{488C7EDF-E476-6344-9BCD-2ADF10EBBC50}"/>
    <hyperlink ref="V208" r:id="rId303" display="https://doi.org/10.1130/G23503A.1" xr:uid="{B118C576-B2B1-7040-86DF-2856F60CA190}"/>
    <hyperlink ref="V184" r:id="rId304" xr:uid="{6866822E-43B1-2947-B3BB-7A3A3E6EBF77}"/>
    <hyperlink ref="V209:V212" r:id="rId305" display="https://doi.org/10.1130/G23503A.1" xr:uid="{516F711E-943D-8144-9C8B-5BE37BEA79B2}"/>
    <hyperlink ref="V95" r:id="rId306" xr:uid="{90BAFC5A-3EBB-2747-8454-8979EB4D8F3A}"/>
    <hyperlink ref="V96:V141" r:id="rId307" tooltip="Persistent link using digital object identifier" display="https://doi.org/10.1016/j.yqres.2009.04.001" xr:uid="{48AA3B34-B9FC-1944-BC80-2F2438A6426F}"/>
    <hyperlink ref="V1336" r:id="rId308" xr:uid="{54F75CBF-E6BC-F84F-B916-8EC7EEB55375}"/>
    <hyperlink ref="V349" r:id="rId309" tooltip="Persistent link using digital object identifier" xr:uid="{C4D7D5F9-800F-BE4D-A625-1789A5653B38}"/>
    <hyperlink ref="V350:V384" r:id="rId310" tooltip="Persistent link using digital object identifier" display="https://doi.org/10.1016/j.quascirev.2020.106595" xr:uid="{20EC56BF-5791-3B48-98DF-AB469BFC7004}"/>
    <hyperlink ref="V42:V45" r:id="rId311" tooltip="Persistent link using digital object identifier" display="https://doi.org/10.1016/j.quascirev.2013.07.024" xr:uid="{B213E440-71E6-E548-B801-2738D5B9BA86}"/>
    <hyperlink ref="V47" r:id="rId312" xr:uid="{70741D90-3C58-0A40-954F-BFC73F88992D}"/>
    <hyperlink ref="V233" r:id="rId313" xr:uid="{831EC26C-BA0E-C743-8B2D-C1DF18BE5C44}"/>
    <hyperlink ref="V234:V258" r:id="rId314" display="https://doi.org/10.5194/tc-15-5447-2021 " xr:uid="{3A211060-6C66-DC44-97A5-1D612E53F588}"/>
    <hyperlink ref="V284" r:id="rId315" tooltip="Persistent link using digital object identifier" xr:uid="{DB29769B-020F-4D48-A39E-76CD9287CFD5}"/>
    <hyperlink ref="V285" r:id="rId316" tooltip="Persistent link using digital object identifier" xr:uid="{1C125282-C4F5-3146-A13E-F8F5105484E5}"/>
    <hyperlink ref="V286" r:id="rId317" tooltip="Persistent link using digital object identifier" xr:uid="{00E9AB9A-FA5A-D741-BB6A-5C48AD172E44}"/>
    <hyperlink ref="V287" r:id="rId318" tooltip="Persistent link using digital object identifier" xr:uid="{AC958774-BBD2-A148-91D7-1CDB38B90CD1}"/>
    <hyperlink ref="V288" r:id="rId319" tooltip="Persistent link using digital object identifier" xr:uid="{529BB812-B6A3-1C47-BFA4-1576C75EF9B7}"/>
    <hyperlink ref="V289" r:id="rId320" tooltip="Persistent link using digital object identifier" xr:uid="{CB0F7D3B-E25F-3E4E-8B27-B9A8CE892FC2}"/>
    <hyperlink ref="V290" r:id="rId321" tooltip="Persistent link using digital object identifier" xr:uid="{4F0A9FC8-5D6D-6F45-9C0B-314A347304B7}"/>
    <hyperlink ref="V291" r:id="rId322" tooltip="Persistent link using digital object identifier" xr:uid="{49DF6B6E-E162-ED44-9D40-C3BB341A4E6C}"/>
    <hyperlink ref="V292" r:id="rId323" tooltip="Persistent link using digital object identifier" xr:uid="{F069F6FD-DF03-FE41-A387-92B41AA68D83}"/>
    <hyperlink ref="V293" r:id="rId324" tooltip="Persistent link using digital object identifier" xr:uid="{E38213F3-7FFF-DF4D-B369-524148FC1ECB}"/>
    <hyperlink ref="V294" r:id="rId325" xr:uid="{7CCCB583-89C3-D046-817A-582E3DF3D2C8}"/>
    <hyperlink ref="V295" r:id="rId326" tooltip="Persistent link using digital object identifier" xr:uid="{FA3DE28D-E15C-F746-9A22-233D00456984}"/>
    <hyperlink ref="V296" r:id="rId327" tooltip="Persistent link using digital object identifier" xr:uid="{4F34DE25-7D93-3042-87B3-F4B1EADB86B0}"/>
    <hyperlink ref="V297" r:id="rId328" tooltip="Persistent link using digital object identifier" xr:uid="{5B2BBC0E-E536-C64D-9C97-52AD3670BA1D}"/>
    <hyperlink ref="V298" r:id="rId329" tooltip="Persistent link using digital object identifier" xr:uid="{ACD0DF5A-6B45-644A-BB8C-75C07033837C}"/>
    <hyperlink ref="V300" r:id="rId330" tooltip="Persistent link using digital object identifier" xr:uid="{09BC10EE-5B09-AC41-8597-64AF4F423CB4}"/>
    <hyperlink ref="V299" r:id="rId331" tooltip="Persistent link using digital object identifier" xr:uid="{D79D8087-48EB-2940-A163-C2361FCFB9D9}"/>
    <hyperlink ref="V301" r:id="rId332" tooltip="Persistent link using digital object identifier" xr:uid="{9028D6EF-79CF-F24F-B94E-68E06674C56B}"/>
    <hyperlink ref="V302" r:id="rId333" tooltip="Persistent link using digital object identifier" xr:uid="{25438278-D66C-004C-8FE8-3CBBBD507AB2}"/>
    <hyperlink ref="V304" r:id="rId334" tooltip="Persistent link using digital object identifier" xr:uid="{2FD4B243-B4E3-3F42-BCA1-CA0D755654A2}"/>
    <hyperlink ref="V303" r:id="rId335" tooltip="Persistent link using digital object identifier" xr:uid="{AAD99AF0-D1A4-D944-B106-A731FB4BC848}"/>
    <hyperlink ref="V305" r:id="rId336" tooltip="Persistent link using digital object identifier" xr:uid="{6D1F925E-649F-7740-9B3F-0C50998D81B0}"/>
    <hyperlink ref="V306" r:id="rId337" tooltip="Persistent link using digital object identifier" xr:uid="{0693C542-1943-7849-8504-39EDBAAFE219}"/>
    <hyperlink ref="V264" r:id="rId338" xr:uid="{5D5F90DF-B2DB-3D4D-A662-594BC27E3DF8}"/>
    <hyperlink ref="V265" r:id="rId339" xr:uid="{646049F1-AF08-1B4C-9C21-C593AF6F9146}"/>
    <hyperlink ref="V266" r:id="rId340" xr:uid="{B2BDFDC6-3DE7-4245-B470-87690B46F87F}"/>
    <hyperlink ref="V267" r:id="rId341" xr:uid="{960EEBAA-8674-C144-9107-D003DAF68B22}"/>
    <hyperlink ref="V268" r:id="rId342" xr:uid="{E04B2575-7DFC-6B40-ADA5-105D42B1974C}"/>
    <hyperlink ref="V269" r:id="rId343" xr:uid="{9B15F8B6-903D-9348-83E7-4B06596E688B}"/>
    <hyperlink ref="V271" r:id="rId344" xr:uid="{D537A967-7913-344B-A04D-5D509890F258}"/>
    <hyperlink ref="V270" r:id="rId345" xr:uid="{2D4C60FC-2816-4141-9E0F-F3D2F85B6A81}"/>
    <hyperlink ref="V272" r:id="rId346" xr:uid="{23D83763-B3F4-DD49-976D-8175686758D0}"/>
    <hyperlink ref="V273" r:id="rId347" xr:uid="{004CABC5-78A5-5643-B850-1DECD2050659}"/>
    <hyperlink ref="V274" r:id="rId348" xr:uid="{2C33E4F1-F312-5640-B5BC-DDC0B8FA0EA1}"/>
    <hyperlink ref="V276" r:id="rId349" xr:uid="{4DDC2A91-486C-7B4D-B1FF-8E29CA8DFF5D}"/>
    <hyperlink ref="V275" r:id="rId350" xr:uid="{CE80D756-8629-EF4C-8614-02FA9755A39C}"/>
    <hyperlink ref="V277" r:id="rId351" xr:uid="{13578B59-837F-3349-9B3B-3B030F350176}"/>
    <hyperlink ref="V278" r:id="rId352" xr:uid="{388DD878-C180-424D-B255-F6DF1DA96466}"/>
    <hyperlink ref="V279" r:id="rId353" xr:uid="{A89B7475-0BEF-0548-BCA6-C466F080337A}"/>
    <hyperlink ref="V280" r:id="rId354" xr:uid="{3EC1A543-4653-2B4B-8E2C-DDC61AD0892D}"/>
    <hyperlink ref="V281" r:id="rId355" xr:uid="{0DDDD762-1181-5449-8F1A-6E721D320F8A}"/>
    <hyperlink ref="V282" r:id="rId356" xr:uid="{4CA480C1-F560-914F-A26A-54B8E86B9606}"/>
    <hyperlink ref="V402" r:id="rId357" xr:uid="{321C8ADC-24D0-3244-94AF-AFE4096E5079}"/>
    <hyperlink ref="V508" r:id="rId358" xr:uid="{02E4C4B8-058A-7A43-8A48-35AE8D5967D3}"/>
    <hyperlink ref="V509" r:id="rId359" xr:uid="{7DB0835B-FD9C-EE46-AB36-6B0ED839B415}"/>
    <hyperlink ref="V511" r:id="rId360" xr:uid="{6625204B-9975-294A-8800-B2311AB27A74}"/>
    <hyperlink ref="V510" r:id="rId361" xr:uid="{7375E7E8-EC70-9548-8237-56054CF90BC6}"/>
    <hyperlink ref="V512" r:id="rId362" xr:uid="{927AB3A1-99AD-6449-8944-37728553A8B6}"/>
    <hyperlink ref="V513" r:id="rId363" xr:uid="{B9C2DA34-8BF5-CF4C-A907-FE7264C80819}"/>
    <hyperlink ref="V514" r:id="rId364" xr:uid="{73F7919B-D386-754A-8810-B6404BC9EB8F}"/>
    <hyperlink ref="V516" r:id="rId365" xr:uid="{7EF80E8C-5320-3E4D-A8E7-D9F064E3563B}"/>
    <hyperlink ref="V515" r:id="rId366" xr:uid="{086E4AFE-C87A-EA44-8FCC-767B5A0077FB}"/>
    <hyperlink ref="V517" r:id="rId367" xr:uid="{ED84BB95-AD91-0E4F-8F9C-5E1CEF65CDFB}"/>
    <hyperlink ref="V518" r:id="rId368" xr:uid="{3701EC15-A633-AD4D-A04F-32A95C400D2D}"/>
    <hyperlink ref="V519" r:id="rId369" xr:uid="{3B4BB77E-8360-6547-BDF5-72D44DAB44A1}"/>
    <hyperlink ref="V521" r:id="rId370" xr:uid="{78A116DC-AE58-5A44-83E1-F17445701619}"/>
    <hyperlink ref="V520" r:id="rId371" xr:uid="{1C035E2E-F23E-6F46-A929-8C60562E0662}"/>
    <hyperlink ref="V522" r:id="rId372" xr:uid="{E6A47C64-7627-6445-9ACE-8992E163EBA7}"/>
    <hyperlink ref="V523" r:id="rId373" xr:uid="{4241DA49-5E50-9F49-934A-D5D78E82B1E6}"/>
    <hyperlink ref="V524" r:id="rId374" xr:uid="{E8A2245A-25B9-404F-800D-AB0C891D9925}"/>
    <hyperlink ref="V526" r:id="rId375" xr:uid="{EFF656D3-E1FF-B04B-B6D7-EDABEA316C22}"/>
    <hyperlink ref="V525" r:id="rId376" xr:uid="{0722E4AA-C5B1-9E4A-812C-3FA5A90E9582}"/>
    <hyperlink ref="V527" r:id="rId377" xr:uid="{8BD009E6-FE56-4D4E-A4CC-B36418A2900A}"/>
    <hyperlink ref="V528" r:id="rId378" xr:uid="{F61B559E-C88F-C040-A75E-86EEE2E01420}"/>
    <hyperlink ref="V529" r:id="rId379" xr:uid="{B5D7F1FF-3708-834A-B3D8-AE4FDE927F76}"/>
    <hyperlink ref="V531" r:id="rId380" xr:uid="{FF361BAD-07C8-DC45-BDFA-5DAF34B195A1}"/>
    <hyperlink ref="V530" r:id="rId381" xr:uid="{9A8F6E76-2481-5647-9B15-20F3C4B0BDA8}"/>
    <hyperlink ref="V532" r:id="rId382" xr:uid="{2E4E110D-2289-0441-B088-90ADDD11B032}"/>
    <hyperlink ref="V533" r:id="rId383" xr:uid="{8752C988-7440-9C4F-BEAB-82A5EFEEE9DA}"/>
    <hyperlink ref="V534" r:id="rId384" xr:uid="{E58CB8DE-BBCE-3440-9213-F964AE0ED2F7}"/>
    <hyperlink ref="V536" r:id="rId385" xr:uid="{033417BE-38C4-2445-AFF3-01112C0E5F1B}"/>
    <hyperlink ref="V535" r:id="rId386" xr:uid="{E7AF3C4E-7B89-EF44-BC1D-0C03A564CFC4}"/>
    <hyperlink ref="V537" r:id="rId387" xr:uid="{8A1180AB-8731-504C-AB67-4A963AA126F3}"/>
    <hyperlink ref="V538" r:id="rId388" xr:uid="{98414C6E-63D1-904B-A6B4-C05D5B8D55AC}"/>
    <hyperlink ref="V539" r:id="rId389" xr:uid="{7D03F8A0-BAC6-7E43-AEEB-CFE8260E0C0A}"/>
    <hyperlink ref="V541" r:id="rId390" xr:uid="{2DCB77D1-28E5-0848-901C-4566E1141B31}"/>
    <hyperlink ref="V540" r:id="rId391" xr:uid="{A22CF76C-629B-7740-9BEF-036861EF4A4B}"/>
    <hyperlink ref="V542" r:id="rId392" xr:uid="{B0A709A8-1EF0-164E-8A0B-690CD432DB24}"/>
    <hyperlink ref="V543" r:id="rId393" xr:uid="{48DF4DAA-3EE1-384C-AF81-46497B30EEE9}"/>
    <hyperlink ref="V544" r:id="rId394" xr:uid="{DBD25D03-A8C2-3C41-A53E-3BAF32B5F148}"/>
    <hyperlink ref="V546" r:id="rId395" xr:uid="{B73E3DBF-DBB8-D74F-A6F2-E2E9B9DC133B}"/>
    <hyperlink ref="V545" r:id="rId396" xr:uid="{262561BE-D7A4-B946-9F01-C80E7AE9C471}"/>
    <hyperlink ref="V547" r:id="rId397" xr:uid="{B333D73C-987F-D145-BA46-3618CD982F9E}"/>
    <hyperlink ref="V548" r:id="rId398" xr:uid="{6BD80A2E-D54B-0647-984B-A50E9F7F5838}"/>
    <hyperlink ref="V549" r:id="rId399" xr:uid="{74F4C426-E6F8-B742-99F5-AFDD915594C8}"/>
    <hyperlink ref="V551" r:id="rId400" xr:uid="{E5AF43F2-2BF8-0449-98E9-9A735ECD5848}"/>
    <hyperlink ref="V550" r:id="rId401" xr:uid="{D0F5293B-2BD0-8247-85BF-863F0CE3AF66}"/>
    <hyperlink ref="V552" r:id="rId402" xr:uid="{95828470-C029-C147-B51F-C9550AAD36F7}"/>
    <hyperlink ref="V617" r:id="rId403" xr:uid="{9E4965CD-5A27-B647-BAA0-7D8E00006619}"/>
    <hyperlink ref="V590" r:id="rId404" xr:uid="{264CF59A-1037-FF4C-A678-72C47EA657D7}"/>
    <hyperlink ref="V591" r:id="rId405" xr:uid="{8B30EED4-04E1-3A4B-BA73-2F31D4250B32}"/>
    <hyperlink ref="V592" r:id="rId406" xr:uid="{F21B6744-E54C-4A40-9B39-705D6C9FBB06}"/>
    <hyperlink ref="V593" r:id="rId407" xr:uid="{A0A5FDE5-1B18-B841-B181-891A0C846F73}"/>
    <hyperlink ref="V594" r:id="rId408" xr:uid="{2B6C3273-5328-7145-97DA-8D87BB125DF2}"/>
    <hyperlink ref="V595" r:id="rId409" xr:uid="{8B0DB6E2-72A8-5343-87E9-A9397F8532A4}"/>
    <hyperlink ref="V596" r:id="rId410" xr:uid="{3553313D-98AB-C14B-B724-03C05EF5A387}"/>
    <hyperlink ref="V597" r:id="rId411" xr:uid="{01408365-1D9E-9C4C-A2A0-9A044CDECAEF}"/>
    <hyperlink ref="V598" r:id="rId412" xr:uid="{650328D7-86F1-FE47-8325-B67B598CB460}"/>
    <hyperlink ref="V599" r:id="rId413" xr:uid="{1BDB75C3-6380-EA47-A0D6-2CD6856EAE9F}"/>
    <hyperlink ref="V600" r:id="rId414" xr:uid="{96B14C1B-6023-8241-B5A4-FCB135B01EB5}"/>
    <hyperlink ref="V601" r:id="rId415" xr:uid="{928FA3C4-0F28-1E41-9D8D-E6D5B7E9A8F7}"/>
    <hyperlink ref="V731" r:id="rId416" xr:uid="{9F522503-6E20-6842-B7C4-361ED220D45C}"/>
    <hyperlink ref="V732" r:id="rId417" xr:uid="{D1286E92-73EC-C14C-9519-34DB6BE2F3A6}"/>
    <hyperlink ref="V733" r:id="rId418" xr:uid="{C7080E06-3610-3A49-AD03-D923ED735FBA}"/>
    <hyperlink ref="V734" r:id="rId419" xr:uid="{9C0960CA-918F-4B40-81BC-B28CC122F0A9}"/>
    <hyperlink ref="V735" r:id="rId420" xr:uid="{87908F6C-44A7-2248-90BB-B9EE98C0B8D8}"/>
    <hyperlink ref="V736" r:id="rId421" xr:uid="{556691CB-7C8D-EB47-8F2B-3BB3880CAA13}"/>
    <hyperlink ref="V737" r:id="rId422" xr:uid="{2E71EB68-C2F1-9947-8882-A6DF5E16393C}"/>
    <hyperlink ref="V738" r:id="rId423" xr:uid="{FEECEB5F-DC96-7741-93FC-CE0CE23933E9}"/>
    <hyperlink ref="V739" r:id="rId424" xr:uid="{31EFC1EA-1006-4D45-8B55-D1E65AF2971E}"/>
    <hyperlink ref="V740" r:id="rId425" xr:uid="{A944DEFC-21FD-7D44-86CC-A4A9D959C222}"/>
    <hyperlink ref="V741" r:id="rId426" xr:uid="{6E4D4E09-9391-BB41-8046-509B787D10F6}"/>
    <hyperlink ref="V742" r:id="rId427" xr:uid="{BC24D8AE-52D5-E748-A475-7A578A4D0887}"/>
    <hyperlink ref="V743" r:id="rId428" xr:uid="{67E8BA53-4438-3A4C-ADDB-73889EAE6C69}"/>
    <hyperlink ref="V744" r:id="rId429" xr:uid="{C6128132-E803-C540-A6C4-11F917EF61C7}"/>
    <hyperlink ref="V745" r:id="rId430" xr:uid="{418D09F0-8A46-244E-B8E9-119776983EB7}"/>
    <hyperlink ref="V746" r:id="rId431" xr:uid="{B0836C26-D6B1-1F49-A780-F88B1A5EA70A}"/>
    <hyperlink ref="V747" r:id="rId432" xr:uid="{2EBF0FA9-FD3F-4F40-A143-F4890B30C413}"/>
    <hyperlink ref="V730" r:id="rId433" xr:uid="{3D78DF35-69D1-2B42-A2E1-57971D0C6726}"/>
    <hyperlink ref="V816" r:id="rId434" xr:uid="{54AC64FA-505E-464A-9B0E-0B5C038BCF2E}"/>
    <hyperlink ref="V813" r:id="rId435" xr:uid="{5BB7AA17-D676-4947-AFE0-4CD66EE4292A}"/>
    <hyperlink ref="V814" r:id="rId436" xr:uid="{635B1310-70F5-E14D-8DD1-E5E491F56F59}"/>
    <hyperlink ref="V815" r:id="rId437" xr:uid="{8CB8F4C8-B62F-8D41-95B0-7D4681D825FE}"/>
    <hyperlink ref="V817" r:id="rId438" xr:uid="{C8FA249A-D03F-1B46-AF35-B30A41BF71D3}"/>
    <hyperlink ref="V818" r:id="rId439" xr:uid="{AC2533A6-95E0-904E-9B08-E76ED23B1A7B}"/>
    <hyperlink ref="V819" r:id="rId440" xr:uid="{FC148DF7-ABEB-0342-AE9D-618F11D339B4}"/>
    <hyperlink ref="V820" r:id="rId441" xr:uid="{30FE6A08-D167-4F4F-9586-C2EEC38B5AF6}"/>
    <hyperlink ref="V821" r:id="rId442" xr:uid="{6F533BC7-9628-304F-BB0B-415CC7040FE1}"/>
    <hyperlink ref="V822" r:id="rId443" xr:uid="{F9846822-E48E-4347-A0E7-FC859C5F6BDC}"/>
    <hyperlink ref="V823" r:id="rId444" xr:uid="{D215D05B-225C-F74D-A260-E7081263E2E4}"/>
    <hyperlink ref="V824" r:id="rId445" xr:uid="{55EE88CF-DDE5-0241-9658-39BCF7A6A629}"/>
    <hyperlink ref="V825" r:id="rId446" xr:uid="{CCC373C0-05FF-3D4F-B850-592BB597F481}"/>
    <hyperlink ref="V826" r:id="rId447" xr:uid="{F4B89902-8FE3-AC40-B3C6-69EBD2F0608B}"/>
    <hyperlink ref="V827" r:id="rId448" xr:uid="{6E4E39CD-893E-1340-A6B3-90166345701C}"/>
    <hyperlink ref="V828" r:id="rId449" xr:uid="{A9783321-F42B-314A-A870-F1D9765492A7}"/>
    <hyperlink ref="V829" r:id="rId450" xr:uid="{D8A83A35-8976-1D4D-964C-1D31C879F9BA}"/>
    <hyperlink ref="V830" r:id="rId451" xr:uid="{850B3428-B6E7-D04B-9B96-763B6C9FF719}"/>
    <hyperlink ref="V831" r:id="rId452" xr:uid="{A37D362F-4A08-0A44-B121-81AE982AC3C3}"/>
    <hyperlink ref="V832" r:id="rId453" xr:uid="{B35A7B44-42EA-4347-AD69-7A6AE53C4538}"/>
    <hyperlink ref="V833" r:id="rId454" display="https://doi.org/10.1657/1523-0430(2003)035[0175:GACHOT]2.0.CO;2" xr:uid="{FF5C7A1B-E15F-334D-99BD-9C253C215A9A}"/>
    <hyperlink ref="V834" r:id="rId455" xr:uid="{16D86A60-FD41-AB43-A783-7A403639D69E}"/>
    <hyperlink ref="V835" r:id="rId456" xr:uid="{FD9F9E69-B9CB-854D-A580-A1DE02236B41}"/>
    <hyperlink ref="V836" r:id="rId457" xr:uid="{457F5B8C-CB11-8E4D-AE30-4B39AE0777CE}"/>
    <hyperlink ref="V837" r:id="rId458" xr:uid="{2DB3C773-BF51-F24E-92D0-828F536B7D37}"/>
    <hyperlink ref="V839" r:id="rId459" xr:uid="{09F3F5BA-80A1-7545-934B-ABE8DCB542BE}"/>
    <hyperlink ref="V838" r:id="rId460" xr:uid="{3316C4AA-9A77-CC43-BA2A-09A734762D1C}"/>
    <hyperlink ref="V840" r:id="rId461" xr:uid="{686ED327-94F5-F841-A6E2-5162EB56FB10}"/>
    <hyperlink ref="V841" r:id="rId462" xr:uid="{8623766F-A7AE-6A44-ACEE-437A5C7C85A3}"/>
    <hyperlink ref="V842" r:id="rId463" xr:uid="{D3F4F92E-7626-F142-87AF-D2F725527E7A}"/>
    <hyperlink ref="V843" r:id="rId464" xr:uid="{DBEB43B8-DADD-A340-BC97-3733CDD62FD4}"/>
    <hyperlink ref="V844" r:id="rId465" xr:uid="{F4014B31-E663-DC43-939C-0755531F98AA}"/>
    <hyperlink ref="V846" r:id="rId466" xr:uid="{39CF9EA6-7F2F-8947-8AE6-0BC4D70C33A8}"/>
    <hyperlink ref="V845" r:id="rId467" xr:uid="{FB2A8C5D-EA3E-0B40-89BE-A1C51ECCDCFA}"/>
    <hyperlink ref="V847" r:id="rId468" xr:uid="{A94ACF1B-F116-2A48-ABA5-1E8387193C88}"/>
    <hyperlink ref="V848" r:id="rId469" xr:uid="{6510D1F2-F43E-FC45-8868-E38644EE83E5}"/>
    <hyperlink ref="V849" r:id="rId470" xr:uid="{FBFA14DF-9D20-CA45-B440-AE9C019D276C}"/>
    <hyperlink ref="V850" r:id="rId471" xr:uid="{0E735F4D-BA6A-AA4D-9B64-EBFD5D3C8823}"/>
    <hyperlink ref="V851" r:id="rId472" xr:uid="{D98A08B8-1693-F042-9860-82790ECD17D2}"/>
    <hyperlink ref="V853" r:id="rId473" xr:uid="{BD62BAF2-DD43-A64B-A615-8364892A2386}"/>
    <hyperlink ref="V852" r:id="rId474" xr:uid="{05B4D71E-89FE-EB4B-962B-75E117A43A72}"/>
    <hyperlink ref="V854" r:id="rId475" xr:uid="{656B1D27-16C3-7A46-AF63-9F601BB5E9E7}"/>
    <hyperlink ref="V855" r:id="rId476" xr:uid="{4EED4CDB-B1A0-4048-B96E-620457A51AE0}"/>
    <hyperlink ref="V856" r:id="rId477" xr:uid="{D3776A98-394E-394A-9BD5-772E11FFE6D5}"/>
    <hyperlink ref="V857" r:id="rId478" xr:uid="{45D60C19-12BA-C94A-B779-D1CA1B4422FE}"/>
    <hyperlink ref="V858" r:id="rId479" xr:uid="{F145444B-C138-2F44-ABE5-50692C77FD38}"/>
    <hyperlink ref="V860" r:id="rId480" xr:uid="{E7705699-21A9-9244-BE45-11EED1192D57}"/>
    <hyperlink ref="V859" r:id="rId481" xr:uid="{2428ED43-24CA-904C-AAAB-DB9FC0053157}"/>
    <hyperlink ref="V861" r:id="rId482" xr:uid="{6D4431D6-935D-ED49-BC2C-E8CAE4BC84B3}"/>
    <hyperlink ref="V862" r:id="rId483" xr:uid="{A2E7DC89-023C-C740-9968-8BECDC4CFA55}"/>
    <hyperlink ref="V863" r:id="rId484" xr:uid="{B60E67FF-39EE-774C-9920-9FEFF6F3465B}"/>
    <hyperlink ref="V864" r:id="rId485" xr:uid="{2C6CF71D-B9F5-AA4B-B33E-174C917ADDE1}"/>
    <hyperlink ref="V865" r:id="rId486" xr:uid="{8BC2B209-F4F2-4D4C-B5DF-58EE467376E6}"/>
    <hyperlink ref="V867" r:id="rId487" xr:uid="{F63839D0-D801-2242-B702-38635767105D}"/>
    <hyperlink ref="V866" r:id="rId488" xr:uid="{323C9F47-DEED-9D41-9B8D-FD06DEBBF46B}"/>
    <hyperlink ref="V868" r:id="rId489" xr:uid="{4E90DC9B-6FDC-1047-B7E7-85C329FF1A9F}"/>
    <hyperlink ref="V869" r:id="rId490" xr:uid="{B8EBD325-ED91-2047-A411-78BAD719E487}"/>
    <hyperlink ref="V870" r:id="rId491" xr:uid="{A1D5A2F6-5A76-AC4B-B304-EBFD70F6C11F}"/>
    <hyperlink ref="V871" r:id="rId492" xr:uid="{1DB5641C-6628-CD42-96CE-E238EC06ACBF}"/>
    <hyperlink ref="V872" r:id="rId493" xr:uid="{4D60D7AF-A2CC-A246-822A-7FC601C2280D}"/>
    <hyperlink ref="V874" r:id="rId494" xr:uid="{AD961640-24BC-ED42-8379-001C3949E29B}"/>
    <hyperlink ref="V873" r:id="rId495" xr:uid="{F6DFA132-A84E-934F-887B-D2E38737A080}"/>
    <hyperlink ref="V875" r:id="rId496" xr:uid="{8B96C18E-B17F-0345-84E2-BF5DCF94792F}"/>
    <hyperlink ref="V876" r:id="rId497" xr:uid="{10467C75-EBCD-324C-A000-3E189EA68CD1}"/>
    <hyperlink ref="V877" r:id="rId498" xr:uid="{C9AC8789-3AEF-3E47-ADDD-89AFB8909A18}"/>
    <hyperlink ref="V878" r:id="rId499" xr:uid="{913AF3C0-DA68-CA46-B231-0C03AA07B01B}"/>
    <hyperlink ref="V879" r:id="rId500" xr:uid="{DB2DA89F-C529-4944-B26D-B40031C698E1}"/>
    <hyperlink ref="V881" r:id="rId501" xr:uid="{1CD6511F-3D7A-AD4F-A3AD-18F6187C1A39}"/>
    <hyperlink ref="V880" r:id="rId502" xr:uid="{37333B7C-1D2F-B343-BECE-8913D4B9A137}"/>
    <hyperlink ref="V882" r:id="rId503" xr:uid="{476F7857-31D5-BC46-9D49-B9A962602877}"/>
    <hyperlink ref="V883" r:id="rId504" xr:uid="{E6B27A8C-36E3-CD4E-9640-FFAB6446F741}"/>
    <hyperlink ref="V884" r:id="rId505" xr:uid="{61D4B7BC-CE7B-3343-897D-C3807E4CE673}"/>
    <hyperlink ref="V885" r:id="rId506" xr:uid="{6AEBF719-6EED-FD4E-B5AB-71F836EBEBC3}"/>
    <hyperlink ref="V886" r:id="rId507" xr:uid="{0D967B41-F3DF-1B46-AA22-BBDF79590154}"/>
    <hyperlink ref="V888" r:id="rId508" xr:uid="{E63E6EC7-A674-FE49-B011-821A5DCBFC7C}"/>
    <hyperlink ref="V887" r:id="rId509" xr:uid="{BC8CBCBB-AAC1-6547-8981-81597FEBD367}"/>
    <hyperlink ref="V889" r:id="rId510" xr:uid="{FDBC2C86-D317-9A40-AD40-33B98A08090A}"/>
    <hyperlink ref="V890" r:id="rId511" xr:uid="{F1F25240-0668-AD4B-B65C-9820B498FF97}"/>
    <hyperlink ref="V891" r:id="rId512" xr:uid="{253F07DB-0F6E-014C-A39C-4F5EC3B4926F}"/>
    <hyperlink ref="V892" r:id="rId513" xr:uid="{196A615D-AAA6-7640-8D24-49AF12023164}"/>
    <hyperlink ref="V893" r:id="rId514" xr:uid="{87E0F782-39EE-9F44-90B4-4E0F315A39F9}"/>
    <hyperlink ref="V895" r:id="rId515" xr:uid="{B0829ADD-94A4-1F44-9D73-C77B76A39095}"/>
    <hyperlink ref="V894" r:id="rId516" xr:uid="{2B83ED62-3010-9A49-A225-6FDFBAEA79BC}"/>
    <hyperlink ref="V896" r:id="rId517" xr:uid="{28B6E0DD-5924-B143-93A6-5D9298D6F5B6}"/>
    <hyperlink ref="V897" r:id="rId518" xr:uid="{ABDA03ED-B7E9-4748-8D19-0E6259BD5F26}"/>
    <hyperlink ref="V898" r:id="rId519" xr:uid="{BE5575C3-E5C5-0E4B-ADE4-7D612EC02CE2}"/>
    <hyperlink ref="V899" r:id="rId520" xr:uid="{D3EEBF7C-EC34-B341-BB57-A58C8AFE6FBB}"/>
    <hyperlink ref="V900" r:id="rId521" xr:uid="{BC4C8DEB-3B08-7F43-91DB-00542DF16E53}"/>
    <hyperlink ref="V902" r:id="rId522" xr:uid="{D9AD5DEE-A27A-3146-A1A3-31941E0D1419}"/>
    <hyperlink ref="V901" r:id="rId523" xr:uid="{8FC6662B-E022-2846-B757-0F6C9038DF45}"/>
    <hyperlink ref="V903" r:id="rId524" xr:uid="{1171C5D1-32D3-E645-8842-D21240F52C70}"/>
    <hyperlink ref="V904" r:id="rId525" xr:uid="{15CAE2AB-291D-0E41-988C-04487BFA1158}"/>
    <hyperlink ref="V905" r:id="rId526" xr:uid="{BEC01D20-7E68-CE43-9667-8EFB99E53B62}"/>
    <hyperlink ref="V906" r:id="rId527" xr:uid="{B7F42D7E-A54F-2B40-9EF3-53181AA05CDD}"/>
    <hyperlink ref="V907" r:id="rId528" xr:uid="{3831344F-2D94-BB46-8AAC-FFBD50DBE066}"/>
    <hyperlink ref="V909" r:id="rId529" xr:uid="{1F7BC5A3-9A30-8947-83D0-C437BDAA0553}"/>
    <hyperlink ref="V908" r:id="rId530" xr:uid="{15D83EB4-54AC-6F4A-91F2-FF3AC965B1D1}"/>
    <hyperlink ref="V910" r:id="rId531" xr:uid="{61EAAD27-DB53-AB4B-81F1-213ECB353206}"/>
    <hyperlink ref="V911" r:id="rId532" xr:uid="{EA0D79E1-714E-6C41-9CAC-A04E96151226}"/>
    <hyperlink ref="V912" r:id="rId533" xr:uid="{D30FAB61-BC97-9346-B68D-327477AB00D9}"/>
    <hyperlink ref="V913" r:id="rId534" xr:uid="{413A0568-6200-2845-A89F-06EC3B7BF7EA}"/>
    <hyperlink ref="V914" r:id="rId535" xr:uid="{7A216DA7-176F-0746-9095-44DAC0511DE2}"/>
    <hyperlink ref="V916" r:id="rId536" xr:uid="{AD925A1A-5EF8-8944-8B0E-E1D79757D74E}"/>
    <hyperlink ref="V915" r:id="rId537" xr:uid="{28425AF4-2BCA-F245-B466-B880AA52AE02}"/>
    <hyperlink ref="V917" r:id="rId538" xr:uid="{D144771D-B5B4-0643-BEFF-C270BF1D551E}"/>
    <hyperlink ref="V918" r:id="rId539" xr:uid="{34594663-9C64-4F4A-ADE2-7B9713E897E1}"/>
    <hyperlink ref="V920" r:id="rId540" xr:uid="{24BCAFE3-C97B-DB49-BD91-864AC4E02997}"/>
    <hyperlink ref="V919" r:id="rId541" xr:uid="{9DF2EEAD-AF44-B242-B648-5B643918835F}"/>
    <hyperlink ref="V932" r:id="rId542" xr:uid="{F6A53758-AA1F-8043-A3EF-42F449882F7A}"/>
    <hyperlink ref="V933" r:id="rId543" xr:uid="{DFB0B9E7-5133-6B41-B345-40A1536AC244}"/>
    <hyperlink ref="V934" r:id="rId544" xr:uid="{265F5128-66B9-F841-A8A9-1AE4C947609A}"/>
    <hyperlink ref="V935" r:id="rId545" xr:uid="{D0A81743-BFE1-7843-B4DD-895F06284B98}"/>
    <hyperlink ref="V936" r:id="rId546" xr:uid="{3F5549B2-9961-4647-BC44-A8F4BDBED2C5}"/>
    <hyperlink ref="V937" r:id="rId547" xr:uid="{60815093-727C-A141-91A9-C8295BFE2AFE}"/>
    <hyperlink ref="V939" r:id="rId548" xr:uid="{74D2CC57-4533-5C4F-88EC-0300B626814E}"/>
    <hyperlink ref="V938" r:id="rId549" xr:uid="{B5BF25C3-D1BE-9A42-9D58-1669E3CA1B92}"/>
    <hyperlink ref="V940" r:id="rId550" xr:uid="{2644047E-8E98-AF48-BA4B-9F726AD4387B}"/>
    <hyperlink ref="V941" r:id="rId551" xr:uid="{9ED9C582-B7E2-3E4C-9CDA-B7E9B297DEFF}"/>
    <hyperlink ref="V943" r:id="rId552" xr:uid="{DC03D6C5-68CE-9040-997F-2F22ABB07EC2}"/>
    <hyperlink ref="V942" r:id="rId553" xr:uid="{C511E335-2E2D-3A43-8F64-5186AD12BA98}"/>
    <hyperlink ref="V944" r:id="rId554" xr:uid="{74FCF3EB-98A9-0B46-BCA9-CD2C54BB6F88}"/>
    <hyperlink ref="V945" r:id="rId555" xr:uid="{14457606-6ADA-704E-91F2-4283DAFA54EC}"/>
    <hyperlink ref="V946" r:id="rId556" xr:uid="{EF8016A7-4E39-2D41-B9F7-C5D385018B1F}"/>
    <hyperlink ref="V948" r:id="rId557" xr:uid="{05B41E51-750E-6143-AC95-DB26049D734F}"/>
    <hyperlink ref="V947" r:id="rId558" xr:uid="{80E0FD18-F5B0-AF42-9A6D-B4FFA50E55D8}"/>
    <hyperlink ref="V949" r:id="rId559" xr:uid="{52BD0521-1130-754C-B45C-A460502408E8}"/>
    <hyperlink ref="V950" r:id="rId560" xr:uid="{B5B3B37C-5A1F-C549-A893-EE38BDB50D2F}"/>
    <hyperlink ref="V951" r:id="rId561" xr:uid="{BCD1914E-FBE9-7842-8389-19E8FEB8F7A2}"/>
    <hyperlink ref="V952" r:id="rId562" xr:uid="{7E938DFE-FA66-F045-8EC9-CA54ADA90134}"/>
    <hyperlink ref="V953" r:id="rId563" xr:uid="{BF833E22-DAAD-1444-9ABD-EA9C4147590F}"/>
    <hyperlink ref="V955" r:id="rId564" xr:uid="{459193C7-8F60-D144-844E-E27386B79B0A}"/>
    <hyperlink ref="V954" r:id="rId565" xr:uid="{7D605A01-A832-744E-8E00-96A3B3CC7EC9}"/>
    <hyperlink ref="V956" r:id="rId566" xr:uid="{3614A883-4567-474A-A73E-BAF4225E5536}"/>
    <hyperlink ref="V957" r:id="rId567" xr:uid="{E065308F-710C-6045-841A-36DFC587B6CB}"/>
    <hyperlink ref="V958" r:id="rId568" xr:uid="{8E395698-21F2-4C42-BCC0-B4547600BB0B}"/>
    <hyperlink ref="V959" r:id="rId569" xr:uid="{D1F66F73-5F7F-F84A-9555-F61E7C1873C2}"/>
    <hyperlink ref="V960" r:id="rId570" xr:uid="{D712AE11-4A87-4741-A1A2-461BCFD914AA}"/>
    <hyperlink ref="V962" r:id="rId571" xr:uid="{6E9E4F6C-35B0-894D-AB6B-3807CAE31455}"/>
    <hyperlink ref="V961" r:id="rId572" xr:uid="{F245AFC4-D11E-B348-849C-CC12BA29391A}"/>
    <hyperlink ref="V963" r:id="rId573" xr:uid="{0B3EBFBD-7C5B-7341-BDBD-103933138C9F}"/>
    <hyperlink ref="V964" r:id="rId574" xr:uid="{D1DB2BB7-C2E8-D34E-94BC-F301C114A401}"/>
    <hyperlink ref="V966" r:id="rId575" xr:uid="{F9F2DFF1-CFD0-C64C-B3D4-2560461D3FBE}"/>
    <hyperlink ref="V965" r:id="rId576" xr:uid="{6B3A3EF7-7CC6-C541-8030-9F6AF0A26A96}"/>
    <hyperlink ref="V967" r:id="rId577" xr:uid="{B5465BB3-55B9-CD41-9575-6643945AD3B8}"/>
    <hyperlink ref="V968" r:id="rId578" xr:uid="{3EBFDAB3-E3CF-974F-B253-341D86CEFA30}"/>
    <hyperlink ref="V969" r:id="rId579" xr:uid="{AFEDFBA4-83D4-8145-BBAA-25F6FD34D5BC}"/>
    <hyperlink ref="V970" r:id="rId580" xr:uid="{B3D09776-DB93-904F-B1AF-F0A455571FCB}"/>
    <hyperlink ref="V971" r:id="rId581" xr:uid="{9CA44931-7239-D849-99B7-2E32388ED45F}"/>
    <hyperlink ref="V973" r:id="rId582" xr:uid="{776A2186-5F0A-B04C-8899-57418CE7ACFA}"/>
    <hyperlink ref="V972" r:id="rId583" xr:uid="{8AA13152-245C-4D42-A7B8-CC6483AF392C}"/>
    <hyperlink ref="V974" r:id="rId584" xr:uid="{23ABD419-ABC0-3C4C-919E-F4E6458DE11E}"/>
    <hyperlink ref="V975" r:id="rId585" xr:uid="{F1478F18-EF62-974F-9BC8-C6205D619AF6}"/>
    <hyperlink ref="V977" r:id="rId586" xr:uid="{02DB7FD8-2F43-354D-A424-833FB9F33932}"/>
    <hyperlink ref="V976" r:id="rId587" xr:uid="{8324E173-1B8F-F846-84A1-ECD78476E238}"/>
    <hyperlink ref="V978" r:id="rId588" xr:uid="{A0ACAAE2-2B11-0A4D-97EB-7230BB893EEB}"/>
    <hyperlink ref="V980" r:id="rId589" xr:uid="{DFE88C04-7D9F-DA49-B53E-C6829D373BA1}"/>
    <hyperlink ref="V979" r:id="rId590" xr:uid="{17D096CF-74B7-D94C-94C7-ABC41616D0FF}"/>
    <hyperlink ref="V982" r:id="rId591" xr:uid="{CC05E22A-627E-5F4E-81E2-1D1FD1F53D71}"/>
    <hyperlink ref="V983" r:id="rId592" xr:uid="{9149E11A-9385-FD4B-85A1-BB3D68CB3509}"/>
    <hyperlink ref="V984" r:id="rId593" xr:uid="{C70137C1-9D56-7147-AAE4-E4173DFF6B75}"/>
    <hyperlink ref="V985" r:id="rId594" xr:uid="{8D06D4AA-3C6A-9548-B8EF-6BE184B1CA98}"/>
    <hyperlink ref="V986" r:id="rId595" xr:uid="{D7915F8C-CB16-F54D-B1FC-3F5610F5E9ED}"/>
    <hyperlink ref="V987" r:id="rId596" xr:uid="{4C7D56B4-FA3F-B245-95A2-BEA183D83D62}"/>
    <hyperlink ref="V988" r:id="rId597" xr:uid="{89254E0C-A9BD-284C-ABE3-9A331FFE7FF0}"/>
    <hyperlink ref="V989" r:id="rId598" xr:uid="{8BF9E30E-64EF-C144-A683-0C23D630E440}"/>
    <hyperlink ref="V990" r:id="rId599" xr:uid="{A72626F2-7273-5448-AA80-080360B9AE14}"/>
    <hyperlink ref="V991" r:id="rId600" xr:uid="{562495C6-2BED-AC48-B8C6-F1B2543EDDBC}"/>
    <hyperlink ref="V992" r:id="rId601" xr:uid="{E0294219-9EA8-DE46-BF13-BD1452BEC158}"/>
    <hyperlink ref="V993" r:id="rId602" xr:uid="{AD967776-0C17-A34E-994C-581243FAECCF}"/>
    <hyperlink ref="V994" r:id="rId603" xr:uid="{D1B36065-6612-5244-94EC-05F114E1F78E}"/>
    <hyperlink ref="V995" r:id="rId604" xr:uid="{AEB28FA1-F075-4348-8EC1-16E7D02F253C}"/>
    <hyperlink ref="V996" r:id="rId605" xr:uid="{3BA83445-30AA-0543-AFF8-9D46269C2E50}"/>
    <hyperlink ref="V997" r:id="rId606" xr:uid="{961BBA63-E22F-EA4D-BF87-F25681D0F543}"/>
    <hyperlink ref="V998" r:id="rId607" xr:uid="{025B67BA-83A3-794B-BDD0-04FD05C2DD48}"/>
    <hyperlink ref="V999" r:id="rId608" xr:uid="{8789EBCA-12A1-1A4E-B051-8BCC1F74C0E6}"/>
    <hyperlink ref="V1000" r:id="rId609" xr:uid="{DA48D240-4AE6-1947-99BE-F3613F96F05B}"/>
    <hyperlink ref="V1001" r:id="rId610" xr:uid="{B129F1CB-D632-414F-95A7-C4C531BF96EE}"/>
    <hyperlink ref="V1002" r:id="rId611" xr:uid="{15E14225-02BD-FE49-9F1E-8813BF4DF0DD}"/>
    <hyperlink ref="V1003" r:id="rId612" xr:uid="{90172EEB-3AF0-524D-AEA6-ECC842BDDC84}"/>
    <hyperlink ref="V1004" r:id="rId613" xr:uid="{35A9B9DE-7D41-794C-8706-BED530541523}"/>
    <hyperlink ref="V1005" r:id="rId614" xr:uid="{353E6F23-75D3-5341-B965-4CFF972B923B}"/>
    <hyperlink ref="V1006" r:id="rId615" xr:uid="{D44CF6D6-BC25-C945-B828-C0BB38722E73}"/>
    <hyperlink ref="V1007" r:id="rId616" xr:uid="{E2F8CEA0-FFDF-BC4E-8EAF-1B41DE94BDBC}"/>
    <hyperlink ref="V1008" r:id="rId617" xr:uid="{2240C32E-8187-FA46-B332-F84B30F89B6F}"/>
    <hyperlink ref="V1009" r:id="rId618" xr:uid="{9D23857E-ACD2-734F-AD7A-71110FB8F36D}"/>
    <hyperlink ref="V1010" r:id="rId619" xr:uid="{CDB400F8-B60F-EF47-B359-232476BB31C7}"/>
    <hyperlink ref="V1011" r:id="rId620" xr:uid="{F9006349-07D0-3544-8C9C-D08D2F9236EE}"/>
    <hyperlink ref="V1012" r:id="rId621" xr:uid="{3352E3E2-7798-6C49-9549-57075D53F8C7}"/>
    <hyperlink ref="V1013" r:id="rId622" xr:uid="{10B1C006-BEDC-C049-982F-192305D4005B}"/>
    <hyperlink ref="V1014" r:id="rId623" xr:uid="{99FD2E25-9B83-6747-BC40-D6CF7B307A6F}"/>
    <hyperlink ref="V1015" r:id="rId624" xr:uid="{FD2A1708-B6AE-9F43-8BC4-DFACDBF29A50}"/>
    <hyperlink ref="V1016" r:id="rId625" xr:uid="{CE21C76A-9870-7948-A3A9-F3F6A76AD346}"/>
    <hyperlink ref="V1017" r:id="rId626" xr:uid="{8DC20442-8E91-5C49-A894-10A1FEA9587B}"/>
    <hyperlink ref="V1018" r:id="rId627" xr:uid="{7FB5BC3B-F77C-EA4B-A687-53746007A898}"/>
    <hyperlink ref="V1019" r:id="rId628" xr:uid="{BEC10DE0-6C90-5C49-B759-F64B55672EEA}"/>
    <hyperlink ref="V1020" r:id="rId629" xr:uid="{521C3C9A-B145-7A49-B68A-18552F5E0F44}"/>
    <hyperlink ref="V1021" r:id="rId630" xr:uid="{9F1405A7-8530-D34E-852A-FB4127869B7E}"/>
    <hyperlink ref="V1022" r:id="rId631" xr:uid="{8876FBA9-3C8F-944F-AED2-DF49C13A762B}"/>
    <hyperlink ref="V1023" r:id="rId632" xr:uid="{51E9F6FE-D3D7-D640-BD0E-D80F429CD922}"/>
    <hyperlink ref="V1273" r:id="rId633" xr:uid="{1E60A3B9-9DE1-1F4F-A4F8-91B04EBEF2E8}"/>
    <hyperlink ref="V1274" r:id="rId634" xr:uid="{0A709999-D3FB-434A-A23B-3A0963FA1624}"/>
    <hyperlink ref="V1275" r:id="rId635" xr:uid="{032DCB1C-84D9-6C41-AE51-398BFE83A669}"/>
    <hyperlink ref="V1277" r:id="rId636" xr:uid="{BD4C5874-EE59-3A4A-8CBE-0EAC7FA75706}"/>
    <hyperlink ref="V1276" r:id="rId637" xr:uid="{8BA4D63B-4A0C-0748-AC39-94933C951676}"/>
    <hyperlink ref="V1278" r:id="rId638" xr:uid="{2991FF76-81DF-664E-A407-DF0FE6C6B879}"/>
    <hyperlink ref="V1279" r:id="rId639" xr:uid="{4BE45DC5-7F27-A445-B2D1-49B65567703C}"/>
    <hyperlink ref="V1281" r:id="rId640" xr:uid="{EAC820ED-AA17-8D42-BFAA-7D95C0886DE4}"/>
    <hyperlink ref="V1283" r:id="rId641" xr:uid="{4F345B1B-8CD2-DF40-B328-C0440E8CF1FF}"/>
    <hyperlink ref="V1282" r:id="rId642" xr:uid="{13393705-EDA6-6B4C-92AF-E1CAD2947F22}"/>
    <hyperlink ref="V1284" r:id="rId643" xr:uid="{A4F998A9-D5B8-194B-902E-F203B978D64A}"/>
    <hyperlink ref="V1285" r:id="rId644" xr:uid="{E03586BB-1CD1-2945-88CA-D33A37AA2D44}"/>
    <hyperlink ref="V1286" r:id="rId645" xr:uid="{4B436C35-8B4C-5448-B6A0-81307776FED7}"/>
    <hyperlink ref="V1288" r:id="rId646" xr:uid="{A19CC8D3-632F-DC4F-91E0-F8617CA8727E}"/>
    <hyperlink ref="V1287" r:id="rId647" xr:uid="{7725C3E0-C529-6441-91CE-7D030DF4BF84}"/>
    <hyperlink ref="V1289" r:id="rId648" xr:uid="{C34F330A-C03F-E247-B067-8FC814D13266}"/>
    <hyperlink ref="V1290" r:id="rId649" xr:uid="{66A9420E-FA8C-9949-B51A-8C199EB6F97E}"/>
    <hyperlink ref="V1291" r:id="rId650" xr:uid="{93DCDBE3-FA07-5B48-BA6D-8E1F272CBBDE}"/>
    <hyperlink ref="V1294" r:id="rId651" xr:uid="{F1B7C78D-A9F6-824A-9155-1C770BDBCCD2}"/>
    <hyperlink ref="V1293" r:id="rId652" xr:uid="{B50A4F68-AD79-3745-86FE-1D47587BF391}"/>
    <hyperlink ref="V1295" r:id="rId653" xr:uid="{0F74315C-C5FD-3A4A-A2F3-7B0A4016AF4B}"/>
    <hyperlink ref="V1296" r:id="rId654" xr:uid="{9EAA8E76-0A50-1A43-AE83-ABCE69FF3E42}"/>
    <hyperlink ref="V1297" r:id="rId655" xr:uid="{9ED381C0-D1CF-8D47-A13F-EA3BD0A1EE7B}"/>
    <hyperlink ref="V1299" r:id="rId656" xr:uid="{A00D8C1E-8C1A-414A-8FA1-46D39D844FB3}"/>
    <hyperlink ref="V1298" r:id="rId657" xr:uid="{C50172C9-8E84-4F43-992A-B6449A55FA26}"/>
    <hyperlink ref="V1300" r:id="rId658" xr:uid="{33178EF5-8298-C948-AE5B-57B90AA61BDB}"/>
    <hyperlink ref="V1301" r:id="rId659" xr:uid="{8E2D932C-CB0B-E24A-9BDC-040B85827B67}"/>
    <hyperlink ref="V1303" r:id="rId660" xr:uid="{EC66F9FD-FBC4-D64A-AA25-04039969FC13}"/>
    <hyperlink ref="V1302" r:id="rId661" xr:uid="{4536BF59-F0B9-C649-8BA7-F45CD3EF25A6}"/>
    <hyperlink ref="V1305" r:id="rId662" xr:uid="{828C08F9-D62E-1944-8A66-CD2DC6F3A32B}"/>
    <hyperlink ref="V1304" r:id="rId663" xr:uid="{D3E947E8-5423-DB45-A524-3A0A30404D0A}"/>
    <hyperlink ref="V1306" r:id="rId664" xr:uid="{34A1F4D3-2EB5-074F-A40B-EAC606195B3B}"/>
    <hyperlink ref="V1307" r:id="rId665" xr:uid="{C5A2F254-D750-E24B-BE83-657084B6200B}"/>
    <hyperlink ref="V1308" r:id="rId666" xr:uid="{9BAC0BEC-4664-9C4E-859D-955DD7221207}"/>
    <hyperlink ref="V1310" r:id="rId667" xr:uid="{1E16232B-D33D-D743-B26E-6890464A7E67}"/>
    <hyperlink ref="V1309" r:id="rId668" xr:uid="{EBD5223D-2302-C745-B934-04FF6E27AE27}"/>
    <hyperlink ref="V1311" r:id="rId669" xr:uid="{9D0CCBB7-D49D-A747-B53D-37D248E57EF5}"/>
    <hyperlink ref="V1312" r:id="rId670" xr:uid="{187874FD-4ECC-124B-990B-0A7031BA5AB2}"/>
    <hyperlink ref="V1314" r:id="rId671" xr:uid="{4C5829D5-EE68-2240-989A-127C506C70BF}"/>
    <hyperlink ref="V1313" r:id="rId672" xr:uid="{A4821F1B-3390-4341-9805-732838FD2E41}"/>
    <hyperlink ref="V1316" r:id="rId673" xr:uid="{973E0553-6EDA-4949-8527-930DA13C3546}"/>
    <hyperlink ref="V1315" r:id="rId674" xr:uid="{7C4A6DE2-9E3B-2045-8D1E-5E6EEE63E753}"/>
    <hyperlink ref="V1317" r:id="rId675" xr:uid="{1152E317-52AC-A44F-9AE5-DB0E524FD1E7}"/>
    <hyperlink ref="V1318" r:id="rId676" xr:uid="{E914781D-97BA-6341-BC93-3F2CA01E03A8}"/>
    <hyperlink ref="V1319" r:id="rId677" xr:uid="{734181CC-29BF-5840-A946-7F99C1DEB550}"/>
    <hyperlink ref="V1321" r:id="rId678" xr:uid="{80B4901D-7D72-AA4C-B145-8B23333424FC}"/>
    <hyperlink ref="V1320" r:id="rId679" xr:uid="{BAEE5B57-57EA-4C46-A78C-340718DF16AE}"/>
    <hyperlink ref="V1322" r:id="rId680" xr:uid="{3A502821-1609-0243-BA6D-888F0FC6DBA9}"/>
    <hyperlink ref="V1323" r:id="rId681" xr:uid="{588E0484-DC94-DF41-AD4E-98FB5852DAF8}"/>
    <hyperlink ref="V1325" r:id="rId682" xr:uid="{FE9569A3-B940-FB4C-B6E2-8918EBA1991F}"/>
    <hyperlink ref="V1324" r:id="rId683" xr:uid="{D4F9089B-6E9A-DE4D-8EF3-F1B9A488F0FC}"/>
    <hyperlink ref="V1326" r:id="rId684" xr:uid="{F4880245-F674-854A-938A-5A80D55B8222}"/>
    <hyperlink ref="V1327" r:id="rId685" xr:uid="{41CE1FEB-6188-9840-8CE8-8C62EDEED157}"/>
    <hyperlink ref="V1328" r:id="rId686" xr:uid="{5AAA19D5-368F-804C-9B92-77C8A7DDDBA7}"/>
    <hyperlink ref="V1330" r:id="rId687" xr:uid="{80F7A7A1-B861-0A44-8E45-F6D7B6B51FD5}"/>
    <hyperlink ref="V1329" r:id="rId688" xr:uid="{04DD4F01-57DA-9846-9F66-6F6C404CB9E6}"/>
    <hyperlink ref="V1331" r:id="rId689" xr:uid="{7970B6F0-A951-4640-A04C-413D3D67C8F6}"/>
    <hyperlink ref="V1333" r:id="rId690" xr:uid="{3976156F-7E3F-7F4E-B87D-D14ADCCDA897}"/>
    <hyperlink ref="V1332" r:id="rId691" xr:uid="{1860E166-8516-1E4C-AFDC-D465E34458B3}"/>
    <hyperlink ref="V1334" r:id="rId692" xr:uid="{9B1AC7CC-0A71-4947-832D-75A963C594B1}"/>
    <hyperlink ref="V1335" r:id="rId693" xr:uid="{FE29FC18-EBC7-3143-B7D9-FB39C635EC50}"/>
    <hyperlink ref="V1409" r:id="rId694" tooltip="Persistent link using digital object identifier" xr:uid="{1606F3E0-F66D-9C44-9783-DBD35D0C8AF2}"/>
    <hyperlink ref="V1410" r:id="rId695" tooltip="Persistent link using digital object identifier" xr:uid="{940553C5-EB13-4348-BC68-1BF3339BC96B}"/>
    <hyperlink ref="V1411" r:id="rId696" tooltip="Persistent link using digital object identifier" xr:uid="{62E1F1AE-56B3-A445-A715-3E20158FF0D9}"/>
    <hyperlink ref="V259:V261" r:id="rId697" tooltip="Persistent link using digital object identifier" display="https://doi.org/10.1016/j.yqres.2009.04.001" xr:uid="{FA4C42CB-3C89-C14A-935D-F0CD66E41ABC}"/>
    <hyperlink ref="V263" r:id="rId698" xr:uid="{B79D224C-7D8E-4A45-82EE-26A51093A191}"/>
    <hyperlink ref="V262" r:id="rId699" tooltip="Persistent link using digital object identifier" display="https://doi.org/10.1016/j.yqres.2009.04.001" xr:uid="{6FC499A4-2895-0742-8FA3-7C0D8D86CA44}"/>
    <hyperlink ref="V213:V216" r:id="rId700" tooltip="Persistent link using digital object identifier" display="https://doi.org/10.1016/j.quascirev.2013.07.024" xr:uid="{6A63F2C2-46A0-1A4C-AC2F-8A744ED9E87C}"/>
    <hyperlink ref="V216" r:id="rId701" xr:uid="{B74A389A-B3B8-7646-A429-900C4E35A4B2}"/>
    <hyperlink ref="V1280" r:id="rId702" xr:uid="{4D6DB0A2-1C58-C847-A1A6-A9277E964CAF}"/>
    <hyperlink ref="V12:V41" r:id="rId703" tooltip="Persistent link using digital object identifier" display="https://doi.org/10.1016/j.quascirev.2013.07.024" xr:uid="{5DBC4CB7-A0F7-BD40-8F8A-78E78E819858}"/>
    <hyperlink ref="V63" r:id="rId704" tooltip="Persistent link using digital object identifier" display="https://doi.org/10.1016/j.quascirev.2020.106540" xr:uid="{C75EBFDE-C96F-7844-9A63-1D49BFF402BA}"/>
  </hyperlinks>
  <pageMargins left="0.7" right="0.7" top="0.75" bottom="0.75" header="0" footer="0"/>
  <pageSetup orientation="portrait"/>
  <legacyDrawing r:id="rId705"/>
  <tableParts count="1">
    <tablePart r:id="rId70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003"/>
  <sheetViews>
    <sheetView workbookViewId="0">
      <pane ySplit="2" topLeftCell="A3" activePane="bottomLeft" state="frozen"/>
      <selection pane="bottomLeft" activeCell="B4" sqref="B4"/>
    </sheetView>
  </sheetViews>
  <sheetFormatPr baseColWidth="10" defaultColWidth="12.6640625" defaultRowHeight="15" customHeight="1"/>
  <cols>
    <col min="2" max="3" width="11.5" customWidth="1"/>
    <col min="4" max="4" width="14.1640625" customWidth="1"/>
    <col min="5" max="6" width="16.1640625" customWidth="1"/>
    <col min="7" max="7" width="12.1640625" customWidth="1"/>
    <col min="8" max="8" width="22.1640625" customWidth="1"/>
    <col min="9" max="9" width="23.83203125" customWidth="1"/>
    <col min="11" max="11" width="10" customWidth="1"/>
    <col min="13" max="13" width="11.83203125" customWidth="1"/>
    <col min="14" max="14" width="14.6640625" customWidth="1"/>
  </cols>
  <sheetData>
    <row r="1" spans="1:16" ht="15" customHeight="1">
      <c r="A1" s="211" t="s">
        <v>1732</v>
      </c>
      <c r="B1" s="212"/>
      <c r="C1" s="212"/>
      <c r="D1" s="212"/>
      <c r="E1" s="212"/>
      <c r="F1" s="212"/>
      <c r="J1" s="1"/>
      <c r="K1" s="1"/>
      <c r="L1" s="1"/>
      <c r="M1" s="1"/>
    </row>
    <row r="2" spans="1:16" ht="15" customHeight="1">
      <c r="A2" t="s">
        <v>1733</v>
      </c>
      <c r="B2" t="s">
        <v>1734</v>
      </c>
      <c r="C2" t="s">
        <v>1735</v>
      </c>
      <c r="D2" t="s">
        <v>1736</v>
      </c>
      <c r="E2" t="s">
        <v>1737</v>
      </c>
      <c r="F2" t="s">
        <v>1738</v>
      </c>
      <c r="G2" t="s">
        <v>1739</v>
      </c>
      <c r="H2" t="s">
        <v>1740</v>
      </c>
      <c r="I2" t="s">
        <v>1741</v>
      </c>
      <c r="J2" s="1" t="s">
        <v>1742</v>
      </c>
      <c r="K2" s="1" t="s">
        <v>1743</v>
      </c>
      <c r="L2" s="1" t="s">
        <v>1744</v>
      </c>
      <c r="M2" s="1" t="s">
        <v>1745</v>
      </c>
      <c r="N2" t="s">
        <v>1746</v>
      </c>
      <c r="O2" t="s">
        <v>1747</v>
      </c>
      <c r="P2" t="s">
        <v>1748</v>
      </c>
    </row>
    <row r="3" spans="1:16" ht="15" customHeight="1">
      <c r="A3">
        <v>1</v>
      </c>
      <c r="F3">
        <v>1</v>
      </c>
      <c r="H3" t="s">
        <v>1749</v>
      </c>
      <c r="I3" t="s">
        <v>142</v>
      </c>
      <c r="J3" s="1">
        <v>9000</v>
      </c>
      <c r="K3" s="1">
        <v>250</v>
      </c>
      <c r="L3" s="1">
        <v>8000</v>
      </c>
      <c r="M3" s="1">
        <v>250</v>
      </c>
      <c r="N3" t="s">
        <v>1750</v>
      </c>
      <c r="O3" t="s">
        <v>1751</v>
      </c>
    </row>
    <row r="4" spans="1:16" ht="15" customHeight="1">
      <c r="A4">
        <v>2</v>
      </c>
      <c r="C4">
        <v>1</v>
      </c>
      <c r="E4">
        <v>1</v>
      </c>
      <c r="F4">
        <v>1</v>
      </c>
      <c r="H4" t="s">
        <v>1749</v>
      </c>
      <c r="I4" t="s">
        <v>1752</v>
      </c>
      <c r="J4" s="1">
        <v>8500</v>
      </c>
      <c r="K4" s="1">
        <v>250</v>
      </c>
      <c r="L4" s="1">
        <v>8000</v>
      </c>
      <c r="M4" s="1">
        <v>250</v>
      </c>
      <c r="N4" t="s">
        <v>1753</v>
      </c>
      <c r="O4" t="s">
        <v>1754</v>
      </c>
    </row>
    <row r="5" spans="1:16" ht="15" customHeight="1">
      <c r="A5">
        <v>3</v>
      </c>
      <c r="C5">
        <v>1</v>
      </c>
      <c r="G5">
        <v>1</v>
      </c>
      <c r="H5" t="s">
        <v>1749</v>
      </c>
      <c r="I5" t="s">
        <v>1755</v>
      </c>
      <c r="J5" s="1">
        <v>9000</v>
      </c>
      <c r="K5" s="1">
        <v>250</v>
      </c>
      <c r="L5" s="1">
        <v>7000</v>
      </c>
      <c r="M5" s="1">
        <v>250</v>
      </c>
      <c r="N5" t="s">
        <v>1756</v>
      </c>
      <c r="O5" t="s">
        <v>1757</v>
      </c>
      <c r="P5" t="s">
        <v>1758</v>
      </c>
    </row>
    <row r="6" spans="1:16" ht="15" customHeight="1">
      <c r="A6">
        <v>4</v>
      </c>
      <c r="C6">
        <v>1</v>
      </c>
      <c r="H6" t="s">
        <v>1749</v>
      </c>
      <c r="I6" t="s">
        <v>1759</v>
      </c>
      <c r="J6" s="1">
        <v>9250</v>
      </c>
      <c r="K6" s="1">
        <v>250</v>
      </c>
      <c r="L6" s="1">
        <v>7750</v>
      </c>
      <c r="M6" s="1">
        <v>250</v>
      </c>
      <c r="N6" t="s">
        <v>1760</v>
      </c>
      <c r="O6" t="s">
        <v>1761</v>
      </c>
      <c r="P6" t="s">
        <v>1762</v>
      </c>
    </row>
    <row r="7" spans="1:16" ht="15" customHeight="1">
      <c r="A7">
        <v>5</v>
      </c>
      <c r="E7">
        <v>1</v>
      </c>
      <c r="H7" t="s">
        <v>1749</v>
      </c>
      <c r="I7" t="s">
        <v>1759</v>
      </c>
      <c r="J7" s="1">
        <v>8750</v>
      </c>
      <c r="K7" s="1">
        <v>250</v>
      </c>
      <c r="L7" s="1">
        <v>7000</v>
      </c>
      <c r="M7" s="1">
        <v>250</v>
      </c>
      <c r="N7" t="s">
        <v>1763</v>
      </c>
      <c r="O7" t="s">
        <v>1764</v>
      </c>
      <c r="P7" t="s">
        <v>1765</v>
      </c>
    </row>
    <row r="8" spans="1:16" ht="15" customHeight="1">
      <c r="A8">
        <v>6</v>
      </c>
      <c r="D8">
        <v>1</v>
      </c>
      <c r="E8">
        <v>1</v>
      </c>
      <c r="H8" t="s">
        <v>1749</v>
      </c>
      <c r="I8" t="s">
        <v>1752</v>
      </c>
      <c r="J8" s="1">
        <v>8500</v>
      </c>
      <c r="K8" s="1">
        <v>100</v>
      </c>
      <c r="L8" s="1">
        <v>7800</v>
      </c>
      <c r="M8" s="1">
        <v>100</v>
      </c>
      <c r="N8" t="s">
        <v>1766</v>
      </c>
      <c r="O8" t="s">
        <v>1767</v>
      </c>
    </row>
    <row r="9" spans="1:16" ht="15" customHeight="1">
      <c r="A9">
        <v>7</v>
      </c>
      <c r="C9">
        <v>1</v>
      </c>
      <c r="H9" t="s">
        <v>1749</v>
      </c>
      <c r="I9" t="s">
        <v>1768</v>
      </c>
      <c r="J9" s="1">
        <v>9000</v>
      </c>
      <c r="K9" s="1">
        <v>250</v>
      </c>
      <c r="L9" s="1">
        <v>7500</v>
      </c>
      <c r="M9" s="1">
        <v>250</v>
      </c>
      <c r="N9" t="s">
        <v>1769</v>
      </c>
      <c r="O9" t="s">
        <v>1770</v>
      </c>
      <c r="P9" t="s">
        <v>1771</v>
      </c>
    </row>
    <row r="10" spans="1:16" ht="15" customHeight="1">
      <c r="A10">
        <v>8</v>
      </c>
      <c r="C10">
        <v>1</v>
      </c>
      <c r="H10" t="s">
        <v>1749</v>
      </c>
      <c r="I10" t="s">
        <v>1772</v>
      </c>
      <c r="J10" s="2">
        <v>9012</v>
      </c>
      <c r="K10" s="1">
        <v>221</v>
      </c>
      <c r="L10" s="1">
        <v>8000</v>
      </c>
      <c r="M10" s="1">
        <v>250</v>
      </c>
      <c r="N10" t="s">
        <v>1773</v>
      </c>
      <c r="O10" t="s">
        <v>1774</v>
      </c>
      <c r="P10" t="s">
        <v>1775</v>
      </c>
    </row>
    <row r="11" spans="1:16" ht="15" customHeight="1">
      <c r="A11">
        <v>9</v>
      </c>
      <c r="F11">
        <v>1</v>
      </c>
      <c r="H11" t="s">
        <v>1776</v>
      </c>
      <c r="I11" t="s">
        <v>1777</v>
      </c>
      <c r="J11" s="1">
        <v>9400</v>
      </c>
      <c r="K11" s="1">
        <v>250</v>
      </c>
      <c r="L11" s="1">
        <v>8000</v>
      </c>
      <c r="M11" s="1">
        <v>250</v>
      </c>
      <c r="N11" t="s">
        <v>1778</v>
      </c>
      <c r="O11" t="s">
        <v>1779</v>
      </c>
      <c r="P11" t="s">
        <v>1780</v>
      </c>
    </row>
    <row r="12" spans="1:16" ht="15" customHeight="1">
      <c r="A12">
        <v>10</v>
      </c>
      <c r="C12">
        <v>1</v>
      </c>
      <c r="H12" t="s">
        <v>1776</v>
      </c>
      <c r="I12" t="s">
        <v>1781</v>
      </c>
      <c r="J12" s="1">
        <v>8000</v>
      </c>
      <c r="K12" s="1">
        <v>250</v>
      </c>
      <c r="L12" s="1">
        <v>1000</v>
      </c>
      <c r="M12" s="1">
        <v>0</v>
      </c>
      <c r="N12" t="s">
        <v>1782</v>
      </c>
      <c r="O12" t="s">
        <v>1783</v>
      </c>
      <c r="P12" t="s">
        <v>1784</v>
      </c>
    </row>
    <row r="13" spans="1:16" ht="15" customHeight="1">
      <c r="A13">
        <v>11</v>
      </c>
      <c r="C13">
        <v>1</v>
      </c>
      <c r="E13">
        <v>1</v>
      </c>
      <c r="F13">
        <v>1</v>
      </c>
      <c r="G13">
        <v>1</v>
      </c>
      <c r="H13" t="s">
        <v>1785</v>
      </c>
      <c r="I13" t="s">
        <v>1786</v>
      </c>
      <c r="J13" s="1">
        <v>8000</v>
      </c>
      <c r="K13" s="1">
        <v>250</v>
      </c>
      <c r="L13" s="1">
        <v>7200</v>
      </c>
      <c r="M13" s="1">
        <v>250</v>
      </c>
      <c r="N13" t="s">
        <v>1787</v>
      </c>
      <c r="O13" t="s">
        <v>1788</v>
      </c>
    </row>
    <row r="14" spans="1:16" ht="15" customHeight="1">
      <c r="A14">
        <v>12</v>
      </c>
      <c r="C14">
        <v>1</v>
      </c>
      <c r="G14">
        <v>1</v>
      </c>
      <c r="H14" t="s">
        <v>1789</v>
      </c>
      <c r="I14" t="s">
        <v>1648</v>
      </c>
      <c r="J14" s="1">
        <v>9688</v>
      </c>
      <c r="K14" s="1">
        <v>539</v>
      </c>
      <c r="L14" s="1">
        <v>7614</v>
      </c>
      <c r="M14" s="1">
        <v>414</v>
      </c>
      <c r="N14" t="s">
        <v>1790</v>
      </c>
      <c r="O14" t="s">
        <v>1791</v>
      </c>
      <c r="P14" t="s">
        <v>1792</v>
      </c>
    </row>
    <row r="15" spans="1:16" ht="15" customHeight="1">
      <c r="A15">
        <v>13</v>
      </c>
      <c r="C15">
        <v>1</v>
      </c>
      <c r="D15">
        <v>1</v>
      </c>
      <c r="F15">
        <v>1</v>
      </c>
      <c r="H15" t="s">
        <v>1789</v>
      </c>
      <c r="I15" t="s">
        <v>1648</v>
      </c>
      <c r="J15" s="1">
        <v>9800</v>
      </c>
      <c r="K15" s="1">
        <v>250</v>
      </c>
      <c r="L15" s="1">
        <v>5900</v>
      </c>
      <c r="M15" s="1">
        <v>250</v>
      </c>
      <c r="N15" t="s">
        <v>1793</v>
      </c>
      <c r="O15" t="s">
        <v>1794</v>
      </c>
      <c r="P15" t="s">
        <v>1795</v>
      </c>
    </row>
    <row r="16" spans="1:16" ht="15" customHeight="1">
      <c r="A16">
        <v>14</v>
      </c>
      <c r="C16">
        <v>1</v>
      </c>
      <c r="F16" t="s">
        <v>1796</v>
      </c>
      <c r="H16" t="s">
        <v>1789</v>
      </c>
      <c r="I16" t="s">
        <v>1648</v>
      </c>
      <c r="J16" s="1">
        <v>9188</v>
      </c>
      <c r="K16" s="1">
        <v>250</v>
      </c>
      <c r="L16" s="1">
        <v>5700</v>
      </c>
      <c r="M16" s="1">
        <v>250</v>
      </c>
      <c r="N16" t="s">
        <v>1797</v>
      </c>
      <c r="O16" t="s">
        <v>1798</v>
      </c>
      <c r="P16" t="s">
        <v>1795</v>
      </c>
    </row>
    <row r="17" spans="1:16" ht="15" customHeight="1">
      <c r="A17">
        <v>15</v>
      </c>
      <c r="F17">
        <v>1</v>
      </c>
      <c r="H17" t="s">
        <v>1799</v>
      </c>
      <c r="I17" t="s">
        <v>1800</v>
      </c>
      <c r="J17" s="1">
        <v>8912</v>
      </c>
      <c r="K17" s="1">
        <v>172</v>
      </c>
      <c r="L17" s="1">
        <v>7818</v>
      </c>
      <c r="M17" s="1">
        <v>153</v>
      </c>
      <c r="N17" t="s">
        <v>1801</v>
      </c>
      <c r="O17" t="s">
        <v>1802</v>
      </c>
      <c r="P17" t="s">
        <v>1803</v>
      </c>
    </row>
    <row r="18" spans="1:16" ht="15" customHeight="1">
      <c r="A18">
        <v>16</v>
      </c>
      <c r="C18">
        <v>1</v>
      </c>
      <c r="G18">
        <v>1</v>
      </c>
      <c r="H18" t="s">
        <v>1804</v>
      </c>
      <c r="I18" t="s">
        <v>1805</v>
      </c>
      <c r="J18" s="1">
        <v>9000</v>
      </c>
      <c r="K18" s="1">
        <v>250</v>
      </c>
      <c r="L18" s="1">
        <v>8000</v>
      </c>
      <c r="M18" s="1">
        <v>250</v>
      </c>
      <c r="N18" t="s">
        <v>1806</v>
      </c>
      <c r="O18" t="s">
        <v>1807</v>
      </c>
      <c r="P18" t="s">
        <v>1808</v>
      </c>
    </row>
    <row r="19" spans="1:16" ht="15" customHeight="1">
      <c r="A19">
        <v>17</v>
      </c>
      <c r="C19">
        <v>1</v>
      </c>
      <c r="F19">
        <v>1</v>
      </c>
      <c r="G19">
        <v>1</v>
      </c>
      <c r="H19" t="s">
        <v>1804</v>
      </c>
      <c r="I19" t="s">
        <v>1805</v>
      </c>
      <c r="J19" s="1">
        <v>9000</v>
      </c>
      <c r="K19" s="1">
        <v>250</v>
      </c>
      <c r="L19" s="1">
        <v>5000</v>
      </c>
      <c r="M19" s="1">
        <v>250</v>
      </c>
      <c r="N19" t="s">
        <v>1809</v>
      </c>
      <c r="O19" t="s">
        <v>1810</v>
      </c>
    </row>
    <row r="20" spans="1:16" ht="15" customHeight="1">
      <c r="A20">
        <v>18</v>
      </c>
      <c r="C20">
        <v>1</v>
      </c>
      <c r="D20">
        <v>1</v>
      </c>
      <c r="G20">
        <v>1</v>
      </c>
      <c r="H20" t="s">
        <v>1804</v>
      </c>
      <c r="I20" t="s">
        <v>1811</v>
      </c>
      <c r="J20" s="2">
        <v>9517</v>
      </c>
      <c r="K20" s="1">
        <v>179</v>
      </c>
      <c r="L20" s="1">
        <v>6500</v>
      </c>
      <c r="M20" s="1">
        <v>500</v>
      </c>
      <c r="N20" t="s">
        <v>1812</v>
      </c>
      <c r="O20" t="s">
        <v>1813</v>
      </c>
      <c r="P20" t="s">
        <v>1814</v>
      </c>
    </row>
    <row r="21" spans="1:16" ht="15" customHeight="1">
      <c r="A21">
        <v>19</v>
      </c>
      <c r="F21">
        <v>1</v>
      </c>
      <c r="H21" t="s">
        <v>1804</v>
      </c>
      <c r="I21" t="s">
        <v>1815</v>
      </c>
      <c r="J21" s="1">
        <v>8497</v>
      </c>
      <c r="K21" s="1">
        <v>335</v>
      </c>
      <c r="L21" s="1">
        <v>7589</v>
      </c>
      <c r="M21" s="1">
        <v>238</v>
      </c>
      <c r="N21" t="s">
        <v>1816</v>
      </c>
      <c r="O21" t="s">
        <v>1817</v>
      </c>
      <c r="P21" t="s">
        <v>1818</v>
      </c>
    </row>
    <row r="22" spans="1:16" ht="15" customHeight="1">
      <c r="A22">
        <v>20</v>
      </c>
      <c r="D22">
        <v>1</v>
      </c>
      <c r="G22">
        <v>1</v>
      </c>
      <c r="H22" t="s">
        <v>1804</v>
      </c>
      <c r="I22" t="s">
        <v>1819</v>
      </c>
      <c r="J22" s="2">
        <v>8933</v>
      </c>
      <c r="K22" s="3">
        <v>504</v>
      </c>
      <c r="L22" s="3">
        <v>6110</v>
      </c>
      <c r="M22" s="3">
        <v>338.5</v>
      </c>
      <c r="N22" s="4" t="s">
        <v>1820</v>
      </c>
      <c r="O22" s="5" t="s">
        <v>1821</v>
      </c>
    </row>
    <row r="23" spans="1:16" ht="15" customHeight="1">
      <c r="A23">
        <v>21</v>
      </c>
      <c r="F23">
        <v>1</v>
      </c>
      <c r="H23" t="s">
        <v>1804</v>
      </c>
      <c r="I23" t="s">
        <v>1815</v>
      </c>
      <c r="J23" s="1">
        <v>8472</v>
      </c>
      <c r="K23" s="1">
        <v>136</v>
      </c>
      <c r="L23" s="1">
        <v>7585</v>
      </c>
      <c r="M23" s="1">
        <v>143</v>
      </c>
      <c r="N23" s="4" t="s">
        <v>1822</v>
      </c>
      <c r="P23" t="s">
        <v>1823</v>
      </c>
    </row>
    <row r="24" spans="1:16" ht="15" customHeight="1">
      <c r="A24">
        <v>22</v>
      </c>
      <c r="B24" t="s">
        <v>196</v>
      </c>
      <c r="F24">
        <v>1</v>
      </c>
      <c r="G24">
        <v>1</v>
      </c>
      <c r="H24" t="s">
        <v>1824</v>
      </c>
      <c r="I24" t="s">
        <v>1825</v>
      </c>
      <c r="J24" s="1">
        <v>8200</v>
      </c>
      <c r="K24" s="1">
        <v>250</v>
      </c>
      <c r="L24" s="1">
        <v>6000</v>
      </c>
      <c r="M24" s="1">
        <v>250</v>
      </c>
      <c r="N24" t="s">
        <v>1826</v>
      </c>
      <c r="O24" t="s">
        <v>1827</v>
      </c>
      <c r="P24" t="s">
        <v>1828</v>
      </c>
    </row>
    <row r="25" spans="1:16" ht="15" customHeight="1">
      <c r="J25" s="6"/>
      <c r="K25" s="6"/>
      <c r="L25" s="6"/>
      <c r="M25" s="6"/>
    </row>
    <row r="26" spans="1:16" ht="15" customHeight="1">
      <c r="J26" s="6"/>
      <c r="K26" s="6"/>
      <c r="L26" s="6"/>
      <c r="M26" s="6"/>
    </row>
    <row r="27" spans="1:16" ht="15" customHeight="1">
      <c r="J27" s="6"/>
      <c r="K27" s="6"/>
      <c r="L27" s="6"/>
      <c r="M27" s="6"/>
    </row>
    <row r="28" spans="1:16" ht="15" customHeight="1">
      <c r="J28" s="6"/>
      <c r="K28" s="6"/>
      <c r="L28" s="6"/>
      <c r="M28" s="6"/>
    </row>
    <row r="29" spans="1:16" ht="15" customHeight="1">
      <c r="J29" s="6"/>
      <c r="K29" s="6"/>
      <c r="L29" s="6"/>
      <c r="M29" s="6"/>
    </row>
    <row r="30" spans="1:16" ht="15" customHeight="1">
      <c r="J30" s="6"/>
      <c r="K30" s="6"/>
      <c r="L30" s="6"/>
      <c r="M30" s="6"/>
    </row>
    <row r="31" spans="1:16" ht="15" customHeight="1">
      <c r="J31" s="6"/>
      <c r="K31" s="6"/>
      <c r="L31" s="6"/>
      <c r="M31" s="6"/>
    </row>
    <row r="32" spans="1:16" ht="15" customHeight="1">
      <c r="J32" s="6"/>
      <c r="K32" s="6"/>
      <c r="L32" s="6"/>
      <c r="M32" s="6"/>
    </row>
    <row r="33" spans="10:13" ht="15" customHeight="1">
      <c r="J33" s="6"/>
      <c r="K33" s="6"/>
      <c r="L33" s="6"/>
      <c r="M33" s="6"/>
    </row>
    <row r="34" spans="10:13" ht="15" customHeight="1">
      <c r="J34" s="6"/>
      <c r="K34" s="6"/>
      <c r="L34" s="6"/>
      <c r="M34" s="6"/>
    </row>
    <row r="35" spans="10:13" ht="15" customHeight="1">
      <c r="J35" s="6"/>
      <c r="K35" s="6"/>
      <c r="L35" s="6"/>
      <c r="M35" s="6"/>
    </row>
    <row r="36" spans="10:13" ht="15" customHeight="1">
      <c r="J36" s="6"/>
      <c r="K36" s="6"/>
      <c r="L36" s="6"/>
      <c r="M36" s="6"/>
    </row>
    <row r="37" spans="10:13" ht="15" customHeight="1">
      <c r="J37" s="6"/>
      <c r="K37" s="6"/>
      <c r="L37" s="6"/>
      <c r="M37" s="6"/>
    </row>
    <row r="38" spans="10:13" ht="15" customHeight="1">
      <c r="J38" s="6"/>
      <c r="K38" s="6"/>
      <c r="L38" s="6"/>
      <c r="M38" s="6"/>
    </row>
    <row r="39" spans="10:13" ht="15" customHeight="1">
      <c r="J39" s="6"/>
      <c r="K39" s="6"/>
      <c r="L39" s="6"/>
      <c r="M39" s="6"/>
    </row>
    <row r="40" spans="10:13" ht="15" customHeight="1">
      <c r="J40" s="6"/>
      <c r="K40" s="6"/>
      <c r="L40" s="6"/>
      <c r="M40" s="6"/>
    </row>
    <row r="41" spans="10:13" ht="15" customHeight="1">
      <c r="J41" s="6"/>
      <c r="K41" s="6"/>
      <c r="L41" s="6"/>
      <c r="M41" s="6"/>
    </row>
    <row r="42" spans="10:13" ht="15" customHeight="1">
      <c r="J42" s="6"/>
      <c r="K42" s="6"/>
      <c r="L42" s="6"/>
      <c r="M42" s="6"/>
    </row>
    <row r="43" spans="10:13" ht="15" customHeight="1">
      <c r="J43" s="6"/>
      <c r="K43" s="6"/>
      <c r="L43" s="6"/>
      <c r="M43" s="6"/>
    </row>
    <row r="44" spans="10:13" ht="15" customHeight="1">
      <c r="J44" s="6"/>
      <c r="K44" s="6"/>
      <c r="L44" s="6"/>
      <c r="M44" s="6"/>
    </row>
    <row r="45" spans="10:13" ht="15" customHeight="1">
      <c r="J45" s="6"/>
      <c r="K45" s="6"/>
      <c r="L45" s="6"/>
      <c r="M45" s="6"/>
    </row>
    <row r="46" spans="10:13" ht="15" customHeight="1">
      <c r="J46" s="6"/>
      <c r="K46" s="6"/>
      <c r="L46" s="6"/>
      <c r="M46" s="6"/>
    </row>
    <row r="47" spans="10:13" ht="15" customHeight="1">
      <c r="J47" s="6"/>
      <c r="K47" s="6"/>
      <c r="L47" s="6"/>
      <c r="M47" s="6"/>
    </row>
    <row r="48" spans="10:13" ht="15" customHeight="1">
      <c r="J48" s="6"/>
      <c r="K48" s="6"/>
      <c r="L48" s="6"/>
      <c r="M48" s="6"/>
    </row>
    <row r="49" spans="10:13" ht="15" customHeight="1">
      <c r="J49" s="6"/>
      <c r="K49" s="6"/>
      <c r="L49" s="6"/>
      <c r="M49" s="6"/>
    </row>
    <row r="50" spans="10:13" ht="15" customHeight="1">
      <c r="J50" s="6"/>
      <c r="K50" s="6"/>
      <c r="L50" s="6"/>
      <c r="M50" s="6"/>
    </row>
    <row r="51" spans="10:13" ht="15" customHeight="1">
      <c r="J51" s="6"/>
      <c r="K51" s="6"/>
      <c r="L51" s="6"/>
      <c r="M51" s="6"/>
    </row>
    <row r="52" spans="10:13" ht="15" customHeight="1">
      <c r="J52" s="6"/>
      <c r="K52" s="6"/>
      <c r="L52" s="6"/>
      <c r="M52" s="6"/>
    </row>
    <row r="53" spans="10:13" ht="15" customHeight="1">
      <c r="J53" s="6"/>
      <c r="K53" s="6"/>
      <c r="L53" s="6"/>
      <c r="M53" s="6"/>
    </row>
    <row r="54" spans="10:13" ht="13">
      <c r="J54" s="6"/>
      <c r="K54" s="6"/>
      <c r="L54" s="6"/>
      <c r="M54" s="6"/>
    </row>
    <row r="55" spans="10:13" ht="13">
      <c r="J55" s="6"/>
      <c r="K55" s="6"/>
      <c r="L55" s="6"/>
      <c r="M55" s="6"/>
    </row>
    <row r="56" spans="10:13" ht="13">
      <c r="J56" s="6"/>
      <c r="K56" s="6"/>
      <c r="L56" s="6"/>
      <c r="M56" s="6"/>
    </row>
    <row r="57" spans="10:13" ht="13">
      <c r="J57" s="6"/>
      <c r="K57" s="6"/>
      <c r="L57" s="6"/>
      <c r="M57" s="6"/>
    </row>
    <row r="58" spans="10:13" ht="13">
      <c r="J58" s="6"/>
      <c r="K58" s="6"/>
      <c r="L58" s="6"/>
      <c r="M58" s="6"/>
    </row>
    <row r="59" spans="10:13" ht="13">
      <c r="J59" s="6"/>
      <c r="K59" s="6"/>
      <c r="L59" s="6"/>
      <c r="M59" s="6"/>
    </row>
    <row r="60" spans="10:13" ht="13">
      <c r="J60" s="6"/>
      <c r="K60" s="6"/>
      <c r="L60" s="6"/>
      <c r="M60" s="6"/>
    </row>
    <row r="61" spans="10:13" ht="13">
      <c r="J61" s="6"/>
      <c r="K61" s="6"/>
      <c r="L61" s="6"/>
      <c r="M61" s="6"/>
    </row>
    <row r="62" spans="10:13" ht="13">
      <c r="J62" s="6"/>
      <c r="K62" s="6"/>
      <c r="L62" s="6"/>
      <c r="M62" s="6"/>
    </row>
    <row r="63" spans="10:13" ht="13">
      <c r="J63" s="6"/>
      <c r="K63" s="6"/>
      <c r="L63" s="6"/>
      <c r="M63" s="6"/>
    </row>
    <row r="64" spans="10:13" ht="13">
      <c r="J64" s="6"/>
      <c r="K64" s="6"/>
      <c r="L64" s="6"/>
      <c r="M64" s="6"/>
    </row>
    <row r="65" spans="10:13" ht="13">
      <c r="J65" s="6"/>
      <c r="K65" s="6"/>
      <c r="L65" s="6"/>
      <c r="M65" s="6"/>
    </row>
    <row r="66" spans="10:13" ht="13">
      <c r="J66" s="6"/>
      <c r="K66" s="6"/>
      <c r="L66" s="6"/>
      <c r="M66" s="6"/>
    </row>
    <row r="67" spans="10:13" ht="13">
      <c r="J67" s="6"/>
      <c r="K67" s="6"/>
      <c r="L67" s="6"/>
      <c r="M67" s="6"/>
    </row>
    <row r="68" spans="10:13" ht="13">
      <c r="J68" s="6"/>
      <c r="K68" s="6"/>
      <c r="L68" s="6"/>
      <c r="M68" s="6"/>
    </row>
    <row r="69" spans="10:13" ht="13">
      <c r="J69" s="6"/>
      <c r="K69" s="6"/>
      <c r="L69" s="6"/>
      <c r="M69" s="6"/>
    </row>
    <row r="70" spans="10:13" ht="13">
      <c r="J70" s="6"/>
      <c r="K70" s="6"/>
      <c r="L70" s="6"/>
      <c r="M70" s="6"/>
    </row>
    <row r="71" spans="10:13" ht="13">
      <c r="J71" s="6"/>
      <c r="K71" s="6"/>
      <c r="L71" s="6"/>
      <c r="M71" s="6"/>
    </row>
    <row r="72" spans="10:13" ht="13">
      <c r="J72" s="6"/>
      <c r="K72" s="6"/>
      <c r="L72" s="6"/>
      <c r="M72" s="6"/>
    </row>
    <row r="73" spans="10:13" ht="13">
      <c r="J73" s="6"/>
      <c r="K73" s="6"/>
      <c r="L73" s="6"/>
      <c r="M73" s="6"/>
    </row>
    <row r="74" spans="10:13" ht="13">
      <c r="J74" s="6"/>
      <c r="K74" s="6"/>
      <c r="L74" s="6"/>
      <c r="M74" s="6"/>
    </row>
    <row r="75" spans="10:13" ht="13">
      <c r="J75" s="6"/>
      <c r="K75" s="6"/>
      <c r="L75" s="6"/>
      <c r="M75" s="6"/>
    </row>
    <row r="76" spans="10:13" ht="13">
      <c r="J76" s="6"/>
      <c r="K76" s="6"/>
      <c r="L76" s="6"/>
      <c r="M76" s="6"/>
    </row>
    <row r="77" spans="10:13" ht="13">
      <c r="J77" s="6"/>
      <c r="K77" s="6"/>
      <c r="L77" s="6"/>
      <c r="M77" s="6"/>
    </row>
    <row r="78" spans="10:13" ht="13">
      <c r="J78" s="6"/>
      <c r="K78" s="6"/>
      <c r="L78" s="6"/>
      <c r="M78" s="6"/>
    </row>
    <row r="79" spans="10:13" ht="13">
      <c r="J79" s="6"/>
      <c r="K79" s="6"/>
      <c r="L79" s="6"/>
      <c r="M79" s="6"/>
    </row>
    <row r="80" spans="10:13" ht="13">
      <c r="J80" s="6"/>
      <c r="K80" s="6"/>
      <c r="L80" s="6"/>
      <c r="M80" s="6"/>
    </row>
    <row r="81" spans="10:13" ht="13">
      <c r="J81" s="6"/>
      <c r="K81" s="6"/>
      <c r="L81" s="6"/>
      <c r="M81" s="6"/>
    </row>
    <row r="82" spans="10:13" ht="13">
      <c r="J82" s="6"/>
      <c r="K82" s="6"/>
      <c r="L82" s="6"/>
      <c r="M82" s="6"/>
    </row>
    <row r="83" spans="10:13" ht="13">
      <c r="J83" s="6"/>
      <c r="K83" s="6"/>
      <c r="L83" s="6"/>
      <c r="M83" s="6"/>
    </row>
    <row r="84" spans="10:13" ht="13">
      <c r="J84" s="6"/>
      <c r="K84" s="6"/>
      <c r="L84" s="6"/>
      <c r="M84" s="6"/>
    </row>
    <row r="85" spans="10:13" ht="13">
      <c r="J85" s="6"/>
      <c r="K85" s="6"/>
      <c r="L85" s="6"/>
      <c r="M85" s="6"/>
    </row>
    <row r="86" spans="10:13" ht="13">
      <c r="J86" s="6"/>
      <c r="K86" s="6"/>
      <c r="L86" s="6"/>
      <c r="M86" s="6"/>
    </row>
    <row r="87" spans="10:13" ht="13">
      <c r="J87" s="6"/>
      <c r="K87" s="6"/>
      <c r="L87" s="6"/>
      <c r="M87" s="6"/>
    </row>
    <row r="88" spans="10:13" ht="13">
      <c r="J88" s="6"/>
      <c r="K88" s="6"/>
      <c r="L88" s="6"/>
      <c r="M88" s="6"/>
    </row>
    <row r="89" spans="10:13" ht="13">
      <c r="J89" s="6"/>
      <c r="K89" s="6"/>
      <c r="L89" s="6"/>
      <c r="M89" s="6"/>
    </row>
    <row r="90" spans="10:13" ht="13">
      <c r="J90" s="6"/>
      <c r="K90" s="6"/>
      <c r="L90" s="6"/>
      <c r="M90" s="6"/>
    </row>
    <row r="91" spans="10:13" ht="13">
      <c r="J91" s="6"/>
      <c r="K91" s="6"/>
      <c r="L91" s="6"/>
      <c r="M91" s="6"/>
    </row>
    <row r="92" spans="10:13" ht="13">
      <c r="J92" s="6"/>
      <c r="K92" s="6"/>
      <c r="L92" s="6"/>
      <c r="M92" s="6"/>
    </row>
    <row r="93" spans="10:13" ht="13">
      <c r="J93" s="6"/>
      <c r="K93" s="6"/>
      <c r="L93" s="6"/>
      <c r="M93" s="6"/>
    </row>
    <row r="94" spans="10:13" ht="13">
      <c r="J94" s="6"/>
      <c r="K94" s="6"/>
      <c r="L94" s="6"/>
      <c r="M94" s="6"/>
    </row>
    <row r="95" spans="10:13" ht="13">
      <c r="J95" s="6"/>
      <c r="K95" s="6"/>
      <c r="L95" s="6"/>
      <c r="M95" s="6"/>
    </row>
    <row r="96" spans="10:13" ht="13">
      <c r="J96" s="6"/>
      <c r="K96" s="6"/>
      <c r="L96" s="6"/>
      <c r="M96" s="6"/>
    </row>
    <row r="97" spans="10:13" ht="13">
      <c r="J97" s="6"/>
      <c r="K97" s="6"/>
      <c r="L97" s="6"/>
      <c r="M97" s="6"/>
    </row>
    <row r="98" spans="10:13" ht="13">
      <c r="J98" s="6"/>
      <c r="K98" s="6"/>
      <c r="L98" s="6"/>
      <c r="M98" s="6"/>
    </row>
    <row r="99" spans="10:13" ht="13">
      <c r="J99" s="6"/>
      <c r="K99" s="6"/>
      <c r="L99" s="6"/>
      <c r="M99" s="6"/>
    </row>
    <row r="100" spans="10:13" ht="13">
      <c r="J100" s="6"/>
      <c r="K100" s="6"/>
      <c r="L100" s="6"/>
      <c r="M100" s="6"/>
    </row>
    <row r="101" spans="10:13" ht="13">
      <c r="J101" s="6"/>
      <c r="K101" s="6"/>
      <c r="L101" s="6"/>
      <c r="M101" s="6"/>
    </row>
    <row r="102" spans="10:13" ht="13">
      <c r="J102" s="6"/>
      <c r="K102" s="6"/>
      <c r="L102" s="6"/>
      <c r="M102" s="6"/>
    </row>
    <row r="103" spans="10:13" ht="13">
      <c r="J103" s="6"/>
      <c r="K103" s="6"/>
      <c r="L103" s="6"/>
      <c r="M103" s="6"/>
    </row>
    <row r="104" spans="10:13" ht="13">
      <c r="J104" s="6"/>
      <c r="K104" s="6"/>
      <c r="L104" s="6"/>
      <c r="M104" s="6"/>
    </row>
    <row r="105" spans="10:13" ht="13">
      <c r="J105" s="6"/>
      <c r="K105" s="6"/>
      <c r="L105" s="6"/>
      <c r="M105" s="6"/>
    </row>
    <row r="106" spans="10:13" ht="13">
      <c r="J106" s="6"/>
      <c r="K106" s="6"/>
      <c r="L106" s="6"/>
      <c r="M106" s="6"/>
    </row>
    <row r="107" spans="10:13" ht="13">
      <c r="J107" s="6"/>
      <c r="K107" s="6"/>
      <c r="L107" s="6"/>
      <c r="M107" s="6"/>
    </row>
    <row r="108" spans="10:13" ht="13">
      <c r="J108" s="6"/>
      <c r="K108" s="6"/>
      <c r="L108" s="6"/>
      <c r="M108" s="6"/>
    </row>
    <row r="109" spans="10:13" ht="13">
      <c r="J109" s="6"/>
      <c r="K109" s="6"/>
      <c r="L109" s="6"/>
      <c r="M109" s="6"/>
    </row>
    <row r="110" spans="10:13" ht="13">
      <c r="J110" s="6"/>
      <c r="K110" s="6"/>
      <c r="L110" s="6"/>
      <c r="M110" s="6"/>
    </row>
    <row r="111" spans="10:13" ht="13">
      <c r="J111" s="6"/>
      <c r="K111" s="6"/>
      <c r="L111" s="6"/>
      <c r="M111" s="6"/>
    </row>
    <row r="112" spans="10:13" ht="13">
      <c r="J112" s="6"/>
      <c r="K112" s="6"/>
      <c r="L112" s="6"/>
      <c r="M112" s="6"/>
    </row>
    <row r="113" spans="10:13" ht="13">
      <c r="J113" s="6"/>
      <c r="K113" s="6"/>
      <c r="L113" s="6"/>
      <c r="M113" s="6"/>
    </row>
    <row r="114" spans="10:13" ht="13">
      <c r="J114" s="6"/>
      <c r="K114" s="6"/>
      <c r="L114" s="6"/>
      <c r="M114" s="6"/>
    </row>
    <row r="115" spans="10:13" ht="13">
      <c r="J115" s="6"/>
      <c r="K115" s="6"/>
      <c r="L115" s="6"/>
      <c r="M115" s="6"/>
    </row>
    <row r="116" spans="10:13" ht="13">
      <c r="J116" s="6"/>
      <c r="K116" s="6"/>
      <c r="L116" s="6"/>
      <c r="M116" s="6"/>
    </row>
    <row r="117" spans="10:13" ht="13">
      <c r="J117" s="6"/>
      <c r="K117" s="6"/>
      <c r="L117" s="6"/>
      <c r="M117" s="6"/>
    </row>
    <row r="118" spans="10:13" ht="13">
      <c r="J118" s="6"/>
      <c r="K118" s="6"/>
      <c r="L118" s="6"/>
      <c r="M118" s="6"/>
    </row>
    <row r="119" spans="10:13" ht="13">
      <c r="J119" s="6"/>
      <c r="K119" s="6"/>
      <c r="L119" s="6"/>
      <c r="M119" s="6"/>
    </row>
    <row r="120" spans="10:13" ht="13">
      <c r="J120" s="6"/>
      <c r="K120" s="6"/>
      <c r="L120" s="6"/>
      <c r="M120" s="6"/>
    </row>
    <row r="121" spans="10:13" ht="13">
      <c r="J121" s="6"/>
      <c r="K121" s="6"/>
      <c r="L121" s="6"/>
      <c r="M121" s="6"/>
    </row>
    <row r="122" spans="10:13" ht="13">
      <c r="J122" s="6"/>
      <c r="K122" s="6"/>
      <c r="L122" s="6"/>
      <c r="M122" s="6"/>
    </row>
    <row r="123" spans="10:13" ht="13">
      <c r="J123" s="6"/>
      <c r="K123" s="6"/>
      <c r="L123" s="6"/>
      <c r="M123" s="6"/>
    </row>
    <row r="124" spans="10:13" ht="13">
      <c r="J124" s="6"/>
      <c r="K124" s="6"/>
      <c r="L124" s="6"/>
      <c r="M124" s="6"/>
    </row>
    <row r="125" spans="10:13" ht="13">
      <c r="J125" s="6"/>
      <c r="K125" s="6"/>
      <c r="L125" s="6"/>
      <c r="M125" s="6"/>
    </row>
    <row r="126" spans="10:13" ht="13">
      <c r="J126" s="6"/>
      <c r="K126" s="6"/>
      <c r="L126" s="6"/>
      <c r="M126" s="6"/>
    </row>
    <row r="127" spans="10:13" ht="13">
      <c r="J127" s="6"/>
      <c r="K127" s="6"/>
      <c r="L127" s="6"/>
      <c r="M127" s="6"/>
    </row>
    <row r="128" spans="10:13" ht="13">
      <c r="J128" s="6"/>
      <c r="K128" s="6"/>
      <c r="L128" s="6"/>
      <c r="M128" s="6"/>
    </row>
    <row r="129" spans="10:13" ht="13">
      <c r="J129" s="6"/>
      <c r="K129" s="6"/>
      <c r="L129" s="6"/>
      <c r="M129" s="6"/>
    </row>
    <row r="130" spans="10:13" ht="13">
      <c r="J130" s="6"/>
      <c r="K130" s="6"/>
      <c r="L130" s="6"/>
      <c r="M130" s="6"/>
    </row>
    <row r="131" spans="10:13" ht="13">
      <c r="J131" s="6"/>
      <c r="K131" s="6"/>
      <c r="L131" s="6"/>
      <c r="M131" s="6"/>
    </row>
    <row r="132" spans="10:13" ht="13">
      <c r="J132" s="6"/>
      <c r="K132" s="6"/>
      <c r="L132" s="6"/>
      <c r="M132" s="6"/>
    </row>
    <row r="133" spans="10:13" ht="13">
      <c r="J133" s="6"/>
      <c r="K133" s="6"/>
      <c r="L133" s="6"/>
      <c r="M133" s="6"/>
    </row>
    <row r="134" spans="10:13" ht="13">
      <c r="J134" s="6"/>
      <c r="K134" s="6"/>
      <c r="L134" s="6"/>
      <c r="M134" s="6"/>
    </row>
    <row r="135" spans="10:13" ht="13">
      <c r="J135" s="6"/>
      <c r="K135" s="6"/>
      <c r="L135" s="6"/>
      <c r="M135" s="6"/>
    </row>
    <row r="136" spans="10:13" ht="13">
      <c r="J136" s="6"/>
      <c r="K136" s="6"/>
      <c r="L136" s="6"/>
      <c r="M136" s="6"/>
    </row>
    <row r="137" spans="10:13" ht="13">
      <c r="J137" s="6"/>
      <c r="K137" s="6"/>
      <c r="L137" s="6"/>
      <c r="M137" s="6"/>
    </row>
    <row r="138" spans="10:13" ht="13">
      <c r="J138" s="6"/>
      <c r="K138" s="6"/>
      <c r="L138" s="6"/>
      <c r="M138" s="6"/>
    </row>
    <row r="139" spans="10:13" ht="13">
      <c r="J139" s="6"/>
      <c r="K139" s="6"/>
      <c r="L139" s="6"/>
      <c r="M139" s="6"/>
    </row>
    <row r="140" spans="10:13" ht="13">
      <c r="J140" s="6"/>
      <c r="K140" s="6"/>
      <c r="L140" s="6"/>
      <c r="M140" s="6"/>
    </row>
    <row r="141" spans="10:13" ht="13">
      <c r="J141" s="6"/>
      <c r="K141" s="6"/>
      <c r="L141" s="6"/>
      <c r="M141" s="6"/>
    </row>
    <row r="142" spans="10:13" ht="13">
      <c r="J142" s="6"/>
      <c r="K142" s="6"/>
      <c r="L142" s="6"/>
      <c r="M142" s="6"/>
    </row>
    <row r="143" spans="10:13" ht="13">
      <c r="J143" s="6"/>
      <c r="K143" s="6"/>
      <c r="L143" s="6"/>
      <c r="M143" s="6"/>
    </row>
    <row r="144" spans="10:13" ht="13">
      <c r="J144" s="6"/>
      <c r="K144" s="6"/>
      <c r="L144" s="6"/>
      <c r="M144" s="6"/>
    </row>
    <row r="145" spans="10:13" ht="13">
      <c r="J145" s="6"/>
      <c r="K145" s="6"/>
      <c r="L145" s="6"/>
      <c r="M145" s="6"/>
    </row>
    <row r="146" spans="10:13" ht="13">
      <c r="J146" s="6"/>
      <c r="K146" s="6"/>
      <c r="L146" s="6"/>
      <c r="M146" s="6"/>
    </row>
    <row r="147" spans="10:13" ht="13">
      <c r="J147" s="6"/>
      <c r="K147" s="6"/>
      <c r="L147" s="6"/>
      <c r="M147" s="6"/>
    </row>
    <row r="148" spans="10:13" ht="13">
      <c r="J148" s="6"/>
      <c r="K148" s="6"/>
      <c r="L148" s="6"/>
      <c r="M148" s="6"/>
    </row>
    <row r="149" spans="10:13" ht="13">
      <c r="J149" s="6"/>
      <c r="K149" s="6"/>
      <c r="L149" s="6"/>
      <c r="M149" s="6"/>
    </row>
    <row r="150" spans="10:13" ht="13">
      <c r="J150" s="6"/>
      <c r="K150" s="6"/>
      <c r="L150" s="6"/>
      <c r="M150" s="6"/>
    </row>
    <row r="151" spans="10:13" ht="13">
      <c r="J151" s="6"/>
      <c r="K151" s="6"/>
      <c r="L151" s="6"/>
      <c r="M151" s="6"/>
    </row>
    <row r="152" spans="10:13" ht="13">
      <c r="J152" s="6"/>
      <c r="K152" s="6"/>
      <c r="L152" s="6"/>
      <c r="M152" s="6"/>
    </row>
    <row r="153" spans="10:13" ht="13">
      <c r="J153" s="6"/>
      <c r="K153" s="6"/>
      <c r="L153" s="6"/>
      <c r="M153" s="6"/>
    </row>
    <row r="154" spans="10:13" ht="13">
      <c r="J154" s="6"/>
      <c r="K154" s="6"/>
      <c r="L154" s="6"/>
      <c r="M154" s="6"/>
    </row>
    <row r="155" spans="10:13" ht="13">
      <c r="J155" s="6"/>
      <c r="K155" s="6"/>
      <c r="L155" s="6"/>
      <c r="M155" s="6"/>
    </row>
    <row r="156" spans="10:13" ht="13">
      <c r="J156" s="6"/>
      <c r="K156" s="6"/>
      <c r="L156" s="6"/>
      <c r="M156" s="6"/>
    </row>
    <row r="157" spans="10:13" ht="13">
      <c r="J157" s="6"/>
      <c r="K157" s="6"/>
      <c r="L157" s="6"/>
      <c r="M157" s="6"/>
    </row>
    <row r="158" spans="10:13" ht="13">
      <c r="J158" s="6"/>
      <c r="K158" s="6"/>
      <c r="L158" s="6"/>
      <c r="M158" s="6"/>
    </row>
    <row r="159" spans="10:13" ht="13">
      <c r="J159" s="6"/>
      <c r="K159" s="6"/>
      <c r="L159" s="6"/>
      <c r="M159" s="6"/>
    </row>
    <row r="160" spans="10:13" ht="13">
      <c r="J160" s="6"/>
      <c r="K160" s="6"/>
      <c r="L160" s="6"/>
      <c r="M160" s="6"/>
    </row>
    <row r="161" spans="10:13" ht="13">
      <c r="J161" s="6"/>
      <c r="K161" s="6"/>
      <c r="L161" s="6"/>
      <c r="M161" s="6"/>
    </row>
    <row r="162" spans="10:13" ht="13">
      <c r="J162" s="6"/>
      <c r="K162" s="6"/>
      <c r="L162" s="6"/>
      <c r="M162" s="6"/>
    </row>
    <row r="163" spans="10:13" ht="13">
      <c r="J163" s="6"/>
      <c r="K163" s="6"/>
      <c r="L163" s="6"/>
      <c r="M163" s="6"/>
    </row>
    <row r="164" spans="10:13" ht="13">
      <c r="J164" s="6"/>
      <c r="K164" s="6"/>
      <c r="L164" s="6"/>
      <c r="M164" s="6"/>
    </row>
    <row r="165" spans="10:13" ht="13">
      <c r="J165" s="6"/>
      <c r="K165" s="6"/>
      <c r="L165" s="6"/>
      <c r="M165" s="6"/>
    </row>
    <row r="166" spans="10:13" ht="13">
      <c r="J166" s="6"/>
      <c r="K166" s="6"/>
      <c r="L166" s="6"/>
      <c r="M166" s="6"/>
    </row>
    <row r="167" spans="10:13" ht="13">
      <c r="J167" s="6"/>
      <c r="K167" s="6"/>
      <c r="L167" s="6"/>
      <c r="M167" s="6"/>
    </row>
    <row r="168" spans="10:13" ht="13">
      <c r="J168" s="6"/>
      <c r="K168" s="6"/>
      <c r="L168" s="6"/>
      <c r="M168" s="6"/>
    </row>
    <row r="169" spans="10:13" ht="13">
      <c r="J169" s="6"/>
      <c r="K169" s="6"/>
      <c r="L169" s="6"/>
      <c r="M169" s="6"/>
    </row>
    <row r="170" spans="10:13" ht="13">
      <c r="J170" s="6"/>
      <c r="K170" s="6"/>
      <c r="L170" s="6"/>
      <c r="M170" s="6"/>
    </row>
    <row r="171" spans="10:13" ht="13">
      <c r="J171" s="6"/>
      <c r="K171" s="6"/>
      <c r="L171" s="6"/>
      <c r="M171" s="6"/>
    </row>
    <row r="172" spans="10:13" ht="13">
      <c r="J172" s="6"/>
      <c r="K172" s="6"/>
      <c r="L172" s="6"/>
      <c r="M172" s="6"/>
    </row>
    <row r="173" spans="10:13" ht="13">
      <c r="J173" s="6"/>
      <c r="K173" s="6"/>
      <c r="L173" s="6"/>
      <c r="M173" s="6"/>
    </row>
    <row r="174" spans="10:13" ht="13">
      <c r="J174" s="6"/>
      <c r="K174" s="6"/>
      <c r="L174" s="6"/>
      <c r="M174" s="6"/>
    </row>
    <row r="175" spans="10:13" ht="13">
      <c r="J175" s="6"/>
      <c r="K175" s="6"/>
      <c r="L175" s="6"/>
      <c r="M175" s="6"/>
    </row>
    <row r="176" spans="10:13" ht="13">
      <c r="J176" s="6"/>
      <c r="K176" s="6"/>
      <c r="L176" s="6"/>
      <c r="M176" s="6"/>
    </row>
    <row r="177" spans="10:13" ht="13">
      <c r="J177" s="6"/>
      <c r="K177" s="6"/>
      <c r="L177" s="6"/>
      <c r="M177" s="6"/>
    </row>
    <row r="178" spans="10:13" ht="13">
      <c r="J178" s="6"/>
      <c r="K178" s="6"/>
      <c r="L178" s="6"/>
      <c r="M178" s="6"/>
    </row>
    <row r="179" spans="10:13" ht="13">
      <c r="J179" s="6"/>
      <c r="K179" s="6"/>
      <c r="L179" s="6"/>
      <c r="M179" s="6"/>
    </row>
    <row r="180" spans="10:13" ht="13">
      <c r="J180" s="6"/>
      <c r="K180" s="6"/>
      <c r="L180" s="6"/>
      <c r="M180" s="6"/>
    </row>
    <row r="181" spans="10:13" ht="13">
      <c r="J181" s="6"/>
      <c r="K181" s="6"/>
      <c r="L181" s="6"/>
      <c r="M181" s="6"/>
    </row>
    <row r="182" spans="10:13" ht="13">
      <c r="J182" s="6"/>
      <c r="K182" s="6"/>
      <c r="L182" s="6"/>
      <c r="M182" s="6"/>
    </row>
    <row r="183" spans="10:13" ht="13">
      <c r="J183" s="6"/>
      <c r="K183" s="6"/>
      <c r="L183" s="6"/>
      <c r="M183" s="6"/>
    </row>
    <row r="184" spans="10:13" ht="13">
      <c r="J184" s="6"/>
      <c r="K184" s="6"/>
      <c r="L184" s="6"/>
      <c r="M184" s="6"/>
    </row>
    <row r="185" spans="10:13" ht="13">
      <c r="J185" s="6"/>
      <c r="K185" s="6"/>
      <c r="L185" s="6"/>
      <c r="M185" s="6"/>
    </row>
    <row r="186" spans="10:13" ht="13">
      <c r="J186" s="6"/>
      <c r="K186" s="6"/>
      <c r="L186" s="6"/>
      <c r="M186" s="6"/>
    </row>
    <row r="187" spans="10:13" ht="13">
      <c r="J187" s="6"/>
      <c r="K187" s="6"/>
      <c r="L187" s="6"/>
      <c r="M187" s="6"/>
    </row>
    <row r="188" spans="10:13" ht="13">
      <c r="J188" s="6"/>
      <c r="K188" s="6"/>
      <c r="L188" s="6"/>
      <c r="M188" s="6"/>
    </row>
    <row r="189" spans="10:13" ht="13">
      <c r="J189" s="6"/>
      <c r="K189" s="6"/>
      <c r="L189" s="6"/>
      <c r="M189" s="6"/>
    </row>
    <row r="190" spans="10:13" ht="13">
      <c r="J190" s="6"/>
      <c r="K190" s="6"/>
      <c r="L190" s="6"/>
      <c r="M190" s="6"/>
    </row>
    <row r="191" spans="10:13" ht="13">
      <c r="J191" s="6"/>
      <c r="K191" s="6"/>
      <c r="L191" s="6"/>
      <c r="M191" s="6"/>
    </row>
    <row r="192" spans="10:13" ht="13">
      <c r="J192" s="6"/>
      <c r="K192" s="6"/>
      <c r="L192" s="6"/>
      <c r="M192" s="6"/>
    </row>
    <row r="193" spans="10:13" ht="13">
      <c r="J193" s="6"/>
      <c r="K193" s="6"/>
      <c r="L193" s="6"/>
      <c r="M193" s="6"/>
    </row>
    <row r="194" spans="10:13" ht="13">
      <c r="J194" s="6"/>
      <c r="K194" s="6"/>
      <c r="L194" s="6"/>
      <c r="M194" s="6"/>
    </row>
    <row r="195" spans="10:13" ht="13">
      <c r="J195" s="6"/>
      <c r="K195" s="6"/>
      <c r="L195" s="6"/>
      <c r="M195" s="6"/>
    </row>
    <row r="196" spans="10:13" ht="13">
      <c r="J196" s="6"/>
      <c r="K196" s="6"/>
      <c r="L196" s="6"/>
      <c r="M196" s="6"/>
    </row>
    <row r="197" spans="10:13" ht="13">
      <c r="J197" s="6"/>
      <c r="K197" s="6"/>
      <c r="L197" s="6"/>
      <c r="M197" s="6"/>
    </row>
    <row r="198" spans="10:13" ht="13">
      <c r="J198" s="6"/>
      <c r="K198" s="6"/>
      <c r="L198" s="6"/>
      <c r="M198" s="6"/>
    </row>
    <row r="199" spans="10:13" ht="13">
      <c r="J199" s="6"/>
      <c r="K199" s="6"/>
      <c r="L199" s="6"/>
      <c r="M199" s="6"/>
    </row>
    <row r="200" spans="10:13" ht="13">
      <c r="J200" s="6"/>
      <c r="K200" s="6"/>
      <c r="L200" s="6"/>
      <c r="M200" s="6"/>
    </row>
    <row r="201" spans="10:13" ht="13">
      <c r="J201" s="6"/>
      <c r="K201" s="6"/>
      <c r="L201" s="6"/>
      <c r="M201" s="6"/>
    </row>
    <row r="202" spans="10:13" ht="13">
      <c r="J202" s="6"/>
      <c r="K202" s="6"/>
      <c r="L202" s="6"/>
      <c r="M202" s="6"/>
    </row>
    <row r="203" spans="10:13" ht="13">
      <c r="J203" s="6"/>
      <c r="K203" s="6"/>
      <c r="L203" s="6"/>
      <c r="M203" s="6"/>
    </row>
    <row r="204" spans="10:13" ht="13">
      <c r="J204" s="6"/>
      <c r="K204" s="6"/>
      <c r="L204" s="6"/>
      <c r="M204" s="6"/>
    </row>
    <row r="205" spans="10:13" ht="13">
      <c r="J205" s="6"/>
      <c r="K205" s="6"/>
      <c r="L205" s="6"/>
      <c r="M205" s="6"/>
    </row>
    <row r="206" spans="10:13" ht="13">
      <c r="J206" s="6"/>
      <c r="K206" s="6"/>
      <c r="L206" s="6"/>
      <c r="M206" s="6"/>
    </row>
    <row r="207" spans="10:13" ht="13">
      <c r="J207" s="6"/>
      <c r="K207" s="6"/>
      <c r="L207" s="6"/>
      <c r="M207" s="6"/>
    </row>
    <row r="208" spans="10:13" ht="13">
      <c r="J208" s="6"/>
      <c r="K208" s="6"/>
      <c r="L208" s="6"/>
      <c r="M208" s="6"/>
    </row>
    <row r="209" spans="10:13" ht="13">
      <c r="J209" s="6"/>
      <c r="K209" s="6"/>
      <c r="L209" s="6"/>
      <c r="M209" s="6"/>
    </row>
    <row r="210" spans="10:13" ht="13">
      <c r="J210" s="6"/>
      <c r="K210" s="6"/>
      <c r="L210" s="6"/>
      <c r="M210" s="6"/>
    </row>
    <row r="211" spans="10:13" ht="13">
      <c r="J211" s="6"/>
      <c r="K211" s="6"/>
      <c r="L211" s="6"/>
      <c r="M211" s="6"/>
    </row>
    <row r="212" spans="10:13" ht="13">
      <c r="J212" s="6"/>
      <c r="K212" s="6"/>
      <c r="L212" s="6"/>
      <c r="M212" s="6"/>
    </row>
    <row r="213" spans="10:13" ht="13">
      <c r="J213" s="6"/>
      <c r="K213" s="6"/>
      <c r="L213" s="6"/>
      <c r="M213" s="6"/>
    </row>
    <row r="214" spans="10:13" ht="13">
      <c r="J214" s="6"/>
      <c r="K214" s="6"/>
      <c r="L214" s="6"/>
      <c r="M214" s="6"/>
    </row>
    <row r="215" spans="10:13" ht="13">
      <c r="J215" s="6"/>
      <c r="K215" s="6"/>
      <c r="L215" s="6"/>
      <c r="M215" s="6"/>
    </row>
    <row r="216" spans="10:13" ht="13">
      <c r="J216" s="6"/>
      <c r="K216" s="6"/>
      <c r="L216" s="6"/>
      <c r="M216" s="6"/>
    </row>
    <row r="217" spans="10:13" ht="13">
      <c r="J217" s="6"/>
      <c r="K217" s="6"/>
      <c r="L217" s="6"/>
      <c r="M217" s="6"/>
    </row>
    <row r="218" spans="10:13" ht="13">
      <c r="J218" s="6"/>
      <c r="K218" s="6"/>
      <c r="L218" s="6"/>
      <c r="M218" s="6"/>
    </row>
    <row r="219" spans="10:13" ht="13">
      <c r="J219" s="6"/>
      <c r="K219" s="6"/>
      <c r="L219" s="6"/>
      <c r="M219" s="6"/>
    </row>
    <row r="220" spans="10:13" ht="13">
      <c r="J220" s="6"/>
      <c r="K220" s="6"/>
      <c r="L220" s="6"/>
      <c r="M220" s="6"/>
    </row>
    <row r="221" spans="10:13" ht="13">
      <c r="J221" s="6"/>
      <c r="K221" s="6"/>
      <c r="L221" s="6"/>
      <c r="M221" s="6"/>
    </row>
    <row r="222" spans="10:13" ht="13">
      <c r="J222" s="6"/>
      <c r="K222" s="6"/>
      <c r="L222" s="6"/>
      <c r="M222" s="6"/>
    </row>
    <row r="223" spans="10:13" ht="13">
      <c r="J223" s="6"/>
      <c r="K223" s="6"/>
      <c r="L223" s="6"/>
      <c r="M223" s="6"/>
    </row>
    <row r="224" spans="10:13" ht="13">
      <c r="J224" s="6"/>
      <c r="K224" s="6"/>
      <c r="L224" s="6"/>
      <c r="M224" s="6"/>
    </row>
    <row r="225" spans="10:13" ht="13">
      <c r="J225" s="6"/>
      <c r="K225" s="6"/>
      <c r="L225" s="6"/>
      <c r="M225" s="6"/>
    </row>
    <row r="226" spans="10:13" ht="13">
      <c r="J226" s="6"/>
      <c r="K226" s="6"/>
      <c r="L226" s="6"/>
      <c r="M226" s="6"/>
    </row>
    <row r="227" spans="10:13" ht="13">
      <c r="J227" s="6"/>
      <c r="K227" s="6"/>
      <c r="L227" s="6"/>
      <c r="M227" s="6"/>
    </row>
    <row r="228" spans="10:13" ht="13">
      <c r="J228" s="6"/>
      <c r="K228" s="6"/>
      <c r="L228" s="6"/>
      <c r="M228" s="6"/>
    </row>
    <row r="229" spans="10:13" ht="13">
      <c r="J229" s="6"/>
      <c r="K229" s="6"/>
      <c r="L229" s="6"/>
      <c r="M229" s="6"/>
    </row>
    <row r="230" spans="10:13" ht="13">
      <c r="J230" s="6"/>
      <c r="K230" s="6"/>
      <c r="L230" s="6"/>
      <c r="M230" s="6"/>
    </row>
    <row r="231" spans="10:13" ht="13">
      <c r="J231" s="6"/>
      <c r="K231" s="6"/>
      <c r="L231" s="6"/>
      <c r="M231" s="6"/>
    </row>
    <row r="232" spans="10:13" ht="13">
      <c r="J232" s="6"/>
      <c r="K232" s="6"/>
      <c r="L232" s="6"/>
      <c r="M232" s="6"/>
    </row>
    <row r="233" spans="10:13" ht="13">
      <c r="J233" s="6"/>
      <c r="K233" s="6"/>
      <c r="L233" s="6"/>
      <c r="M233" s="6"/>
    </row>
    <row r="234" spans="10:13" ht="13">
      <c r="J234" s="6"/>
      <c r="K234" s="6"/>
      <c r="L234" s="6"/>
      <c r="M234" s="6"/>
    </row>
    <row r="235" spans="10:13" ht="13">
      <c r="J235" s="6"/>
      <c r="K235" s="6"/>
      <c r="L235" s="6"/>
      <c r="M235" s="6"/>
    </row>
    <row r="236" spans="10:13" ht="13">
      <c r="J236" s="6"/>
      <c r="K236" s="6"/>
      <c r="L236" s="6"/>
      <c r="M236" s="6"/>
    </row>
    <row r="237" spans="10:13" ht="13">
      <c r="J237" s="6"/>
      <c r="K237" s="6"/>
      <c r="L237" s="6"/>
      <c r="M237" s="6"/>
    </row>
    <row r="238" spans="10:13" ht="13">
      <c r="J238" s="6"/>
      <c r="K238" s="6"/>
      <c r="L238" s="6"/>
      <c r="M238" s="6"/>
    </row>
    <row r="239" spans="10:13" ht="13">
      <c r="J239" s="6"/>
      <c r="K239" s="6"/>
      <c r="L239" s="6"/>
      <c r="M239" s="6"/>
    </row>
    <row r="240" spans="10:13" ht="13">
      <c r="J240" s="6"/>
      <c r="K240" s="6"/>
      <c r="L240" s="6"/>
      <c r="M240" s="6"/>
    </row>
    <row r="241" spans="10:13" ht="13">
      <c r="J241" s="6"/>
      <c r="K241" s="6"/>
      <c r="L241" s="6"/>
      <c r="M241" s="6"/>
    </row>
    <row r="242" spans="10:13" ht="13">
      <c r="J242" s="6"/>
      <c r="K242" s="6"/>
      <c r="L242" s="6"/>
      <c r="M242" s="6"/>
    </row>
    <row r="243" spans="10:13" ht="13">
      <c r="J243" s="6"/>
      <c r="K243" s="6"/>
      <c r="L243" s="6"/>
      <c r="M243" s="6"/>
    </row>
    <row r="244" spans="10:13" ht="13">
      <c r="J244" s="6"/>
      <c r="K244" s="6"/>
      <c r="L244" s="6"/>
      <c r="M244" s="6"/>
    </row>
    <row r="245" spans="10:13" ht="13">
      <c r="J245" s="6"/>
      <c r="K245" s="6"/>
      <c r="L245" s="6"/>
      <c r="M245" s="6"/>
    </row>
    <row r="246" spans="10:13" ht="13">
      <c r="J246" s="6"/>
      <c r="K246" s="6"/>
      <c r="L246" s="6"/>
      <c r="M246" s="6"/>
    </row>
    <row r="247" spans="10:13" ht="13">
      <c r="J247" s="6"/>
      <c r="K247" s="6"/>
      <c r="L247" s="6"/>
      <c r="M247" s="6"/>
    </row>
    <row r="248" spans="10:13" ht="13">
      <c r="J248" s="6"/>
      <c r="K248" s="6"/>
      <c r="L248" s="6"/>
      <c r="M248" s="6"/>
    </row>
    <row r="249" spans="10:13" ht="13">
      <c r="J249" s="6"/>
      <c r="K249" s="6"/>
      <c r="L249" s="6"/>
      <c r="M249" s="6"/>
    </row>
    <row r="250" spans="10:13" ht="13">
      <c r="J250" s="6"/>
      <c r="K250" s="6"/>
      <c r="L250" s="6"/>
      <c r="M250" s="6"/>
    </row>
    <row r="251" spans="10:13" ht="13">
      <c r="J251" s="6"/>
      <c r="K251" s="6"/>
      <c r="L251" s="6"/>
      <c r="M251" s="6"/>
    </row>
    <row r="252" spans="10:13" ht="13">
      <c r="J252" s="6"/>
      <c r="K252" s="6"/>
      <c r="L252" s="6"/>
      <c r="M252" s="6"/>
    </row>
    <row r="253" spans="10:13" ht="13">
      <c r="J253" s="6"/>
      <c r="K253" s="6"/>
      <c r="L253" s="6"/>
      <c r="M253" s="6"/>
    </row>
    <row r="254" spans="10:13" ht="13">
      <c r="J254" s="6"/>
      <c r="K254" s="6"/>
      <c r="L254" s="6"/>
      <c r="M254" s="6"/>
    </row>
    <row r="255" spans="10:13" ht="13">
      <c r="J255" s="6"/>
      <c r="K255" s="6"/>
      <c r="L255" s="6"/>
      <c r="M255" s="6"/>
    </row>
    <row r="256" spans="10:13" ht="13">
      <c r="J256" s="6"/>
      <c r="K256" s="6"/>
      <c r="L256" s="6"/>
      <c r="M256" s="6"/>
    </row>
    <row r="257" spans="10:13" ht="13">
      <c r="J257" s="6"/>
      <c r="K257" s="6"/>
      <c r="L257" s="6"/>
      <c r="M257" s="6"/>
    </row>
    <row r="258" spans="10:13" ht="13">
      <c r="J258" s="6"/>
      <c r="K258" s="6"/>
      <c r="L258" s="6"/>
      <c r="M258" s="6"/>
    </row>
    <row r="259" spans="10:13" ht="13">
      <c r="J259" s="6"/>
      <c r="K259" s="6"/>
      <c r="L259" s="6"/>
      <c r="M259" s="6"/>
    </row>
    <row r="260" spans="10:13" ht="13">
      <c r="J260" s="6"/>
      <c r="K260" s="6"/>
      <c r="L260" s="6"/>
      <c r="M260" s="6"/>
    </row>
    <row r="261" spans="10:13" ht="13">
      <c r="J261" s="6"/>
      <c r="K261" s="6"/>
      <c r="L261" s="6"/>
      <c r="M261" s="6"/>
    </row>
    <row r="262" spans="10:13" ht="13">
      <c r="J262" s="6"/>
      <c r="K262" s="6"/>
      <c r="L262" s="6"/>
      <c r="M262" s="6"/>
    </row>
    <row r="263" spans="10:13" ht="13">
      <c r="J263" s="6"/>
      <c r="K263" s="6"/>
      <c r="L263" s="6"/>
      <c r="M263" s="6"/>
    </row>
    <row r="264" spans="10:13" ht="13">
      <c r="J264" s="6"/>
      <c r="K264" s="6"/>
      <c r="L264" s="6"/>
      <c r="M264" s="6"/>
    </row>
    <row r="265" spans="10:13" ht="13">
      <c r="J265" s="6"/>
      <c r="K265" s="6"/>
      <c r="L265" s="6"/>
      <c r="M265" s="6"/>
    </row>
    <row r="266" spans="10:13" ht="13">
      <c r="J266" s="6"/>
      <c r="K266" s="6"/>
      <c r="L266" s="6"/>
      <c r="M266" s="6"/>
    </row>
    <row r="267" spans="10:13" ht="13">
      <c r="J267" s="6"/>
      <c r="K267" s="6"/>
      <c r="L267" s="6"/>
      <c r="M267" s="6"/>
    </row>
    <row r="268" spans="10:13" ht="13">
      <c r="J268" s="6"/>
      <c r="K268" s="6"/>
      <c r="L268" s="6"/>
      <c r="M268" s="6"/>
    </row>
    <row r="269" spans="10:13" ht="13">
      <c r="J269" s="6"/>
      <c r="K269" s="6"/>
      <c r="L269" s="6"/>
      <c r="M269" s="6"/>
    </row>
    <row r="270" spans="10:13" ht="13">
      <c r="J270" s="6"/>
      <c r="K270" s="6"/>
      <c r="L270" s="6"/>
      <c r="M270" s="6"/>
    </row>
    <row r="271" spans="10:13" ht="13">
      <c r="J271" s="6"/>
      <c r="K271" s="6"/>
      <c r="L271" s="6"/>
      <c r="M271" s="6"/>
    </row>
    <row r="272" spans="10:13" ht="13">
      <c r="J272" s="6"/>
      <c r="K272" s="6"/>
      <c r="L272" s="6"/>
      <c r="M272" s="6"/>
    </row>
    <row r="273" spans="10:13" ht="13">
      <c r="J273" s="6"/>
      <c r="K273" s="6"/>
      <c r="L273" s="6"/>
      <c r="M273" s="6"/>
    </row>
    <row r="274" spans="10:13" ht="13">
      <c r="J274" s="6"/>
      <c r="K274" s="6"/>
      <c r="L274" s="6"/>
      <c r="M274" s="6"/>
    </row>
    <row r="275" spans="10:13" ht="13">
      <c r="J275" s="6"/>
      <c r="K275" s="6"/>
      <c r="L275" s="6"/>
      <c r="M275" s="6"/>
    </row>
    <row r="276" spans="10:13" ht="13">
      <c r="J276" s="6"/>
      <c r="K276" s="6"/>
      <c r="L276" s="6"/>
      <c r="M276" s="6"/>
    </row>
    <row r="277" spans="10:13" ht="13">
      <c r="J277" s="6"/>
      <c r="K277" s="6"/>
      <c r="L277" s="6"/>
      <c r="M277" s="6"/>
    </row>
    <row r="278" spans="10:13" ht="13">
      <c r="J278" s="6"/>
      <c r="K278" s="6"/>
      <c r="L278" s="6"/>
      <c r="M278" s="6"/>
    </row>
    <row r="279" spans="10:13" ht="13">
      <c r="J279" s="6"/>
      <c r="K279" s="6"/>
      <c r="L279" s="6"/>
      <c r="M279" s="6"/>
    </row>
    <row r="280" spans="10:13" ht="13">
      <c r="J280" s="6"/>
      <c r="K280" s="6"/>
      <c r="L280" s="6"/>
      <c r="M280" s="6"/>
    </row>
    <row r="281" spans="10:13" ht="13">
      <c r="J281" s="6"/>
      <c r="K281" s="6"/>
      <c r="L281" s="6"/>
      <c r="M281" s="6"/>
    </row>
    <row r="282" spans="10:13" ht="13">
      <c r="J282" s="6"/>
      <c r="K282" s="6"/>
      <c r="L282" s="6"/>
      <c r="M282" s="6"/>
    </row>
    <row r="283" spans="10:13" ht="13">
      <c r="J283" s="6"/>
      <c r="K283" s="6"/>
      <c r="L283" s="6"/>
      <c r="M283" s="6"/>
    </row>
    <row r="284" spans="10:13" ht="13">
      <c r="J284" s="6"/>
      <c r="K284" s="6"/>
      <c r="L284" s="6"/>
      <c r="M284" s="6"/>
    </row>
    <row r="285" spans="10:13" ht="13">
      <c r="J285" s="6"/>
      <c r="K285" s="6"/>
      <c r="L285" s="6"/>
      <c r="M285" s="6"/>
    </row>
    <row r="286" spans="10:13" ht="13">
      <c r="J286" s="6"/>
      <c r="K286" s="6"/>
      <c r="L286" s="6"/>
      <c r="M286" s="6"/>
    </row>
    <row r="287" spans="10:13" ht="13">
      <c r="J287" s="6"/>
      <c r="K287" s="6"/>
      <c r="L287" s="6"/>
      <c r="M287" s="6"/>
    </row>
    <row r="288" spans="10:13" ht="13">
      <c r="J288" s="6"/>
      <c r="K288" s="6"/>
      <c r="L288" s="6"/>
      <c r="M288" s="6"/>
    </row>
    <row r="289" spans="10:13" ht="13">
      <c r="J289" s="6"/>
      <c r="K289" s="6"/>
      <c r="L289" s="6"/>
      <c r="M289" s="6"/>
    </row>
    <row r="290" spans="10:13" ht="13">
      <c r="J290" s="6"/>
      <c r="K290" s="6"/>
      <c r="L290" s="6"/>
      <c r="M290" s="6"/>
    </row>
    <row r="291" spans="10:13" ht="13">
      <c r="J291" s="6"/>
      <c r="K291" s="6"/>
      <c r="L291" s="6"/>
      <c r="M291" s="6"/>
    </row>
    <row r="292" spans="10:13" ht="13">
      <c r="J292" s="6"/>
      <c r="K292" s="6"/>
      <c r="L292" s="6"/>
      <c r="M292" s="6"/>
    </row>
    <row r="293" spans="10:13" ht="13">
      <c r="J293" s="6"/>
      <c r="K293" s="6"/>
      <c r="L293" s="6"/>
      <c r="M293" s="6"/>
    </row>
    <row r="294" spans="10:13" ht="13">
      <c r="J294" s="6"/>
      <c r="K294" s="6"/>
      <c r="L294" s="6"/>
      <c r="M294" s="6"/>
    </row>
    <row r="295" spans="10:13" ht="13">
      <c r="J295" s="6"/>
      <c r="K295" s="6"/>
      <c r="L295" s="6"/>
      <c r="M295" s="6"/>
    </row>
    <row r="296" spans="10:13" ht="13">
      <c r="J296" s="6"/>
      <c r="K296" s="6"/>
      <c r="L296" s="6"/>
      <c r="M296" s="6"/>
    </row>
    <row r="297" spans="10:13" ht="13">
      <c r="J297" s="6"/>
      <c r="K297" s="6"/>
      <c r="L297" s="6"/>
      <c r="M297" s="6"/>
    </row>
    <row r="298" spans="10:13" ht="13">
      <c r="J298" s="6"/>
      <c r="K298" s="6"/>
      <c r="L298" s="6"/>
      <c r="M298" s="6"/>
    </row>
    <row r="299" spans="10:13" ht="13">
      <c r="J299" s="6"/>
      <c r="K299" s="6"/>
      <c r="L299" s="6"/>
      <c r="M299" s="6"/>
    </row>
    <row r="300" spans="10:13" ht="13">
      <c r="J300" s="6"/>
      <c r="K300" s="6"/>
      <c r="L300" s="6"/>
      <c r="M300" s="6"/>
    </row>
    <row r="301" spans="10:13" ht="13">
      <c r="J301" s="6"/>
      <c r="K301" s="6"/>
      <c r="L301" s="6"/>
      <c r="M301" s="6"/>
    </row>
    <row r="302" spans="10:13" ht="13">
      <c r="J302" s="6"/>
      <c r="K302" s="6"/>
      <c r="L302" s="6"/>
      <c r="M302" s="6"/>
    </row>
    <row r="303" spans="10:13" ht="13">
      <c r="J303" s="6"/>
      <c r="K303" s="6"/>
      <c r="L303" s="6"/>
      <c r="M303" s="6"/>
    </row>
    <row r="304" spans="10:13" ht="13">
      <c r="J304" s="6"/>
      <c r="K304" s="6"/>
      <c r="L304" s="6"/>
      <c r="M304" s="6"/>
    </row>
    <row r="305" spans="10:13" ht="13">
      <c r="J305" s="6"/>
      <c r="K305" s="6"/>
      <c r="L305" s="6"/>
      <c r="M305" s="6"/>
    </row>
    <row r="306" spans="10:13" ht="13">
      <c r="J306" s="6"/>
      <c r="K306" s="6"/>
      <c r="L306" s="6"/>
      <c r="M306" s="6"/>
    </row>
    <row r="307" spans="10:13" ht="13">
      <c r="J307" s="6"/>
      <c r="K307" s="6"/>
      <c r="L307" s="6"/>
      <c r="M307" s="6"/>
    </row>
    <row r="308" spans="10:13" ht="13">
      <c r="J308" s="6"/>
      <c r="K308" s="6"/>
      <c r="L308" s="6"/>
      <c r="M308" s="6"/>
    </row>
    <row r="309" spans="10:13" ht="13">
      <c r="J309" s="6"/>
      <c r="K309" s="6"/>
      <c r="L309" s="6"/>
      <c r="M309" s="6"/>
    </row>
    <row r="310" spans="10:13" ht="13">
      <c r="J310" s="6"/>
      <c r="K310" s="6"/>
      <c r="L310" s="6"/>
      <c r="M310" s="6"/>
    </row>
    <row r="311" spans="10:13" ht="13">
      <c r="J311" s="6"/>
      <c r="K311" s="6"/>
      <c r="L311" s="6"/>
      <c r="M311" s="6"/>
    </row>
    <row r="312" spans="10:13" ht="13">
      <c r="J312" s="6"/>
      <c r="K312" s="6"/>
      <c r="L312" s="6"/>
      <c r="M312" s="6"/>
    </row>
    <row r="313" spans="10:13" ht="13">
      <c r="J313" s="6"/>
      <c r="K313" s="6"/>
      <c r="L313" s="6"/>
      <c r="M313" s="6"/>
    </row>
    <row r="314" spans="10:13" ht="13">
      <c r="J314" s="6"/>
      <c r="K314" s="6"/>
      <c r="L314" s="6"/>
      <c r="M314" s="6"/>
    </row>
    <row r="315" spans="10:13" ht="13">
      <c r="J315" s="6"/>
      <c r="K315" s="6"/>
      <c r="L315" s="6"/>
      <c r="M315" s="6"/>
    </row>
    <row r="316" spans="10:13" ht="13">
      <c r="J316" s="6"/>
      <c r="K316" s="6"/>
      <c r="L316" s="6"/>
      <c r="M316" s="6"/>
    </row>
    <row r="317" spans="10:13" ht="13">
      <c r="J317" s="6"/>
      <c r="K317" s="6"/>
      <c r="L317" s="6"/>
      <c r="M317" s="6"/>
    </row>
    <row r="318" spans="10:13" ht="13">
      <c r="J318" s="6"/>
      <c r="K318" s="6"/>
      <c r="L318" s="6"/>
      <c r="M318" s="6"/>
    </row>
    <row r="319" spans="10:13" ht="13">
      <c r="J319" s="6"/>
      <c r="K319" s="6"/>
      <c r="L319" s="6"/>
      <c r="M319" s="6"/>
    </row>
    <row r="320" spans="10:13" ht="13">
      <c r="J320" s="6"/>
      <c r="K320" s="6"/>
      <c r="L320" s="6"/>
      <c r="M320" s="6"/>
    </row>
    <row r="321" spans="10:13" ht="13">
      <c r="J321" s="6"/>
      <c r="K321" s="6"/>
      <c r="L321" s="6"/>
      <c r="M321" s="6"/>
    </row>
    <row r="322" spans="10:13" ht="13">
      <c r="J322" s="6"/>
      <c r="K322" s="6"/>
      <c r="L322" s="6"/>
      <c r="M322" s="6"/>
    </row>
    <row r="323" spans="10:13" ht="13">
      <c r="J323" s="6"/>
      <c r="K323" s="6"/>
      <c r="L323" s="6"/>
      <c r="M323" s="6"/>
    </row>
    <row r="324" spans="10:13" ht="13">
      <c r="J324" s="6"/>
      <c r="K324" s="6"/>
      <c r="L324" s="6"/>
      <c r="M324" s="6"/>
    </row>
    <row r="325" spans="10:13" ht="13">
      <c r="J325" s="6"/>
      <c r="K325" s="6"/>
      <c r="L325" s="6"/>
      <c r="M325" s="6"/>
    </row>
    <row r="326" spans="10:13" ht="13">
      <c r="J326" s="6"/>
      <c r="K326" s="6"/>
      <c r="L326" s="6"/>
      <c r="M326" s="6"/>
    </row>
    <row r="327" spans="10:13" ht="13">
      <c r="J327" s="6"/>
      <c r="K327" s="6"/>
      <c r="L327" s="6"/>
      <c r="M327" s="6"/>
    </row>
    <row r="328" spans="10:13" ht="13">
      <c r="J328" s="6"/>
      <c r="K328" s="6"/>
      <c r="L328" s="6"/>
      <c r="M328" s="6"/>
    </row>
    <row r="329" spans="10:13" ht="13">
      <c r="J329" s="6"/>
      <c r="K329" s="6"/>
      <c r="L329" s="6"/>
      <c r="M329" s="6"/>
    </row>
    <row r="330" spans="10:13" ht="13">
      <c r="J330" s="6"/>
      <c r="K330" s="6"/>
      <c r="L330" s="6"/>
      <c r="M330" s="6"/>
    </row>
    <row r="331" spans="10:13" ht="13">
      <c r="J331" s="6"/>
      <c r="K331" s="6"/>
      <c r="L331" s="6"/>
      <c r="M331" s="6"/>
    </row>
    <row r="332" spans="10:13" ht="13">
      <c r="J332" s="6"/>
      <c r="K332" s="6"/>
      <c r="L332" s="6"/>
      <c r="M332" s="6"/>
    </row>
    <row r="333" spans="10:13" ht="13">
      <c r="J333" s="6"/>
      <c r="K333" s="6"/>
      <c r="L333" s="6"/>
      <c r="M333" s="6"/>
    </row>
    <row r="334" spans="10:13" ht="13">
      <c r="J334" s="6"/>
      <c r="K334" s="6"/>
      <c r="L334" s="6"/>
      <c r="M334" s="6"/>
    </row>
    <row r="335" spans="10:13" ht="13">
      <c r="J335" s="6"/>
      <c r="K335" s="6"/>
      <c r="L335" s="6"/>
      <c r="M335" s="6"/>
    </row>
    <row r="336" spans="10:13" ht="13">
      <c r="J336" s="6"/>
      <c r="K336" s="6"/>
      <c r="L336" s="6"/>
      <c r="M336" s="6"/>
    </row>
    <row r="337" spans="10:13" ht="13">
      <c r="J337" s="6"/>
      <c r="K337" s="6"/>
      <c r="L337" s="6"/>
      <c r="M337" s="6"/>
    </row>
    <row r="338" spans="10:13" ht="13">
      <c r="J338" s="6"/>
      <c r="K338" s="6"/>
      <c r="L338" s="6"/>
      <c r="M338" s="6"/>
    </row>
    <row r="339" spans="10:13" ht="13">
      <c r="J339" s="6"/>
      <c r="K339" s="6"/>
      <c r="L339" s="6"/>
      <c r="M339" s="6"/>
    </row>
    <row r="340" spans="10:13" ht="13">
      <c r="J340" s="6"/>
      <c r="K340" s="6"/>
      <c r="L340" s="6"/>
      <c r="M340" s="6"/>
    </row>
    <row r="341" spans="10:13" ht="13">
      <c r="J341" s="6"/>
      <c r="K341" s="6"/>
      <c r="L341" s="6"/>
      <c r="M341" s="6"/>
    </row>
    <row r="342" spans="10:13" ht="13">
      <c r="J342" s="6"/>
      <c r="K342" s="6"/>
      <c r="L342" s="6"/>
      <c r="M342" s="6"/>
    </row>
    <row r="343" spans="10:13" ht="13">
      <c r="J343" s="6"/>
      <c r="K343" s="6"/>
      <c r="L343" s="6"/>
      <c r="M343" s="6"/>
    </row>
    <row r="344" spans="10:13" ht="13">
      <c r="J344" s="6"/>
      <c r="K344" s="6"/>
      <c r="L344" s="6"/>
      <c r="M344" s="6"/>
    </row>
    <row r="345" spans="10:13" ht="13">
      <c r="J345" s="6"/>
      <c r="K345" s="6"/>
      <c r="L345" s="6"/>
      <c r="M345" s="6"/>
    </row>
    <row r="346" spans="10:13" ht="13">
      <c r="J346" s="6"/>
      <c r="K346" s="6"/>
      <c r="L346" s="6"/>
      <c r="M346" s="6"/>
    </row>
    <row r="347" spans="10:13" ht="13">
      <c r="J347" s="6"/>
      <c r="K347" s="6"/>
      <c r="L347" s="6"/>
      <c r="M347" s="6"/>
    </row>
    <row r="348" spans="10:13" ht="13">
      <c r="J348" s="6"/>
      <c r="K348" s="6"/>
      <c r="L348" s="6"/>
      <c r="M348" s="6"/>
    </row>
    <row r="349" spans="10:13" ht="13">
      <c r="J349" s="6"/>
      <c r="K349" s="6"/>
      <c r="L349" s="6"/>
      <c r="M349" s="6"/>
    </row>
    <row r="350" spans="10:13" ht="13">
      <c r="J350" s="6"/>
      <c r="K350" s="6"/>
      <c r="L350" s="6"/>
      <c r="M350" s="6"/>
    </row>
    <row r="351" spans="10:13" ht="13">
      <c r="J351" s="6"/>
      <c r="K351" s="6"/>
      <c r="L351" s="6"/>
      <c r="M351" s="6"/>
    </row>
    <row r="352" spans="10:13" ht="13">
      <c r="J352" s="6"/>
      <c r="K352" s="6"/>
      <c r="L352" s="6"/>
      <c r="M352" s="6"/>
    </row>
    <row r="353" spans="10:13" ht="13">
      <c r="J353" s="6"/>
      <c r="K353" s="6"/>
      <c r="L353" s="6"/>
      <c r="M353" s="6"/>
    </row>
    <row r="354" spans="10:13" ht="13">
      <c r="J354" s="6"/>
      <c r="K354" s="6"/>
      <c r="L354" s="6"/>
      <c r="M354" s="6"/>
    </row>
    <row r="355" spans="10:13" ht="13">
      <c r="J355" s="6"/>
      <c r="K355" s="6"/>
      <c r="L355" s="6"/>
      <c r="M355" s="6"/>
    </row>
    <row r="356" spans="10:13" ht="13">
      <c r="J356" s="6"/>
      <c r="K356" s="6"/>
      <c r="L356" s="6"/>
      <c r="M356" s="6"/>
    </row>
    <row r="357" spans="10:13" ht="13">
      <c r="J357" s="6"/>
      <c r="K357" s="6"/>
      <c r="L357" s="6"/>
      <c r="M357" s="6"/>
    </row>
    <row r="358" spans="10:13" ht="13">
      <c r="J358" s="6"/>
      <c r="K358" s="6"/>
      <c r="L358" s="6"/>
      <c r="M358" s="6"/>
    </row>
    <row r="359" spans="10:13" ht="13">
      <c r="J359" s="6"/>
      <c r="K359" s="6"/>
      <c r="L359" s="6"/>
      <c r="M359" s="6"/>
    </row>
    <row r="360" spans="10:13" ht="13">
      <c r="J360" s="6"/>
      <c r="K360" s="6"/>
      <c r="L360" s="6"/>
      <c r="M360" s="6"/>
    </row>
    <row r="361" spans="10:13" ht="13">
      <c r="J361" s="6"/>
      <c r="K361" s="6"/>
      <c r="L361" s="6"/>
      <c r="M361" s="6"/>
    </row>
    <row r="362" spans="10:13" ht="13">
      <c r="J362" s="6"/>
      <c r="K362" s="6"/>
      <c r="L362" s="6"/>
      <c r="M362" s="6"/>
    </row>
    <row r="363" spans="10:13" ht="13">
      <c r="J363" s="6"/>
      <c r="K363" s="6"/>
      <c r="L363" s="6"/>
      <c r="M363" s="6"/>
    </row>
    <row r="364" spans="10:13" ht="13">
      <c r="J364" s="6"/>
      <c r="K364" s="6"/>
      <c r="L364" s="6"/>
      <c r="M364" s="6"/>
    </row>
    <row r="365" spans="10:13" ht="13">
      <c r="J365" s="6"/>
      <c r="K365" s="6"/>
      <c r="L365" s="6"/>
      <c r="M365" s="6"/>
    </row>
    <row r="366" spans="10:13" ht="13">
      <c r="J366" s="6"/>
      <c r="K366" s="6"/>
      <c r="L366" s="6"/>
      <c r="M366" s="6"/>
    </row>
    <row r="367" spans="10:13" ht="13">
      <c r="J367" s="6"/>
      <c r="K367" s="6"/>
      <c r="L367" s="6"/>
      <c r="M367" s="6"/>
    </row>
    <row r="368" spans="10:13" ht="13">
      <c r="J368" s="6"/>
      <c r="K368" s="6"/>
      <c r="L368" s="6"/>
      <c r="M368" s="6"/>
    </row>
    <row r="369" spans="10:13" ht="13">
      <c r="J369" s="6"/>
      <c r="K369" s="6"/>
      <c r="L369" s="6"/>
      <c r="M369" s="6"/>
    </row>
    <row r="370" spans="10:13" ht="13">
      <c r="J370" s="6"/>
      <c r="K370" s="6"/>
      <c r="L370" s="6"/>
      <c r="M370" s="6"/>
    </row>
    <row r="371" spans="10:13" ht="13">
      <c r="J371" s="6"/>
      <c r="K371" s="6"/>
      <c r="L371" s="6"/>
      <c r="M371" s="6"/>
    </row>
    <row r="372" spans="10:13" ht="13">
      <c r="J372" s="6"/>
      <c r="K372" s="6"/>
      <c r="L372" s="6"/>
      <c r="M372" s="6"/>
    </row>
    <row r="373" spans="10:13" ht="13">
      <c r="J373" s="6"/>
      <c r="K373" s="6"/>
      <c r="L373" s="6"/>
      <c r="M373" s="6"/>
    </row>
    <row r="374" spans="10:13" ht="13">
      <c r="J374" s="6"/>
      <c r="K374" s="6"/>
      <c r="L374" s="6"/>
      <c r="M374" s="6"/>
    </row>
    <row r="375" spans="10:13" ht="13">
      <c r="J375" s="6"/>
      <c r="K375" s="6"/>
      <c r="L375" s="6"/>
      <c r="M375" s="6"/>
    </row>
    <row r="376" spans="10:13" ht="13">
      <c r="J376" s="6"/>
      <c r="K376" s="6"/>
      <c r="L376" s="6"/>
      <c r="M376" s="6"/>
    </row>
    <row r="377" spans="10:13" ht="13">
      <c r="J377" s="6"/>
      <c r="K377" s="6"/>
      <c r="L377" s="6"/>
      <c r="M377" s="6"/>
    </row>
    <row r="378" spans="10:13" ht="13">
      <c r="J378" s="6"/>
      <c r="K378" s="6"/>
      <c r="L378" s="6"/>
      <c r="M378" s="6"/>
    </row>
    <row r="379" spans="10:13" ht="13">
      <c r="J379" s="6"/>
      <c r="K379" s="6"/>
      <c r="L379" s="6"/>
      <c r="M379" s="6"/>
    </row>
    <row r="380" spans="10:13" ht="13">
      <c r="J380" s="6"/>
      <c r="K380" s="6"/>
      <c r="L380" s="6"/>
      <c r="M380" s="6"/>
    </row>
    <row r="381" spans="10:13" ht="13">
      <c r="J381" s="6"/>
      <c r="K381" s="6"/>
      <c r="L381" s="6"/>
      <c r="M381" s="6"/>
    </row>
    <row r="382" spans="10:13" ht="13">
      <c r="J382" s="6"/>
      <c r="K382" s="6"/>
      <c r="L382" s="6"/>
      <c r="M382" s="6"/>
    </row>
    <row r="383" spans="10:13" ht="13">
      <c r="J383" s="6"/>
      <c r="K383" s="6"/>
      <c r="L383" s="6"/>
      <c r="M383" s="6"/>
    </row>
    <row r="384" spans="10:13" ht="13">
      <c r="J384" s="6"/>
      <c r="K384" s="6"/>
      <c r="L384" s="6"/>
      <c r="M384" s="6"/>
    </row>
    <row r="385" spans="10:13" ht="13">
      <c r="J385" s="6"/>
      <c r="K385" s="6"/>
      <c r="L385" s="6"/>
      <c r="M385" s="6"/>
    </row>
    <row r="386" spans="10:13" ht="13">
      <c r="J386" s="6"/>
      <c r="K386" s="6"/>
      <c r="L386" s="6"/>
      <c r="M386" s="6"/>
    </row>
    <row r="387" spans="10:13" ht="13">
      <c r="J387" s="6"/>
      <c r="K387" s="6"/>
      <c r="L387" s="6"/>
      <c r="M387" s="6"/>
    </row>
    <row r="388" spans="10:13" ht="13">
      <c r="J388" s="6"/>
      <c r="K388" s="6"/>
      <c r="L388" s="6"/>
      <c r="M388" s="6"/>
    </row>
    <row r="389" spans="10:13" ht="13">
      <c r="J389" s="6"/>
      <c r="K389" s="6"/>
      <c r="L389" s="6"/>
      <c r="M389" s="6"/>
    </row>
    <row r="390" spans="10:13" ht="13">
      <c r="J390" s="6"/>
      <c r="K390" s="6"/>
      <c r="L390" s="6"/>
      <c r="M390" s="6"/>
    </row>
    <row r="391" spans="10:13" ht="13">
      <c r="J391" s="6"/>
      <c r="K391" s="6"/>
      <c r="L391" s="6"/>
      <c r="M391" s="6"/>
    </row>
    <row r="392" spans="10:13" ht="13">
      <c r="J392" s="6"/>
      <c r="K392" s="6"/>
      <c r="L392" s="6"/>
      <c r="M392" s="6"/>
    </row>
    <row r="393" spans="10:13" ht="13">
      <c r="J393" s="6"/>
      <c r="K393" s="6"/>
      <c r="L393" s="6"/>
      <c r="M393" s="6"/>
    </row>
    <row r="394" spans="10:13" ht="13">
      <c r="J394" s="6"/>
      <c r="K394" s="6"/>
      <c r="L394" s="6"/>
      <c r="M394" s="6"/>
    </row>
    <row r="395" spans="10:13" ht="13">
      <c r="J395" s="6"/>
      <c r="K395" s="6"/>
      <c r="L395" s="6"/>
      <c r="M395" s="6"/>
    </row>
    <row r="396" spans="10:13" ht="13">
      <c r="J396" s="6"/>
      <c r="K396" s="6"/>
      <c r="L396" s="6"/>
      <c r="M396" s="6"/>
    </row>
    <row r="397" spans="10:13" ht="13">
      <c r="J397" s="6"/>
      <c r="K397" s="6"/>
      <c r="L397" s="6"/>
      <c r="M397" s="6"/>
    </row>
    <row r="398" spans="10:13" ht="13">
      <c r="J398" s="6"/>
      <c r="K398" s="6"/>
      <c r="L398" s="6"/>
      <c r="M398" s="6"/>
    </row>
    <row r="399" spans="10:13" ht="13">
      <c r="J399" s="6"/>
      <c r="K399" s="6"/>
      <c r="L399" s="6"/>
      <c r="M399" s="6"/>
    </row>
    <row r="400" spans="10:13" ht="13">
      <c r="J400" s="6"/>
      <c r="K400" s="6"/>
      <c r="L400" s="6"/>
      <c r="M400" s="6"/>
    </row>
    <row r="401" spans="10:13" ht="13">
      <c r="J401" s="6"/>
      <c r="K401" s="6"/>
      <c r="L401" s="6"/>
      <c r="M401" s="6"/>
    </row>
    <row r="402" spans="10:13" ht="13">
      <c r="J402" s="6"/>
      <c r="K402" s="6"/>
      <c r="L402" s="6"/>
      <c r="M402" s="6"/>
    </row>
    <row r="403" spans="10:13" ht="13">
      <c r="J403" s="6"/>
      <c r="K403" s="6"/>
      <c r="L403" s="6"/>
      <c r="M403" s="6"/>
    </row>
    <row r="404" spans="10:13" ht="13">
      <c r="J404" s="6"/>
      <c r="K404" s="6"/>
      <c r="L404" s="6"/>
      <c r="M404" s="6"/>
    </row>
    <row r="405" spans="10:13" ht="13">
      <c r="J405" s="6"/>
      <c r="K405" s="6"/>
      <c r="L405" s="6"/>
      <c r="M405" s="6"/>
    </row>
    <row r="406" spans="10:13" ht="13">
      <c r="J406" s="6"/>
      <c r="K406" s="6"/>
      <c r="L406" s="6"/>
      <c r="M406" s="6"/>
    </row>
    <row r="407" spans="10:13" ht="13">
      <c r="J407" s="6"/>
      <c r="K407" s="6"/>
      <c r="L407" s="6"/>
      <c r="M407" s="6"/>
    </row>
    <row r="408" spans="10:13" ht="13">
      <c r="J408" s="6"/>
      <c r="K408" s="6"/>
      <c r="L408" s="6"/>
      <c r="M408" s="6"/>
    </row>
    <row r="409" spans="10:13" ht="13">
      <c r="J409" s="6"/>
      <c r="K409" s="6"/>
      <c r="L409" s="6"/>
      <c r="M409" s="6"/>
    </row>
    <row r="410" spans="10:13" ht="13">
      <c r="J410" s="6"/>
      <c r="K410" s="6"/>
      <c r="L410" s="6"/>
      <c r="M410" s="6"/>
    </row>
    <row r="411" spans="10:13" ht="13">
      <c r="J411" s="6"/>
      <c r="K411" s="6"/>
      <c r="L411" s="6"/>
      <c r="M411" s="6"/>
    </row>
    <row r="412" spans="10:13" ht="13">
      <c r="J412" s="6"/>
      <c r="K412" s="6"/>
      <c r="L412" s="6"/>
      <c r="M412" s="6"/>
    </row>
    <row r="413" spans="10:13" ht="13">
      <c r="J413" s="6"/>
      <c r="K413" s="6"/>
      <c r="L413" s="6"/>
      <c r="M413" s="6"/>
    </row>
    <row r="414" spans="10:13" ht="13">
      <c r="J414" s="6"/>
      <c r="K414" s="6"/>
      <c r="L414" s="6"/>
      <c r="M414" s="6"/>
    </row>
    <row r="415" spans="10:13" ht="13">
      <c r="J415" s="6"/>
      <c r="K415" s="6"/>
      <c r="L415" s="6"/>
      <c r="M415" s="6"/>
    </row>
    <row r="416" spans="10:13" ht="13">
      <c r="J416" s="6"/>
      <c r="K416" s="6"/>
      <c r="L416" s="6"/>
      <c r="M416" s="6"/>
    </row>
    <row r="417" spans="10:13" ht="13">
      <c r="J417" s="6"/>
      <c r="K417" s="6"/>
      <c r="L417" s="6"/>
      <c r="M417" s="6"/>
    </row>
    <row r="418" spans="10:13" ht="13">
      <c r="J418" s="6"/>
      <c r="K418" s="6"/>
      <c r="L418" s="6"/>
      <c r="M418" s="6"/>
    </row>
    <row r="419" spans="10:13" ht="13">
      <c r="J419" s="6"/>
      <c r="K419" s="6"/>
      <c r="L419" s="6"/>
      <c r="M419" s="6"/>
    </row>
    <row r="420" spans="10:13" ht="13">
      <c r="J420" s="6"/>
      <c r="K420" s="6"/>
      <c r="L420" s="6"/>
      <c r="M420" s="6"/>
    </row>
    <row r="421" spans="10:13" ht="13">
      <c r="J421" s="6"/>
      <c r="K421" s="6"/>
      <c r="L421" s="6"/>
      <c r="M421" s="6"/>
    </row>
    <row r="422" spans="10:13" ht="13">
      <c r="J422" s="6"/>
      <c r="K422" s="6"/>
      <c r="L422" s="6"/>
      <c r="M422" s="6"/>
    </row>
    <row r="423" spans="10:13" ht="13">
      <c r="J423" s="6"/>
      <c r="K423" s="6"/>
      <c r="L423" s="6"/>
      <c r="M423" s="6"/>
    </row>
    <row r="424" spans="10:13" ht="13">
      <c r="J424" s="6"/>
      <c r="K424" s="6"/>
      <c r="L424" s="6"/>
      <c r="M424" s="6"/>
    </row>
    <row r="425" spans="10:13" ht="13">
      <c r="J425" s="6"/>
      <c r="K425" s="6"/>
      <c r="L425" s="6"/>
      <c r="M425" s="6"/>
    </row>
    <row r="426" spans="10:13" ht="13">
      <c r="J426" s="6"/>
      <c r="K426" s="6"/>
      <c r="L426" s="6"/>
      <c r="M426" s="6"/>
    </row>
    <row r="427" spans="10:13" ht="13">
      <c r="J427" s="6"/>
      <c r="K427" s="6"/>
      <c r="L427" s="6"/>
      <c r="M427" s="6"/>
    </row>
    <row r="428" spans="10:13" ht="13">
      <c r="J428" s="6"/>
      <c r="K428" s="6"/>
      <c r="L428" s="6"/>
      <c r="M428" s="6"/>
    </row>
    <row r="429" spans="10:13" ht="13">
      <c r="J429" s="6"/>
      <c r="K429" s="6"/>
      <c r="L429" s="6"/>
      <c r="M429" s="6"/>
    </row>
    <row r="430" spans="10:13" ht="13">
      <c r="J430" s="6"/>
      <c r="K430" s="6"/>
      <c r="L430" s="6"/>
      <c r="M430" s="6"/>
    </row>
    <row r="431" spans="10:13" ht="13">
      <c r="J431" s="6"/>
      <c r="K431" s="6"/>
      <c r="L431" s="6"/>
      <c r="M431" s="6"/>
    </row>
    <row r="432" spans="10:13" ht="13">
      <c r="J432" s="6"/>
      <c r="K432" s="6"/>
      <c r="L432" s="6"/>
      <c r="M432" s="6"/>
    </row>
    <row r="433" spans="10:13" ht="13">
      <c r="J433" s="6"/>
      <c r="K433" s="6"/>
      <c r="L433" s="6"/>
      <c r="M433" s="6"/>
    </row>
    <row r="434" spans="10:13" ht="13">
      <c r="J434" s="6"/>
      <c r="K434" s="6"/>
      <c r="L434" s="6"/>
      <c r="M434" s="6"/>
    </row>
    <row r="435" spans="10:13" ht="13">
      <c r="J435" s="6"/>
      <c r="K435" s="6"/>
      <c r="L435" s="6"/>
      <c r="M435" s="6"/>
    </row>
    <row r="436" spans="10:13" ht="13">
      <c r="J436" s="6"/>
      <c r="K436" s="6"/>
      <c r="L436" s="6"/>
      <c r="M436" s="6"/>
    </row>
    <row r="437" spans="10:13" ht="13">
      <c r="J437" s="6"/>
      <c r="K437" s="6"/>
      <c r="L437" s="6"/>
      <c r="M437" s="6"/>
    </row>
    <row r="438" spans="10:13" ht="13">
      <c r="J438" s="6"/>
      <c r="K438" s="6"/>
      <c r="L438" s="6"/>
      <c r="M438" s="6"/>
    </row>
    <row r="439" spans="10:13" ht="13">
      <c r="J439" s="6"/>
      <c r="K439" s="6"/>
      <c r="L439" s="6"/>
      <c r="M439" s="6"/>
    </row>
    <row r="440" spans="10:13" ht="13">
      <c r="J440" s="6"/>
      <c r="K440" s="6"/>
      <c r="L440" s="6"/>
      <c r="M440" s="6"/>
    </row>
    <row r="441" spans="10:13" ht="13">
      <c r="J441" s="6"/>
      <c r="K441" s="6"/>
      <c r="L441" s="6"/>
      <c r="M441" s="6"/>
    </row>
    <row r="442" spans="10:13" ht="13">
      <c r="J442" s="6"/>
      <c r="K442" s="6"/>
      <c r="L442" s="6"/>
      <c r="M442" s="6"/>
    </row>
    <row r="443" spans="10:13" ht="13">
      <c r="J443" s="6"/>
      <c r="K443" s="6"/>
      <c r="L443" s="6"/>
      <c r="M443" s="6"/>
    </row>
    <row r="444" spans="10:13" ht="13">
      <c r="J444" s="6"/>
      <c r="K444" s="6"/>
      <c r="L444" s="6"/>
      <c r="M444" s="6"/>
    </row>
    <row r="445" spans="10:13" ht="13">
      <c r="J445" s="6"/>
      <c r="K445" s="6"/>
      <c r="L445" s="6"/>
      <c r="M445" s="6"/>
    </row>
    <row r="446" spans="10:13" ht="13">
      <c r="J446" s="6"/>
      <c r="K446" s="6"/>
      <c r="L446" s="6"/>
      <c r="M446" s="6"/>
    </row>
    <row r="447" spans="10:13" ht="13">
      <c r="J447" s="6"/>
      <c r="K447" s="6"/>
      <c r="L447" s="6"/>
      <c r="M447" s="6"/>
    </row>
    <row r="448" spans="10:13" ht="13">
      <c r="J448" s="6"/>
      <c r="K448" s="6"/>
      <c r="L448" s="6"/>
      <c r="M448" s="6"/>
    </row>
    <row r="449" spans="10:13" ht="13">
      <c r="J449" s="6"/>
      <c r="K449" s="6"/>
      <c r="L449" s="6"/>
      <c r="M449" s="6"/>
    </row>
    <row r="450" spans="10:13" ht="13">
      <c r="J450" s="6"/>
      <c r="K450" s="6"/>
      <c r="L450" s="6"/>
      <c r="M450" s="6"/>
    </row>
    <row r="451" spans="10:13" ht="13">
      <c r="J451" s="6"/>
      <c r="K451" s="6"/>
      <c r="L451" s="6"/>
      <c r="M451" s="6"/>
    </row>
    <row r="452" spans="10:13" ht="13">
      <c r="J452" s="6"/>
      <c r="K452" s="6"/>
      <c r="L452" s="6"/>
      <c r="M452" s="6"/>
    </row>
    <row r="453" spans="10:13" ht="13">
      <c r="J453" s="6"/>
      <c r="K453" s="6"/>
      <c r="L453" s="6"/>
      <c r="M453" s="6"/>
    </row>
    <row r="454" spans="10:13" ht="13">
      <c r="J454" s="6"/>
      <c r="K454" s="6"/>
      <c r="L454" s="6"/>
      <c r="M454" s="6"/>
    </row>
    <row r="455" spans="10:13" ht="13">
      <c r="J455" s="6"/>
      <c r="K455" s="6"/>
      <c r="L455" s="6"/>
      <c r="M455" s="6"/>
    </row>
    <row r="456" spans="10:13" ht="13">
      <c r="J456" s="6"/>
      <c r="K456" s="6"/>
      <c r="L456" s="6"/>
      <c r="M456" s="6"/>
    </row>
    <row r="457" spans="10:13" ht="13">
      <c r="J457" s="6"/>
      <c r="K457" s="6"/>
      <c r="L457" s="6"/>
      <c r="M457" s="6"/>
    </row>
    <row r="458" spans="10:13" ht="13">
      <c r="J458" s="6"/>
      <c r="K458" s="6"/>
      <c r="L458" s="6"/>
      <c r="M458" s="6"/>
    </row>
    <row r="459" spans="10:13" ht="13">
      <c r="J459" s="6"/>
      <c r="K459" s="6"/>
      <c r="L459" s="6"/>
      <c r="M459" s="6"/>
    </row>
    <row r="460" spans="10:13" ht="13">
      <c r="J460" s="6"/>
      <c r="K460" s="6"/>
      <c r="L460" s="6"/>
      <c r="M460" s="6"/>
    </row>
    <row r="461" spans="10:13" ht="13">
      <c r="J461" s="6"/>
      <c r="K461" s="6"/>
      <c r="L461" s="6"/>
      <c r="M461" s="6"/>
    </row>
    <row r="462" spans="10:13" ht="13">
      <c r="J462" s="6"/>
      <c r="K462" s="6"/>
      <c r="L462" s="6"/>
      <c r="M462" s="6"/>
    </row>
    <row r="463" spans="10:13" ht="13">
      <c r="J463" s="6"/>
      <c r="K463" s="6"/>
      <c r="L463" s="6"/>
      <c r="M463" s="6"/>
    </row>
    <row r="464" spans="10:13" ht="13">
      <c r="J464" s="6"/>
      <c r="K464" s="6"/>
      <c r="L464" s="6"/>
      <c r="M464" s="6"/>
    </row>
    <row r="465" spans="10:13" ht="13">
      <c r="J465" s="6"/>
      <c r="K465" s="6"/>
      <c r="L465" s="6"/>
      <c r="M465" s="6"/>
    </row>
    <row r="466" spans="10:13" ht="13">
      <c r="J466" s="6"/>
      <c r="K466" s="6"/>
      <c r="L466" s="6"/>
      <c r="M466" s="6"/>
    </row>
    <row r="467" spans="10:13" ht="13">
      <c r="J467" s="6"/>
      <c r="K467" s="6"/>
      <c r="L467" s="6"/>
      <c r="M467" s="6"/>
    </row>
    <row r="468" spans="10:13" ht="13">
      <c r="J468" s="6"/>
      <c r="K468" s="6"/>
      <c r="L468" s="6"/>
      <c r="M468" s="6"/>
    </row>
    <row r="469" spans="10:13" ht="13">
      <c r="J469" s="6"/>
      <c r="K469" s="6"/>
      <c r="L469" s="6"/>
      <c r="M469" s="6"/>
    </row>
    <row r="470" spans="10:13" ht="13">
      <c r="J470" s="6"/>
      <c r="K470" s="6"/>
      <c r="L470" s="6"/>
      <c r="M470" s="6"/>
    </row>
    <row r="471" spans="10:13" ht="13">
      <c r="J471" s="6"/>
      <c r="K471" s="6"/>
      <c r="L471" s="6"/>
      <c r="M471" s="6"/>
    </row>
    <row r="472" spans="10:13" ht="13">
      <c r="J472" s="6"/>
      <c r="K472" s="6"/>
      <c r="L472" s="6"/>
      <c r="M472" s="6"/>
    </row>
    <row r="473" spans="10:13" ht="13">
      <c r="J473" s="6"/>
      <c r="K473" s="6"/>
      <c r="L473" s="6"/>
      <c r="M473" s="6"/>
    </row>
    <row r="474" spans="10:13" ht="13">
      <c r="J474" s="6"/>
      <c r="K474" s="6"/>
      <c r="L474" s="6"/>
      <c r="M474" s="6"/>
    </row>
    <row r="475" spans="10:13" ht="13">
      <c r="J475" s="6"/>
      <c r="K475" s="6"/>
      <c r="L475" s="6"/>
      <c r="M475" s="6"/>
    </row>
    <row r="476" spans="10:13" ht="13">
      <c r="J476" s="6"/>
      <c r="K476" s="6"/>
      <c r="L476" s="6"/>
      <c r="M476" s="6"/>
    </row>
    <row r="477" spans="10:13" ht="13">
      <c r="J477" s="6"/>
      <c r="K477" s="6"/>
      <c r="L477" s="6"/>
      <c r="M477" s="6"/>
    </row>
    <row r="478" spans="10:13" ht="13">
      <c r="J478" s="6"/>
      <c r="K478" s="6"/>
      <c r="L478" s="6"/>
      <c r="M478" s="6"/>
    </row>
    <row r="479" spans="10:13" ht="13">
      <c r="J479" s="6"/>
      <c r="K479" s="6"/>
      <c r="L479" s="6"/>
      <c r="M479" s="6"/>
    </row>
    <row r="480" spans="10:13" ht="13">
      <c r="J480" s="6"/>
      <c r="K480" s="6"/>
      <c r="L480" s="6"/>
      <c r="M480" s="6"/>
    </row>
    <row r="481" spans="10:13" ht="13">
      <c r="J481" s="6"/>
      <c r="K481" s="6"/>
      <c r="L481" s="6"/>
      <c r="M481" s="6"/>
    </row>
    <row r="482" spans="10:13" ht="13">
      <c r="J482" s="6"/>
      <c r="K482" s="6"/>
      <c r="L482" s="6"/>
      <c r="M482" s="6"/>
    </row>
    <row r="483" spans="10:13" ht="13">
      <c r="J483" s="6"/>
      <c r="K483" s="6"/>
      <c r="L483" s="6"/>
      <c r="M483" s="6"/>
    </row>
    <row r="484" spans="10:13" ht="13">
      <c r="J484" s="6"/>
      <c r="K484" s="6"/>
      <c r="L484" s="6"/>
      <c r="M484" s="6"/>
    </row>
    <row r="485" spans="10:13" ht="13">
      <c r="J485" s="6"/>
      <c r="K485" s="6"/>
      <c r="L485" s="6"/>
      <c r="M485" s="6"/>
    </row>
    <row r="486" spans="10:13" ht="13">
      <c r="J486" s="6"/>
      <c r="K486" s="6"/>
      <c r="L486" s="6"/>
      <c r="M486" s="6"/>
    </row>
    <row r="487" spans="10:13" ht="13">
      <c r="J487" s="6"/>
      <c r="K487" s="6"/>
      <c r="L487" s="6"/>
      <c r="M487" s="6"/>
    </row>
    <row r="488" spans="10:13" ht="13">
      <c r="J488" s="6"/>
      <c r="K488" s="6"/>
      <c r="L488" s="6"/>
      <c r="M488" s="6"/>
    </row>
    <row r="489" spans="10:13" ht="13">
      <c r="J489" s="6"/>
      <c r="K489" s="6"/>
      <c r="L489" s="6"/>
      <c r="M489" s="6"/>
    </row>
    <row r="490" spans="10:13" ht="13">
      <c r="J490" s="6"/>
      <c r="K490" s="6"/>
      <c r="L490" s="6"/>
      <c r="M490" s="6"/>
    </row>
    <row r="491" spans="10:13" ht="13">
      <c r="J491" s="6"/>
      <c r="K491" s="6"/>
      <c r="L491" s="6"/>
      <c r="M491" s="6"/>
    </row>
    <row r="492" spans="10:13" ht="13">
      <c r="J492" s="6"/>
      <c r="K492" s="6"/>
      <c r="L492" s="6"/>
      <c r="M492" s="6"/>
    </row>
    <row r="493" spans="10:13" ht="13">
      <c r="J493" s="6"/>
      <c r="K493" s="6"/>
      <c r="L493" s="6"/>
      <c r="M493" s="6"/>
    </row>
    <row r="494" spans="10:13" ht="13">
      <c r="J494" s="6"/>
      <c r="K494" s="6"/>
      <c r="L494" s="6"/>
      <c r="M494" s="6"/>
    </row>
    <row r="495" spans="10:13" ht="13">
      <c r="J495" s="6"/>
      <c r="K495" s="6"/>
      <c r="L495" s="6"/>
      <c r="M495" s="6"/>
    </row>
    <row r="496" spans="10:13" ht="13">
      <c r="J496" s="6"/>
      <c r="K496" s="6"/>
      <c r="L496" s="6"/>
      <c r="M496" s="6"/>
    </row>
    <row r="497" spans="10:13" ht="13">
      <c r="J497" s="6"/>
      <c r="K497" s="6"/>
      <c r="L497" s="6"/>
      <c r="M497" s="6"/>
    </row>
    <row r="498" spans="10:13" ht="13">
      <c r="J498" s="6"/>
      <c r="K498" s="6"/>
      <c r="L498" s="6"/>
      <c r="M498" s="6"/>
    </row>
    <row r="499" spans="10:13" ht="13">
      <c r="J499" s="6"/>
      <c r="K499" s="6"/>
      <c r="L499" s="6"/>
      <c r="M499" s="6"/>
    </row>
    <row r="500" spans="10:13" ht="13">
      <c r="J500" s="6"/>
      <c r="K500" s="6"/>
      <c r="L500" s="6"/>
      <c r="M500" s="6"/>
    </row>
    <row r="501" spans="10:13" ht="13">
      <c r="J501" s="6"/>
      <c r="K501" s="6"/>
      <c r="L501" s="6"/>
      <c r="M501" s="6"/>
    </row>
    <row r="502" spans="10:13" ht="13">
      <c r="J502" s="6"/>
      <c r="K502" s="6"/>
      <c r="L502" s="6"/>
      <c r="M502" s="6"/>
    </row>
    <row r="503" spans="10:13" ht="13">
      <c r="J503" s="6"/>
      <c r="K503" s="6"/>
      <c r="L503" s="6"/>
      <c r="M503" s="6"/>
    </row>
    <row r="504" spans="10:13" ht="13">
      <c r="J504" s="6"/>
      <c r="K504" s="6"/>
      <c r="L504" s="6"/>
      <c r="M504" s="6"/>
    </row>
    <row r="505" spans="10:13" ht="13">
      <c r="J505" s="6"/>
      <c r="K505" s="6"/>
      <c r="L505" s="6"/>
      <c r="M505" s="6"/>
    </row>
    <row r="506" spans="10:13" ht="13">
      <c r="J506" s="6"/>
      <c r="K506" s="6"/>
      <c r="L506" s="6"/>
      <c r="M506" s="6"/>
    </row>
    <row r="507" spans="10:13" ht="13">
      <c r="J507" s="6"/>
      <c r="K507" s="6"/>
      <c r="L507" s="6"/>
      <c r="M507" s="6"/>
    </row>
    <row r="508" spans="10:13" ht="13">
      <c r="J508" s="6"/>
      <c r="K508" s="6"/>
      <c r="L508" s="6"/>
      <c r="M508" s="6"/>
    </row>
    <row r="509" spans="10:13" ht="13">
      <c r="J509" s="6"/>
      <c r="K509" s="6"/>
      <c r="L509" s="6"/>
      <c r="M509" s="6"/>
    </row>
    <row r="510" spans="10:13" ht="13">
      <c r="J510" s="6"/>
      <c r="K510" s="6"/>
      <c r="L510" s="6"/>
      <c r="M510" s="6"/>
    </row>
    <row r="511" spans="10:13" ht="13">
      <c r="J511" s="6"/>
      <c r="K511" s="6"/>
      <c r="L511" s="6"/>
      <c r="M511" s="6"/>
    </row>
    <row r="512" spans="10:13" ht="13">
      <c r="J512" s="6"/>
      <c r="K512" s="6"/>
      <c r="L512" s="6"/>
      <c r="M512" s="6"/>
    </row>
    <row r="513" spans="10:13" ht="13">
      <c r="J513" s="6"/>
      <c r="K513" s="6"/>
      <c r="L513" s="6"/>
      <c r="M513" s="6"/>
    </row>
    <row r="514" spans="10:13" ht="13">
      <c r="J514" s="6"/>
      <c r="K514" s="6"/>
      <c r="L514" s="6"/>
      <c r="M514" s="6"/>
    </row>
    <row r="515" spans="10:13" ht="13">
      <c r="J515" s="6"/>
      <c r="K515" s="6"/>
      <c r="L515" s="6"/>
      <c r="M515" s="6"/>
    </row>
    <row r="516" spans="10:13" ht="13">
      <c r="J516" s="6"/>
      <c r="K516" s="6"/>
      <c r="L516" s="6"/>
      <c r="M516" s="6"/>
    </row>
    <row r="517" spans="10:13" ht="13">
      <c r="J517" s="6"/>
      <c r="K517" s="6"/>
      <c r="L517" s="6"/>
      <c r="M517" s="6"/>
    </row>
    <row r="518" spans="10:13" ht="13">
      <c r="J518" s="6"/>
      <c r="K518" s="6"/>
      <c r="L518" s="6"/>
      <c r="M518" s="6"/>
    </row>
    <row r="519" spans="10:13" ht="13">
      <c r="J519" s="6"/>
      <c r="K519" s="6"/>
      <c r="L519" s="6"/>
      <c r="M519" s="6"/>
    </row>
    <row r="520" spans="10:13" ht="13">
      <c r="J520" s="6"/>
      <c r="K520" s="6"/>
      <c r="L520" s="6"/>
      <c r="M520" s="6"/>
    </row>
    <row r="521" spans="10:13" ht="13">
      <c r="J521" s="6"/>
      <c r="K521" s="6"/>
      <c r="L521" s="6"/>
      <c r="M521" s="6"/>
    </row>
    <row r="522" spans="10:13" ht="13">
      <c r="J522" s="6"/>
      <c r="K522" s="6"/>
      <c r="L522" s="6"/>
      <c r="M522" s="6"/>
    </row>
    <row r="523" spans="10:13" ht="13">
      <c r="J523" s="6"/>
      <c r="K523" s="6"/>
      <c r="L523" s="6"/>
      <c r="M523" s="6"/>
    </row>
    <row r="524" spans="10:13" ht="13">
      <c r="J524" s="6"/>
      <c r="K524" s="6"/>
      <c r="L524" s="6"/>
      <c r="M524" s="6"/>
    </row>
    <row r="525" spans="10:13" ht="13">
      <c r="J525" s="6"/>
      <c r="K525" s="6"/>
      <c r="L525" s="6"/>
      <c r="M525" s="6"/>
    </row>
    <row r="526" spans="10:13" ht="13">
      <c r="J526" s="6"/>
      <c r="K526" s="6"/>
      <c r="L526" s="6"/>
      <c r="M526" s="6"/>
    </row>
    <row r="527" spans="10:13" ht="13">
      <c r="J527" s="6"/>
      <c r="K527" s="6"/>
      <c r="L527" s="6"/>
      <c r="M527" s="6"/>
    </row>
    <row r="528" spans="10:13" ht="13">
      <c r="J528" s="6"/>
      <c r="K528" s="6"/>
      <c r="L528" s="6"/>
      <c r="M528" s="6"/>
    </row>
    <row r="529" spans="10:13" ht="13">
      <c r="J529" s="6"/>
      <c r="K529" s="6"/>
      <c r="L529" s="6"/>
      <c r="M529" s="6"/>
    </row>
    <row r="530" spans="10:13" ht="13">
      <c r="J530" s="6"/>
      <c r="K530" s="6"/>
      <c r="L530" s="6"/>
      <c r="M530" s="6"/>
    </row>
    <row r="531" spans="10:13" ht="13">
      <c r="J531" s="6"/>
      <c r="K531" s="6"/>
      <c r="L531" s="6"/>
      <c r="M531" s="6"/>
    </row>
    <row r="532" spans="10:13" ht="13">
      <c r="J532" s="6"/>
      <c r="K532" s="6"/>
      <c r="L532" s="6"/>
      <c r="M532" s="6"/>
    </row>
    <row r="533" spans="10:13" ht="13">
      <c r="J533" s="6"/>
      <c r="K533" s="6"/>
      <c r="L533" s="6"/>
      <c r="M533" s="6"/>
    </row>
    <row r="534" spans="10:13" ht="13">
      <c r="J534" s="6"/>
      <c r="K534" s="6"/>
      <c r="L534" s="6"/>
      <c r="M534" s="6"/>
    </row>
    <row r="535" spans="10:13" ht="13">
      <c r="J535" s="6"/>
      <c r="K535" s="6"/>
      <c r="L535" s="6"/>
      <c r="M535" s="6"/>
    </row>
    <row r="536" spans="10:13" ht="13">
      <c r="J536" s="6"/>
      <c r="K536" s="6"/>
      <c r="L536" s="6"/>
      <c r="M536" s="6"/>
    </row>
    <row r="537" spans="10:13" ht="13">
      <c r="J537" s="6"/>
      <c r="K537" s="6"/>
      <c r="L537" s="6"/>
      <c r="M537" s="6"/>
    </row>
    <row r="538" spans="10:13" ht="13">
      <c r="J538" s="6"/>
      <c r="K538" s="6"/>
      <c r="L538" s="6"/>
      <c r="M538" s="6"/>
    </row>
    <row r="539" spans="10:13" ht="13">
      <c r="J539" s="6"/>
      <c r="K539" s="6"/>
      <c r="L539" s="6"/>
      <c r="M539" s="6"/>
    </row>
    <row r="540" spans="10:13" ht="13">
      <c r="J540" s="6"/>
      <c r="K540" s="6"/>
      <c r="L540" s="6"/>
      <c r="M540" s="6"/>
    </row>
    <row r="541" spans="10:13" ht="13">
      <c r="J541" s="6"/>
      <c r="K541" s="6"/>
      <c r="L541" s="6"/>
      <c r="M541" s="6"/>
    </row>
    <row r="542" spans="10:13" ht="13">
      <c r="J542" s="6"/>
      <c r="K542" s="6"/>
      <c r="L542" s="6"/>
      <c r="M542" s="6"/>
    </row>
    <row r="543" spans="10:13" ht="13">
      <c r="J543" s="6"/>
      <c r="K543" s="6"/>
      <c r="L543" s="6"/>
      <c r="M543" s="6"/>
    </row>
    <row r="544" spans="10:13" ht="13">
      <c r="J544" s="6"/>
      <c r="K544" s="6"/>
      <c r="L544" s="6"/>
      <c r="M544" s="6"/>
    </row>
    <row r="545" spans="10:13" ht="13">
      <c r="J545" s="6"/>
      <c r="K545" s="6"/>
      <c r="L545" s="6"/>
      <c r="M545" s="6"/>
    </row>
    <row r="546" spans="10:13" ht="13">
      <c r="J546" s="6"/>
      <c r="K546" s="6"/>
      <c r="L546" s="6"/>
      <c r="M546" s="6"/>
    </row>
    <row r="547" spans="10:13" ht="13">
      <c r="J547" s="6"/>
      <c r="K547" s="6"/>
      <c r="L547" s="6"/>
      <c r="M547" s="6"/>
    </row>
    <row r="548" spans="10:13" ht="13">
      <c r="J548" s="6"/>
      <c r="K548" s="6"/>
      <c r="L548" s="6"/>
      <c r="M548" s="6"/>
    </row>
    <row r="549" spans="10:13" ht="13">
      <c r="J549" s="6"/>
      <c r="K549" s="6"/>
      <c r="L549" s="6"/>
      <c r="M549" s="6"/>
    </row>
    <row r="550" spans="10:13" ht="13">
      <c r="J550" s="6"/>
      <c r="K550" s="6"/>
      <c r="L550" s="6"/>
      <c r="M550" s="6"/>
    </row>
    <row r="551" spans="10:13" ht="13">
      <c r="J551" s="6"/>
      <c r="K551" s="6"/>
      <c r="L551" s="6"/>
      <c r="M551" s="6"/>
    </row>
    <row r="552" spans="10:13" ht="13">
      <c r="J552" s="6"/>
      <c r="K552" s="6"/>
      <c r="L552" s="6"/>
      <c r="M552" s="6"/>
    </row>
    <row r="553" spans="10:13" ht="13">
      <c r="J553" s="6"/>
      <c r="K553" s="6"/>
      <c r="L553" s="6"/>
      <c r="M553" s="6"/>
    </row>
    <row r="554" spans="10:13" ht="13">
      <c r="J554" s="6"/>
      <c r="K554" s="6"/>
      <c r="L554" s="6"/>
      <c r="M554" s="6"/>
    </row>
    <row r="555" spans="10:13" ht="13">
      <c r="J555" s="6"/>
      <c r="K555" s="6"/>
      <c r="L555" s="6"/>
      <c r="M555" s="6"/>
    </row>
    <row r="556" spans="10:13" ht="13">
      <c r="J556" s="6"/>
      <c r="K556" s="6"/>
      <c r="L556" s="6"/>
      <c r="M556" s="6"/>
    </row>
    <row r="557" spans="10:13" ht="13">
      <c r="J557" s="6"/>
      <c r="K557" s="6"/>
      <c r="L557" s="6"/>
      <c r="M557" s="6"/>
    </row>
    <row r="558" spans="10:13" ht="13">
      <c r="J558" s="6"/>
      <c r="K558" s="6"/>
      <c r="L558" s="6"/>
      <c r="M558" s="6"/>
    </row>
    <row r="559" spans="10:13" ht="13">
      <c r="J559" s="6"/>
      <c r="K559" s="6"/>
      <c r="L559" s="6"/>
      <c r="M559" s="6"/>
    </row>
    <row r="560" spans="10:13" ht="13">
      <c r="J560" s="6"/>
      <c r="K560" s="6"/>
      <c r="L560" s="6"/>
      <c r="M560" s="6"/>
    </row>
    <row r="561" spans="10:13" ht="13">
      <c r="J561" s="6"/>
      <c r="K561" s="6"/>
      <c r="L561" s="6"/>
      <c r="M561" s="6"/>
    </row>
    <row r="562" spans="10:13" ht="13">
      <c r="J562" s="6"/>
      <c r="K562" s="6"/>
      <c r="L562" s="6"/>
      <c r="M562" s="6"/>
    </row>
    <row r="563" spans="10:13" ht="13">
      <c r="J563" s="6"/>
      <c r="K563" s="6"/>
      <c r="L563" s="6"/>
      <c r="M563" s="6"/>
    </row>
    <row r="564" spans="10:13" ht="13">
      <c r="J564" s="6"/>
      <c r="K564" s="6"/>
      <c r="L564" s="6"/>
      <c r="M564" s="6"/>
    </row>
    <row r="565" spans="10:13" ht="13">
      <c r="J565" s="6"/>
      <c r="K565" s="6"/>
      <c r="L565" s="6"/>
      <c r="M565" s="6"/>
    </row>
    <row r="566" spans="10:13" ht="13">
      <c r="J566" s="6"/>
      <c r="K566" s="6"/>
      <c r="L566" s="6"/>
      <c r="M566" s="6"/>
    </row>
    <row r="567" spans="10:13" ht="13">
      <c r="J567" s="6"/>
      <c r="K567" s="6"/>
      <c r="L567" s="6"/>
      <c r="M567" s="6"/>
    </row>
    <row r="568" spans="10:13" ht="13">
      <c r="J568" s="6"/>
      <c r="K568" s="6"/>
      <c r="L568" s="6"/>
      <c r="M568" s="6"/>
    </row>
    <row r="569" spans="10:13" ht="13">
      <c r="J569" s="6"/>
      <c r="K569" s="6"/>
      <c r="L569" s="6"/>
      <c r="M569" s="6"/>
    </row>
    <row r="570" spans="10:13" ht="13">
      <c r="J570" s="6"/>
      <c r="K570" s="6"/>
      <c r="L570" s="6"/>
      <c r="M570" s="6"/>
    </row>
    <row r="571" spans="10:13" ht="13">
      <c r="J571" s="6"/>
      <c r="K571" s="6"/>
      <c r="L571" s="6"/>
      <c r="M571" s="6"/>
    </row>
    <row r="572" spans="10:13" ht="13">
      <c r="J572" s="6"/>
      <c r="K572" s="6"/>
      <c r="L572" s="6"/>
      <c r="M572" s="6"/>
    </row>
    <row r="573" spans="10:13" ht="13">
      <c r="J573" s="6"/>
      <c r="K573" s="6"/>
      <c r="L573" s="6"/>
      <c r="M573" s="6"/>
    </row>
    <row r="574" spans="10:13" ht="13">
      <c r="J574" s="6"/>
      <c r="K574" s="6"/>
      <c r="L574" s="6"/>
      <c r="M574" s="6"/>
    </row>
    <row r="575" spans="10:13" ht="13">
      <c r="J575" s="6"/>
      <c r="K575" s="6"/>
      <c r="L575" s="6"/>
      <c r="M575" s="6"/>
    </row>
    <row r="576" spans="10:13" ht="13">
      <c r="J576" s="6"/>
      <c r="K576" s="6"/>
      <c r="L576" s="6"/>
      <c r="M576" s="6"/>
    </row>
    <row r="577" spans="10:13" ht="13">
      <c r="J577" s="6"/>
      <c r="K577" s="6"/>
      <c r="L577" s="6"/>
      <c r="M577" s="6"/>
    </row>
    <row r="578" spans="10:13" ht="13">
      <c r="J578" s="6"/>
      <c r="K578" s="6"/>
      <c r="L578" s="6"/>
      <c r="M578" s="6"/>
    </row>
    <row r="579" spans="10:13" ht="13">
      <c r="J579" s="6"/>
      <c r="K579" s="6"/>
      <c r="L579" s="6"/>
      <c r="M579" s="6"/>
    </row>
    <row r="580" spans="10:13" ht="13">
      <c r="J580" s="6"/>
      <c r="K580" s="6"/>
      <c r="L580" s="6"/>
      <c r="M580" s="6"/>
    </row>
    <row r="581" spans="10:13" ht="13">
      <c r="J581" s="6"/>
      <c r="K581" s="6"/>
      <c r="L581" s="6"/>
      <c r="M581" s="6"/>
    </row>
    <row r="582" spans="10:13" ht="13">
      <c r="J582" s="6"/>
      <c r="K582" s="6"/>
      <c r="L582" s="6"/>
      <c r="M582" s="6"/>
    </row>
    <row r="583" spans="10:13" ht="13">
      <c r="J583" s="6"/>
      <c r="K583" s="6"/>
      <c r="L583" s="6"/>
      <c r="M583" s="6"/>
    </row>
    <row r="584" spans="10:13" ht="13">
      <c r="J584" s="6"/>
      <c r="K584" s="6"/>
      <c r="L584" s="6"/>
      <c r="M584" s="6"/>
    </row>
    <row r="585" spans="10:13" ht="13">
      <c r="J585" s="6"/>
      <c r="K585" s="6"/>
      <c r="L585" s="6"/>
      <c r="M585" s="6"/>
    </row>
    <row r="586" spans="10:13" ht="13">
      <c r="J586" s="6"/>
      <c r="K586" s="6"/>
      <c r="L586" s="6"/>
      <c r="M586" s="6"/>
    </row>
    <row r="587" spans="10:13" ht="13">
      <c r="J587" s="6"/>
      <c r="K587" s="6"/>
      <c r="L587" s="6"/>
      <c r="M587" s="6"/>
    </row>
    <row r="588" spans="10:13" ht="13">
      <c r="J588" s="6"/>
      <c r="K588" s="6"/>
      <c r="L588" s="6"/>
      <c r="M588" s="6"/>
    </row>
    <row r="589" spans="10:13" ht="13">
      <c r="J589" s="6"/>
      <c r="K589" s="6"/>
      <c r="L589" s="6"/>
      <c r="M589" s="6"/>
    </row>
    <row r="590" spans="10:13" ht="13">
      <c r="J590" s="6"/>
      <c r="K590" s="6"/>
      <c r="L590" s="6"/>
      <c r="M590" s="6"/>
    </row>
    <row r="591" spans="10:13" ht="13">
      <c r="J591" s="6"/>
      <c r="K591" s="6"/>
      <c r="L591" s="6"/>
      <c r="M591" s="6"/>
    </row>
    <row r="592" spans="10:13" ht="13">
      <c r="J592" s="6"/>
      <c r="K592" s="6"/>
      <c r="L592" s="6"/>
      <c r="M592" s="6"/>
    </row>
    <row r="593" spans="10:13" ht="13">
      <c r="J593" s="6"/>
      <c r="K593" s="6"/>
      <c r="L593" s="6"/>
      <c r="M593" s="6"/>
    </row>
    <row r="594" spans="10:13" ht="13">
      <c r="J594" s="6"/>
      <c r="K594" s="6"/>
      <c r="L594" s="6"/>
      <c r="M594" s="6"/>
    </row>
    <row r="595" spans="10:13" ht="13">
      <c r="J595" s="6"/>
      <c r="K595" s="6"/>
      <c r="L595" s="6"/>
      <c r="M595" s="6"/>
    </row>
    <row r="596" spans="10:13" ht="13">
      <c r="J596" s="6"/>
      <c r="K596" s="6"/>
      <c r="L596" s="6"/>
      <c r="M596" s="6"/>
    </row>
    <row r="597" spans="10:13" ht="13">
      <c r="J597" s="6"/>
      <c r="K597" s="6"/>
      <c r="L597" s="6"/>
      <c r="M597" s="6"/>
    </row>
    <row r="598" spans="10:13" ht="13">
      <c r="J598" s="6"/>
      <c r="K598" s="6"/>
      <c r="L598" s="6"/>
      <c r="M598" s="6"/>
    </row>
    <row r="599" spans="10:13" ht="13">
      <c r="J599" s="6"/>
      <c r="K599" s="6"/>
      <c r="L599" s="6"/>
      <c r="M599" s="6"/>
    </row>
    <row r="600" spans="10:13" ht="13">
      <c r="J600" s="6"/>
      <c r="K600" s="6"/>
      <c r="L600" s="6"/>
      <c r="M600" s="6"/>
    </row>
    <row r="601" spans="10:13" ht="13">
      <c r="J601" s="6"/>
      <c r="K601" s="6"/>
      <c r="L601" s="6"/>
      <c r="M601" s="6"/>
    </row>
    <row r="602" spans="10:13" ht="13">
      <c r="J602" s="6"/>
      <c r="K602" s="6"/>
      <c r="L602" s="6"/>
      <c r="M602" s="6"/>
    </row>
    <row r="603" spans="10:13" ht="13">
      <c r="J603" s="6"/>
      <c r="K603" s="6"/>
      <c r="L603" s="6"/>
      <c r="M603" s="6"/>
    </row>
    <row r="604" spans="10:13" ht="13">
      <c r="J604" s="6"/>
      <c r="K604" s="6"/>
      <c r="L604" s="6"/>
      <c r="M604" s="6"/>
    </row>
    <row r="605" spans="10:13" ht="13">
      <c r="J605" s="6"/>
      <c r="K605" s="6"/>
      <c r="L605" s="6"/>
      <c r="M605" s="6"/>
    </row>
    <row r="606" spans="10:13" ht="13">
      <c r="J606" s="6"/>
      <c r="K606" s="6"/>
      <c r="L606" s="6"/>
      <c r="M606" s="6"/>
    </row>
    <row r="607" spans="10:13" ht="13">
      <c r="J607" s="6"/>
      <c r="K607" s="6"/>
      <c r="L607" s="6"/>
      <c r="M607" s="6"/>
    </row>
    <row r="608" spans="10:13" ht="13">
      <c r="J608" s="6"/>
      <c r="K608" s="6"/>
      <c r="L608" s="6"/>
      <c r="M608" s="6"/>
    </row>
    <row r="609" spans="10:13" ht="13">
      <c r="J609" s="6"/>
      <c r="K609" s="6"/>
      <c r="L609" s="6"/>
      <c r="M609" s="6"/>
    </row>
    <row r="610" spans="10:13" ht="13">
      <c r="J610" s="6"/>
      <c r="K610" s="6"/>
      <c r="L610" s="6"/>
      <c r="M610" s="6"/>
    </row>
    <row r="611" spans="10:13" ht="13">
      <c r="J611" s="6"/>
      <c r="K611" s="6"/>
      <c r="L611" s="6"/>
      <c r="M611" s="6"/>
    </row>
    <row r="612" spans="10:13" ht="13">
      <c r="J612" s="6"/>
      <c r="K612" s="6"/>
      <c r="L612" s="6"/>
      <c r="M612" s="6"/>
    </row>
    <row r="613" spans="10:13" ht="13">
      <c r="J613" s="6"/>
      <c r="K613" s="6"/>
      <c r="L613" s="6"/>
      <c r="M613" s="6"/>
    </row>
    <row r="614" spans="10:13" ht="13">
      <c r="J614" s="6"/>
      <c r="K614" s="6"/>
      <c r="L614" s="6"/>
      <c r="M614" s="6"/>
    </row>
    <row r="615" spans="10:13" ht="13">
      <c r="J615" s="6"/>
      <c r="K615" s="6"/>
      <c r="L615" s="6"/>
      <c r="M615" s="6"/>
    </row>
    <row r="616" spans="10:13" ht="13">
      <c r="J616" s="6"/>
      <c r="K616" s="6"/>
      <c r="L616" s="6"/>
      <c r="M616" s="6"/>
    </row>
    <row r="617" spans="10:13" ht="13">
      <c r="J617" s="6"/>
      <c r="K617" s="6"/>
      <c r="L617" s="6"/>
      <c r="M617" s="6"/>
    </row>
    <row r="618" spans="10:13" ht="13">
      <c r="J618" s="6"/>
      <c r="K618" s="6"/>
      <c r="L618" s="6"/>
      <c r="M618" s="6"/>
    </row>
    <row r="619" spans="10:13" ht="13">
      <c r="J619" s="6"/>
      <c r="K619" s="6"/>
      <c r="L619" s="6"/>
      <c r="M619" s="6"/>
    </row>
    <row r="620" spans="10:13" ht="13">
      <c r="J620" s="6"/>
      <c r="K620" s="6"/>
      <c r="L620" s="6"/>
      <c r="M620" s="6"/>
    </row>
    <row r="621" spans="10:13" ht="13">
      <c r="J621" s="6"/>
      <c r="K621" s="6"/>
      <c r="L621" s="6"/>
      <c r="M621" s="6"/>
    </row>
    <row r="622" spans="10:13" ht="13">
      <c r="J622" s="6"/>
      <c r="K622" s="6"/>
      <c r="L622" s="6"/>
      <c r="M622" s="6"/>
    </row>
    <row r="623" spans="10:13" ht="13">
      <c r="J623" s="6"/>
      <c r="K623" s="6"/>
      <c r="L623" s="6"/>
      <c r="M623" s="6"/>
    </row>
    <row r="624" spans="10:13" ht="13">
      <c r="J624" s="6"/>
      <c r="K624" s="6"/>
      <c r="L624" s="6"/>
      <c r="M624" s="6"/>
    </row>
    <row r="625" spans="10:13" ht="13">
      <c r="J625" s="6"/>
      <c r="K625" s="6"/>
      <c r="L625" s="6"/>
      <c r="M625" s="6"/>
    </row>
    <row r="626" spans="10:13" ht="13">
      <c r="J626" s="6"/>
      <c r="K626" s="6"/>
      <c r="L626" s="6"/>
      <c r="M626" s="6"/>
    </row>
    <row r="627" spans="10:13" ht="13">
      <c r="J627" s="6"/>
      <c r="K627" s="6"/>
      <c r="L627" s="6"/>
      <c r="M627" s="6"/>
    </row>
    <row r="628" spans="10:13" ht="13">
      <c r="J628" s="6"/>
      <c r="K628" s="6"/>
      <c r="L628" s="6"/>
      <c r="M628" s="6"/>
    </row>
    <row r="629" spans="10:13" ht="13">
      <c r="J629" s="6"/>
      <c r="K629" s="6"/>
      <c r="L629" s="6"/>
      <c r="M629" s="6"/>
    </row>
    <row r="630" spans="10:13" ht="13">
      <c r="J630" s="6"/>
      <c r="K630" s="6"/>
      <c r="L630" s="6"/>
      <c r="M630" s="6"/>
    </row>
    <row r="631" spans="10:13" ht="13">
      <c r="J631" s="6"/>
      <c r="K631" s="6"/>
      <c r="L631" s="6"/>
      <c r="M631" s="6"/>
    </row>
    <row r="632" spans="10:13" ht="13">
      <c r="J632" s="6"/>
      <c r="K632" s="6"/>
      <c r="L632" s="6"/>
      <c r="M632" s="6"/>
    </row>
    <row r="633" spans="10:13" ht="13">
      <c r="J633" s="6"/>
      <c r="K633" s="6"/>
      <c r="L633" s="6"/>
      <c r="M633" s="6"/>
    </row>
    <row r="634" spans="10:13" ht="13">
      <c r="J634" s="6"/>
      <c r="K634" s="6"/>
      <c r="L634" s="6"/>
      <c r="M634" s="6"/>
    </row>
    <row r="635" spans="10:13" ht="13">
      <c r="J635" s="6"/>
      <c r="K635" s="6"/>
      <c r="L635" s="6"/>
      <c r="M635" s="6"/>
    </row>
    <row r="636" spans="10:13" ht="13">
      <c r="J636" s="6"/>
      <c r="K636" s="6"/>
      <c r="L636" s="6"/>
      <c r="M636" s="6"/>
    </row>
    <row r="637" spans="10:13" ht="13">
      <c r="J637" s="6"/>
      <c r="K637" s="6"/>
      <c r="L637" s="6"/>
      <c r="M637" s="6"/>
    </row>
    <row r="638" spans="10:13" ht="13">
      <c r="J638" s="6"/>
      <c r="K638" s="6"/>
      <c r="L638" s="6"/>
      <c r="M638" s="6"/>
    </row>
    <row r="639" spans="10:13" ht="13">
      <c r="J639" s="6"/>
      <c r="K639" s="6"/>
      <c r="L639" s="6"/>
      <c r="M639" s="6"/>
    </row>
    <row r="640" spans="10:13" ht="13">
      <c r="J640" s="6"/>
      <c r="K640" s="6"/>
      <c r="L640" s="6"/>
      <c r="M640" s="6"/>
    </row>
    <row r="641" spans="10:13" ht="13">
      <c r="J641" s="6"/>
      <c r="K641" s="6"/>
      <c r="L641" s="6"/>
      <c r="M641" s="6"/>
    </row>
    <row r="642" spans="10:13" ht="13">
      <c r="J642" s="6"/>
      <c r="K642" s="6"/>
      <c r="L642" s="6"/>
      <c r="M642" s="6"/>
    </row>
    <row r="643" spans="10:13" ht="13">
      <c r="J643" s="6"/>
      <c r="K643" s="6"/>
      <c r="L643" s="6"/>
      <c r="M643" s="6"/>
    </row>
    <row r="644" spans="10:13" ht="13">
      <c r="J644" s="6"/>
      <c r="K644" s="6"/>
      <c r="L644" s="6"/>
      <c r="M644" s="6"/>
    </row>
    <row r="645" spans="10:13" ht="13">
      <c r="J645" s="6"/>
      <c r="K645" s="6"/>
      <c r="L645" s="6"/>
      <c r="M645" s="6"/>
    </row>
    <row r="646" spans="10:13" ht="13">
      <c r="J646" s="6"/>
      <c r="K646" s="6"/>
      <c r="L646" s="6"/>
      <c r="M646" s="6"/>
    </row>
    <row r="647" spans="10:13" ht="13">
      <c r="J647" s="6"/>
      <c r="K647" s="6"/>
      <c r="L647" s="6"/>
      <c r="M647" s="6"/>
    </row>
    <row r="648" spans="10:13" ht="13">
      <c r="J648" s="6"/>
      <c r="K648" s="6"/>
      <c r="L648" s="6"/>
      <c r="M648" s="6"/>
    </row>
    <row r="649" spans="10:13" ht="13">
      <c r="J649" s="6"/>
      <c r="K649" s="6"/>
      <c r="L649" s="6"/>
      <c r="M649" s="6"/>
    </row>
    <row r="650" spans="10:13" ht="13">
      <c r="J650" s="6"/>
      <c r="K650" s="6"/>
      <c r="L650" s="6"/>
      <c r="M650" s="6"/>
    </row>
    <row r="651" spans="10:13" ht="13">
      <c r="J651" s="6"/>
      <c r="K651" s="6"/>
      <c r="L651" s="6"/>
      <c r="M651" s="6"/>
    </row>
    <row r="652" spans="10:13" ht="13">
      <c r="J652" s="6"/>
      <c r="K652" s="6"/>
      <c r="L652" s="6"/>
      <c r="M652" s="6"/>
    </row>
    <row r="653" spans="10:13" ht="13">
      <c r="J653" s="6"/>
      <c r="K653" s="6"/>
      <c r="L653" s="6"/>
      <c r="M653" s="6"/>
    </row>
    <row r="654" spans="10:13" ht="13">
      <c r="J654" s="6"/>
      <c r="K654" s="6"/>
      <c r="L654" s="6"/>
      <c r="M654" s="6"/>
    </row>
    <row r="655" spans="10:13" ht="13">
      <c r="J655" s="6"/>
      <c r="K655" s="6"/>
      <c r="L655" s="6"/>
      <c r="M655" s="6"/>
    </row>
    <row r="656" spans="10:13" ht="13">
      <c r="J656" s="6"/>
      <c r="K656" s="6"/>
      <c r="L656" s="6"/>
      <c r="M656" s="6"/>
    </row>
    <row r="657" spans="10:13" ht="13">
      <c r="J657" s="6"/>
      <c r="K657" s="6"/>
      <c r="L657" s="6"/>
      <c r="M657" s="6"/>
    </row>
    <row r="658" spans="10:13" ht="13">
      <c r="J658" s="6"/>
      <c r="K658" s="6"/>
      <c r="L658" s="6"/>
      <c r="M658" s="6"/>
    </row>
    <row r="659" spans="10:13" ht="13">
      <c r="J659" s="6"/>
      <c r="K659" s="6"/>
      <c r="L659" s="6"/>
      <c r="M659" s="6"/>
    </row>
    <row r="660" spans="10:13" ht="13">
      <c r="J660" s="6"/>
      <c r="K660" s="6"/>
      <c r="L660" s="6"/>
      <c r="M660" s="6"/>
    </row>
    <row r="661" spans="10:13" ht="13">
      <c r="J661" s="6"/>
      <c r="K661" s="6"/>
      <c r="L661" s="6"/>
      <c r="M661" s="6"/>
    </row>
    <row r="662" spans="10:13" ht="13">
      <c r="J662" s="6"/>
      <c r="K662" s="6"/>
      <c r="L662" s="6"/>
      <c r="M662" s="6"/>
    </row>
    <row r="663" spans="10:13" ht="13">
      <c r="J663" s="6"/>
      <c r="K663" s="6"/>
      <c r="L663" s="6"/>
      <c r="M663" s="6"/>
    </row>
    <row r="664" spans="10:13" ht="13">
      <c r="J664" s="6"/>
      <c r="K664" s="6"/>
      <c r="L664" s="6"/>
      <c r="M664" s="6"/>
    </row>
    <row r="665" spans="10:13" ht="13">
      <c r="J665" s="6"/>
      <c r="K665" s="6"/>
      <c r="L665" s="6"/>
      <c r="M665" s="6"/>
    </row>
    <row r="666" spans="10:13" ht="13">
      <c r="J666" s="6"/>
      <c r="K666" s="6"/>
      <c r="L666" s="6"/>
      <c r="M666" s="6"/>
    </row>
    <row r="667" spans="10:13" ht="13">
      <c r="J667" s="6"/>
      <c r="K667" s="6"/>
      <c r="L667" s="6"/>
      <c r="M667" s="6"/>
    </row>
    <row r="668" spans="10:13" ht="13">
      <c r="J668" s="6"/>
      <c r="K668" s="6"/>
      <c r="L668" s="6"/>
      <c r="M668" s="6"/>
    </row>
    <row r="669" spans="10:13" ht="13">
      <c r="J669" s="6"/>
      <c r="K669" s="6"/>
      <c r="L669" s="6"/>
      <c r="M669" s="6"/>
    </row>
    <row r="670" spans="10:13" ht="13">
      <c r="J670" s="6"/>
      <c r="K670" s="6"/>
      <c r="L670" s="6"/>
      <c r="M670" s="6"/>
    </row>
    <row r="671" spans="10:13" ht="13">
      <c r="J671" s="6"/>
      <c r="K671" s="6"/>
      <c r="L671" s="6"/>
      <c r="M671" s="6"/>
    </row>
    <row r="672" spans="10:13" ht="13">
      <c r="J672" s="6"/>
      <c r="K672" s="6"/>
      <c r="L672" s="6"/>
      <c r="M672" s="6"/>
    </row>
    <row r="673" spans="10:13" ht="13">
      <c r="J673" s="6"/>
      <c r="K673" s="6"/>
      <c r="L673" s="6"/>
      <c r="M673" s="6"/>
    </row>
    <row r="674" spans="10:13" ht="13">
      <c r="J674" s="6"/>
      <c r="K674" s="6"/>
      <c r="L674" s="6"/>
      <c r="M674" s="6"/>
    </row>
    <row r="675" spans="10:13" ht="13">
      <c r="J675" s="6"/>
      <c r="K675" s="6"/>
      <c r="L675" s="6"/>
      <c r="M675" s="6"/>
    </row>
    <row r="676" spans="10:13" ht="13">
      <c r="J676" s="6"/>
      <c r="K676" s="6"/>
      <c r="L676" s="6"/>
      <c r="M676" s="6"/>
    </row>
    <row r="677" spans="10:13" ht="13">
      <c r="J677" s="6"/>
      <c r="K677" s="6"/>
      <c r="L677" s="6"/>
      <c r="M677" s="6"/>
    </row>
    <row r="678" spans="10:13" ht="13">
      <c r="J678" s="6"/>
      <c r="K678" s="6"/>
      <c r="L678" s="6"/>
      <c r="M678" s="6"/>
    </row>
    <row r="679" spans="10:13" ht="13">
      <c r="J679" s="6"/>
      <c r="K679" s="6"/>
      <c r="L679" s="6"/>
      <c r="M679" s="6"/>
    </row>
    <row r="680" spans="10:13" ht="13">
      <c r="J680" s="6"/>
      <c r="K680" s="6"/>
      <c r="L680" s="6"/>
      <c r="M680" s="6"/>
    </row>
    <row r="681" spans="10:13" ht="13">
      <c r="J681" s="6"/>
      <c r="K681" s="6"/>
      <c r="L681" s="6"/>
      <c r="M681" s="6"/>
    </row>
    <row r="682" spans="10:13" ht="13">
      <c r="J682" s="6"/>
      <c r="K682" s="6"/>
      <c r="L682" s="6"/>
      <c r="M682" s="6"/>
    </row>
    <row r="683" spans="10:13" ht="13">
      <c r="J683" s="6"/>
      <c r="K683" s="6"/>
      <c r="L683" s="6"/>
      <c r="M683" s="6"/>
    </row>
    <row r="684" spans="10:13" ht="13">
      <c r="J684" s="6"/>
      <c r="K684" s="6"/>
      <c r="L684" s="6"/>
      <c r="M684" s="6"/>
    </row>
    <row r="685" spans="10:13" ht="13">
      <c r="J685" s="6"/>
      <c r="K685" s="6"/>
      <c r="L685" s="6"/>
      <c r="M685" s="6"/>
    </row>
    <row r="686" spans="10:13" ht="13">
      <c r="J686" s="6"/>
      <c r="K686" s="6"/>
      <c r="L686" s="6"/>
      <c r="M686" s="6"/>
    </row>
    <row r="687" spans="10:13" ht="13">
      <c r="J687" s="6"/>
      <c r="K687" s="6"/>
      <c r="L687" s="6"/>
      <c r="M687" s="6"/>
    </row>
    <row r="688" spans="10:13" ht="13">
      <c r="J688" s="6"/>
      <c r="K688" s="6"/>
      <c r="L688" s="6"/>
      <c r="M688" s="6"/>
    </row>
    <row r="689" spans="10:13" ht="13">
      <c r="J689" s="6"/>
      <c r="K689" s="6"/>
      <c r="L689" s="6"/>
      <c r="M689" s="6"/>
    </row>
    <row r="690" spans="10:13" ht="13">
      <c r="J690" s="6"/>
      <c r="K690" s="6"/>
      <c r="L690" s="6"/>
      <c r="M690" s="6"/>
    </row>
    <row r="691" spans="10:13" ht="13">
      <c r="J691" s="6"/>
      <c r="K691" s="6"/>
      <c r="L691" s="6"/>
      <c r="M691" s="6"/>
    </row>
    <row r="692" spans="10:13" ht="13">
      <c r="J692" s="6"/>
      <c r="K692" s="6"/>
      <c r="L692" s="6"/>
      <c r="M692" s="6"/>
    </row>
    <row r="693" spans="10:13" ht="13">
      <c r="J693" s="6"/>
      <c r="K693" s="6"/>
      <c r="L693" s="6"/>
      <c r="M693" s="6"/>
    </row>
    <row r="694" spans="10:13" ht="13">
      <c r="J694" s="6"/>
      <c r="K694" s="6"/>
      <c r="L694" s="6"/>
      <c r="M694" s="6"/>
    </row>
    <row r="695" spans="10:13" ht="13">
      <c r="J695" s="6"/>
      <c r="K695" s="6"/>
      <c r="L695" s="6"/>
      <c r="M695" s="6"/>
    </row>
    <row r="696" spans="10:13" ht="13">
      <c r="J696" s="6"/>
      <c r="K696" s="6"/>
      <c r="L696" s="6"/>
      <c r="M696" s="6"/>
    </row>
    <row r="697" spans="10:13" ht="13">
      <c r="J697" s="6"/>
      <c r="K697" s="6"/>
      <c r="L697" s="6"/>
      <c r="M697" s="6"/>
    </row>
    <row r="698" spans="10:13" ht="13">
      <c r="J698" s="6"/>
      <c r="K698" s="6"/>
      <c r="L698" s="6"/>
      <c r="M698" s="6"/>
    </row>
    <row r="699" spans="10:13" ht="13">
      <c r="J699" s="6"/>
      <c r="K699" s="6"/>
      <c r="L699" s="6"/>
      <c r="M699" s="6"/>
    </row>
    <row r="700" spans="10:13" ht="13">
      <c r="J700" s="6"/>
      <c r="K700" s="6"/>
      <c r="L700" s="6"/>
      <c r="M700" s="6"/>
    </row>
    <row r="701" spans="10:13" ht="13">
      <c r="J701" s="6"/>
      <c r="K701" s="6"/>
      <c r="L701" s="6"/>
      <c r="M701" s="6"/>
    </row>
    <row r="702" spans="10:13" ht="13">
      <c r="J702" s="6"/>
      <c r="K702" s="6"/>
      <c r="L702" s="6"/>
      <c r="M702" s="6"/>
    </row>
    <row r="703" spans="10:13" ht="13">
      <c r="J703" s="6"/>
      <c r="K703" s="6"/>
      <c r="L703" s="6"/>
      <c r="M703" s="6"/>
    </row>
    <row r="704" spans="10:13" ht="13">
      <c r="J704" s="6"/>
      <c r="K704" s="6"/>
      <c r="L704" s="6"/>
      <c r="M704" s="6"/>
    </row>
    <row r="705" spans="10:13" ht="13">
      <c r="J705" s="6"/>
      <c r="K705" s="6"/>
      <c r="L705" s="6"/>
      <c r="M705" s="6"/>
    </row>
    <row r="706" spans="10:13" ht="13">
      <c r="J706" s="6"/>
      <c r="K706" s="6"/>
      <c r="L706" s="6"/>
      <c r="M706" s="6"/>
    </row>
    <row r="707" spans="10:13" ht="13">
      <c r="J707" s="6"/>
      <c r="K707" s="6"/>
      <c r="L707" s="6"/>
      <c r="M707" s="6"/>
    </row>
    <row r="708" spans="10:13" ht="13">
      <c r="J708" s="6"/>
      <c r="K708" s="6"/>
      <c r="L708" s="6"/>
      <c r="M708" s="6"/>
    </row>
    <row r="709" spans="10:13" ht="13">
      <c r="J709" s="6"/>
      <c r="K709" s="6"/>
      <c r="L709" s="6"/>
      <c r="M709" s="6"/>
    </row>
    <row r="710" spans="10:13" ht="13">
      <c r="J710" s="6"/>
      <c r="K710" s="6"/>
      <c r="L710" s="6"/>
      <c r="M710" s="6"/>
    </row>
    <row r="711" spans="10:13" ht="13">
      <c r="J711" s="6"/>
      <c r="K711" s="6"/>
      <c r="L711" s="6"/>
      <c r="M711" s="6"/>
    </row>
    <row r="712" spans="10:13" ht="13">
      <c r="J712" s="6"/>
      <c r="K712" s="6"/>
      <c r="L712" s="6"/>
      <c r="M712" s="6"/>
    </row>
    <row r="713" spans="10:13" ht="13">
      <c r="J713" s="6"/>
      <c r="K713" s="6"/>
      <c r="L713" s="6"/>
      <c r="M713" s="6"/>
    </row>
    <row r="714" spans="10:13" ht="13">
      <c r="J714" s="6"/>
      <c r="K714" s="6"/>
      <c r="L714" s="6"/>
      <c r="M714" s="6"/>
    </row>
    <row r="715" spans="10:13" ht="13">
      <c r="J715" s="6"/>
      <c r="K715" s="6"/>
      <c r="L715" s="6"/>
      <c r="M715" s="6"/>
    </row>
    <row r="716" spans="10:13" ht="13">
      <c r="J716" s="6"/>
      <c r="K716" s="6"/>
      <c r="L716" s="6"/>
      <c r="M716" s="6"/>
    </row>
    <row r="717" spans="10:13" ht="13">
      <c r="J717" s="6"/>
      <c r="K717" s="6"/>
      <c r="L717" s="6"/>
      <c r="M717" s="6"/>
    </row>
    <row r="718" spans="10:13" ht="13">
      <c r="J718" s="6"/>
      <c r="K718" s="6"/>
      <c r="L718" s="6"/>
      <c r="M718" s="6"/>
    </row>
    <row r="719" spans="10:13" ht="13">
      <c r="J719" s="6"/>
      <c r="K719" s="6"/>
      <c r="L719" s="6"/>
      <c r="M719" s="6"/>
    </row>
    <row r="720" spans="10:13" ht="13">
      <c r="J720" s="6"/>
      <c r="K720" s="6"/>
      <c r="L720" s="6"/>
      <c r="M720" s="6"/>
    </row>
    <row r="721" spans="10:13" ht="13">
      <c r="J721" s="6"/>
      <c r="K721" s="6"/>
      <c r="L721" s="6"/>
      <c r="M721" s="6"/>
    </row>
    <row r="722" spans="10:13" ht="13">
      <c r="J722" s="6"/>
      <c r="K722" s="6"/>
      <c r="L722" s="6"/>
      <c r="M722" s="6"/>
    </row>
    <row r="723" spans="10:13" ht="13">
      <c r="J723" s="6"/>
      <c r="K723" s="6"/>
      <c r="L723" s="6"/>
      <c r="M723" s="6"/>
    </row>
    <row r="724" spans="10:13" ht="13">
      <c r="J724" s="6"/>
      <c r="K724" s="6"/>
      <c r="L724" s="6"/>
      <c r="M724" s="6"/>
    </row>
    <row r="725" spans="10:13" ht="13">
      <c r="J725" s="6"/>
      <c r="K725" s="6"/>
      <c r="L725" s="6"/>
      <c r="M725" s="6"/>
    </row>
    <row r="726" spans="10:13" ht="13">
      <c r="J726" s="6"/>
      <c r="K726" s="6"/>
      <c r="L726" s="6"/>
      <c r="M726" s="6"/>
    </row>
    <row r="727" spans="10:13" ht="13">
      <c r="J727" s="6"/>
      <c r="K727" s="6"/>
      <c r="L727" s="6"/>
      <c r="M727" s="6"/>
    </row>
    <row r="728" spans="10:13" ht="13">
      <c r="J728" s="6"/>
      <c r="K728" s="6"/>
      <c r="L728" s="6"/>
      <c r="M728" s="6"/>
    </row>
    <row r="729" spans="10:13" ht="13">
      <c r="J729" s="6"/>
      <c r="K729" s="6"/>
      <c r="L729" s="6"/>
      <c r="M729" s="6"/>
    </row>
    <row r="730" spans="10:13" ht="13">
      <c r="J730" s="6"/>
      <c r="K730" s="6"/>
      <c r="L730" s="6"/>
      <c r="M730" s="6"/>
    </row>
    <row r="731" spans="10:13" ht="13">
      <c r="J731" s="6"/>
      <c r="K731" s="6"/>
      <c r="L731" s="6"/>
      <c r="M731" s="6"/>
    </row>
    <row r="732" spans="10:13" ht="13">
      <c r="J732" s="6"/>
      <c r="K732" s="6"/>
      <c r="L732" s="6"/>
      <c r="M732" s="6"/>
    </row>
    <row r="733" spans="10:13" ht="13">
      <c r="J733" s="6"/>
      <c r="K733" s="6"/>
      <c r="L733" s="6"/>
      <c r="M733" s="6"/>
    </row>
    <row r="734" spans="10:13" ht="13">
      <c r="J734" s="6"/>
      <c r="K734" s="6"/>
      <c r="L734" s="6"/>
      <c r="M734" s="6"/>
    </row>
    <row r="735" spans="10:13" ht="13">
      <c r="J735" s="6"/>
      <c r="K735" s="6"/>
      <c r="L735" s="6"/>
      <c r="M735" s="6"/>
    </row>
    <row r="736" spans="10:13" ht="13">
      <c r="J736" s="6"/>
      <c r="K736" s="6"/>
      <c r="L736" s="6"/>
      <c r="M736" s="6"/>
    </row>
    <row r="737" spans="10:13" ht="13">
      <c r="J737" s="6"/>
      <c r="K737" s="6"/>
      <c r="L737" s="6"/>
      <c r="M737" s="6"/>
    </row>
    <row r="738" spans="10:13" ht="13">
      <c r="J738" s="6"/>
      <c r="K738" s="6"/>
      <c r="L738" s="6"/>
      <c r="M738" s="6"/>
    </row>
    <row r="739" spans="10:13" ht="13">
      <c r="J739" s="6"/>
      <c r="K739" s="6"/>
      <c r="L739" s="6"/>
      <c r="M739" s="6"/>
    </row>
    <row r="740" spans="10:13" ht="13">
      <c r="J740" s="6"/>
      <c r="K740" s="6"/>
      <c r="L740" s="6"/>
      <c r="M740" s="6"/>
    </row>
    <row r="741" spans="10:13" ht="13">
      <c r="J741" s="6"/>
      <c r="K741" s="6"/>
      <c r="L741" s="6"/>
      <c r="M741" s="6"/>
    </row>
    <row r="742" spans="10:13" ht="13">
      <c r="J742" s="6"/>
      <c r="K742" s="6"/>
      <c r="L742" s="6"/>
      <c r="M742" s="6"/>
    </row>
    <row r="743" spans="10:13" ht="13">
      <c r="J743" s="6"/>
      <c r="K743" s="6"/>
      <c r="L743" s="6"/>
      <c r="M743" s="6"/>
    </row>
    <row r="744" spans="10:13" ht="13">
      <c r="J744" s="6"/>
      <c r="K744" s="6"/>
      <c r="L744" s="6"/>
      <c r="M744" s="6"/>
    </row>
    <row r="745" spans="10:13" ht="13">
      <c r="J745" s="6"/>
      <c r="K745" s="6"/>
      <c r="L745" s="6"/>
      <c r="M745" s="6"/>
    </row>
    <row r="746" spans="10:13" ht="13">
      <c r="J746" s="6"/>
      <c r="K746" s="6"/>
      <c r="L746" s="6"/>
      <c r="M746" s="6"/>
    </row>
    <row r="747" spans="10:13" ht="13">
      <c r="J747" s="6"/>
      <c r="K747" s="6"/>
      <c r="L747" s="6"/>
      <c r="M747" s="6"/>
    </row>
    <row r="748" spans="10:13" ht="13">
      <c r="J748" s="6"/>
      <c r="K748" s="6"/>
      <c r="L748" s="6"/>
      <c r="M748" s="6"/>
    </row>
    <row r="749" spans="10:13" ht="13">
      <c r="J749" s="6"/>
      <c r="K749" s="6"/>
      <c r="L749" s="6"/>
      <c r="M749" s="6"/>
    </row>
    <row r="750" spans="10:13" ht="13">
      <c r="J750" s="6"/>
      <c r="K750" s="6"/>
      <c r="L750" s="6"/>
      <c r="M750" s="6"/>
    </row>
    <row r="751" spans="10:13" ht="13">
      <c r="J751" s="6"/>
      <c r="K751" s="6"/>
      <c r="L751" s="6"/>
      <c r="M751" s="6"/>
    </row>
    <row r="752" spans="10:13" ht="13">
      <c r="J752" s="6"/>
      <c r="K752" s="6"/>
      <c r="L752" s="6"/>
      <c r="M752" s="6"/>
    </row>
    <row r="753" spans="10:13" ht="13">
      <c r="J753" s="6"/>
      <c r="K753" s="6"/>
      <c r="L753" s="6"/>
      <c r="M753" s="6"/>
    </row>
    <row r="754" spans="10:13" ht="13">
      <c r="J754" s="6"/>
      <c r="K754" s="6"/>
      <c r="L754" s="6"/>
      <c r="M754" s="6"/>
    </row>
    <row r="755" spans="10:13" ht="13">
      <c r="J755" s="6"/>
      <c r="K755" s="6"/>
      <c r="L755" s="6"/>
      <c r="M755" s="6"/>
    </row>
    <row r="756" spans="10:13" ht="13">
      <c r="J756" s="6"/>
      <c r="K756" s="6"/>
      <c r="L756" s="6"/>
      <c r="M756" s="6"/>
    </row>
    <row r="757" spans="10:13" ht="13">
      <c r="J757" s="6"/>
      <c r="K757" s="6"/>
      <c r="L757" s="6"/>
      <c r="M757" s="6"/>
    </row>
    <row r="758" spans="10:13" ht="13">
      <c r="J758" s="6"/>
      <c r="K758" s="6"/>
      <c r="L758" s="6"/>
      <c r="M758" s="6"/>
    </row>
    <row r="759" spans="10:13" ht="13">
      <c r="J759" s="6"/>
      <c r="K759" s="6"/>
      <c r="L759" s="6"/>
      <c r="M759" s="6"/>
    </row>
    <row r="760" spans="10:13" ht="13">
      <c r="J760" s="6"/>
      <c r="K760" s="6"/>
      <c r="L760" s="6"/>
      <c r="M760" s="6"/>
    </row>
    <row r="761" spans="10:13" ht="13">
      <c r="J761" s="6"/>
      <c r="K761" s="6"/>
      <c r="L761" s="6"/>
      <c r="M761" s="6"/>
    </row>
    <row r="762" spans="10:13" ht="13">
      <c r="J762" s="6"/>
      <c r="K762" s="6"/>
      <c r="L762" s="6"/>
      <c r="M762" s="6"/>
    </row>
    <row r="763" spans="10:13" ht="13">
      <c r="J763" s="6"/>
      <c r="K763" s="6"/>
      <c r="L763" s="6"/>
      <c r="M763" s="6"/>
    </row>
    <row r="764" spans="10:13" ht="13">
      <c r="J764" s="6"/>
      <c r="K764" s="6"/>
      <c r="L764" s="6"/>
      <c r="M764" s="6"/>
    </row>
    <row r="765" spans="10:13" ht="13">
      <c r="J765" s="6"/>
      <c r="K765" s="6"/>
      <c r="L765" s="6"/>
      <c r="M765" s="6"/>
    </row>
    <row r="766" spans="10:13" ht="13">
      <c r="J766" s="6"/>
      <c r="K766" s="6"/>
      <c r="L766" s="6"/>
      <c r="M766" s="6"/>
    </row>
    <row r="767" spans="10:13" ht="13">
      <c r="J767" s="6"/>
      <c r="K767" s="6"/>
      <c r="L767" s="6"/>
      <c r="M767" s="6"/>
    </row>
    <row r="768" spans="10:13" ht="13">
      <c r="J768" s="6"/>
      <c r="K768" s="6"/>
      <c r="L768" s="6"/>
      <c r="M768" s="6"/>
    </row>
    <row r="769" spans="10:13" ht="13">
      <c r="J769" s="6"/>
      <c r="K769" s="6"/>
      <c r="L769" s="6"/>
      <c r="M769" s="6"/>
    </row>
    <row r="770" spans="10:13" ht="13">
      <c r="J770" s="6"/>
      <c r="K770" s="6"/>
      <c r="L770" s="6"/>
      <c r="M770" s="6"/>
    </row>
    <row r="771" spans="10:13" ht="13">
      <c r="J771" s="6"/>
      <c r="K771" s="6"/>
      <c r="L771" s="6"/>
      <c r="M771" s="6"/>
    </row>
    <row r="772" spans="10:13" ht="13">
      <c r="J772" s="6"/>
      <c r="K772" s="6"/>
      <c r="L772" s="6"/>
      <c r="M772" s="6"/>
    </row>
    <row r="773" spans="10:13" ht="13">
      <c r="J773" s="6"/>
      <c r="K773" s="6"/>
      <c r="L773" s="6"/>
      <c r="M773" s="6"/>
    </row>
    <row r="774" spans="10:13" ht="13">
      <c r="J774" s="6"/>
      <c r="K774" s="6"/>
      <c r="L774" s="6"/>
      <c r="M774" s="6"/>
    </row>
    <row r="775" spans="10:13" ht="13">
      <c r="J775" s="6"/>
      <c r="K775" s="6"/>
      <c r="L775" s="6"/>
      <c r="M775" s="6"/>
    </row>
    <row r="776" spans="10:13" ht="13">
      <c r="J776" s="6"/>
      <c r="K776" s="6"/>
      <c r="L776" s="6"/>
      <c r="M776" s="6"/>
    </row>
    <row r="777" spans="10:13" ht="13">
      <c r="J777" s="6"/>
      <c r="K777" s="6"/>
      <c r="L777" s="6"/>
      <c r="M777" s="6"/>
    </row>
    <row r="778" spans="10:13" ht="13">
      <c r="J778" s="6"/>
      <c r="K778" s="6"/>
      <c r="L778" s="6"/>
      <c r="M778" s="6"/>
    </row>
    <row r="779" spans="10:13" ht="13">
      <c r="J779" s="6"/>
      <c r="K779" s="6"/>
      <c r="L779" s="6"/>
      <c r="M779" s="6"/>
    </row>
    <row r="780" spans="10:13" ht="13">
      <c r="J780" s="6"/>
      <c r="K780" s="6"/>
      <c r="L780" s="6"/>
      <c r="M780" s="6"/>
    </row>
    <row r="781" spans="10:13" ht="13">
      <c r="J781" s="6"/>
      <c r="K781" s="6"/>
      <c r="L781" s="6"/>
      <c r="M781" s="6"/>
    </row>
    <row r="782" spans="10:13" ht="13">
      <c r="J782" s="6"/>
      <c r="K782" s="6"/>
      <c r="L782" s="6"/>
      <c r="M782" s="6"/>
    </row>
    <row r="783" spans="10:13" ht="13">
      <c r="J783" s="6"/>
      <c r="K783" s="6"/>
      <c r="L783" s="6"/>
      <c r="M783" s="6"/>
    </row>
    <row r="784" spans="10:13" ht="13">
      <c r="J784" s="6"/>
      <c r="K784" s="6"/>
      <c r="L784" s="6"/>
      <c r="M784" s="6"/>
    </row>
    <row r="785" spans="10:13" ht="13">
      <c r="J785" s="6"/>
      <c r="K785" s="6"/>
      <c r="L785" s="6"/>
      <c r="M785" s="6"/>
    </row>
    <row r="786" spans="10:13" ht="13">
      <c r="J786" s="6"/>
      <c r="K786" s="6"/>
      <c r="L786" s="6"/>
      <c r="M786" s="6"/>
    </row>
    <row r="787" spans="10:13" ht="13">
      <c r="J787" s="6"/>
      <c r="K787" s="6"/>
      <c r="L787" s="6"/>
      <c r="M787" s="6"/>
    </row>
    <row r="788" spans="10:13" ht="13">
      <c r="J788" s="6"/>
      <c r="K788" s="6"/>
      <c r="L788" s="6"/>
      <c r="M788" s="6"/>
    </row>
    <row r="789" spans="10:13" ht="13">
      <c r="J789" s="6"/>
      <c r="K789" s="6"/>
      <c r="L789" s="6"/>
      <c r="M789" s="6"/>
    </row>
    <row r="790" spans="10:13" ht="13">
      <c r="J790" s="6"/>
      <c r="K790" s="6"/>
      <c r="L790" s="6"/>
      <c r="M790" s="6"/>
    </row>
    <row r="791" spans="10:13" ht="13">
      <c r="J791" s="6"/>
      <c r="K791" s="6"/>
      <c r="L791" s="6"/>
      <c r="M791" s="6"/>
    </row>
    <row r="792" spans="10:13" ht="13">
      <c r="J792" s="6"/>
      <c r="K792" s="6"/>
      <c r="L792" s="6"/>
      <c r="M792" s="6"/>
    </row>
    <row r="793" spans="10:13" ht="13">
      <c r="J793" s="6"/>
      <c r="K793" s="6"/>
      <c r="L793" s="6"/>
      <c r="M793" s="6"/>
    </row>
    <row r="794" spans="10:13" ht="13">
      <c r="J794" s="6"/>
      <c r="K794" s="6"/>
      <c r="L794" s="6"/>
      <c r="M794" s="6"/>
    </row>
    <row r="795" spans="10:13" ht="13">
      <c r="J795" s="6"/>
      <c r="K795" s="6"/>
      <c r="L795" s="6"/>
      <c r="M795" s="6"/>
    </row>
    <row r="796" spans="10:13" ht="13">
      <c r="J796" s="6"/>
      <c r="K796" s="6"/>
      <c r="L796" s="6"/>
      <c r="M796" s="6"/>
    </row>
    <row r="797" spans="10:13" ht="13">
      <c r="J797" s="6"/>
      <c r="K797" s="6"/>
      <c r="L797" s="6"/>
      <c r="M797" s="6"/>
    </row>
    <row r="798" spans="10:13" ht="13">
      <c r="J798" s="6"/>
      <c r="K798" s="6"/>
      <c r="L798" s="6"/>
      <c r="M798" s="6"/>
    </row>
    <row r="799" spans="10:13" ht="13">
      <c r="J799" s="6"/>
      <c r="K799" s="6"/>
      <c r="L799" s="6"/>
      <c r="M799" s="6"/>
    </row>
    <row r="800" spans="10:13" ht="13">
      <c r="J800" s="6"/>
      <c r="K800" s="6"/>
      <c r="L800" s="6"/>
      <c r="M800" s="6"/>
    </row>
    <row r="801" spans="10:13" ht="13">
      <c r="J801" s="6"/>
      <c r="K801" s="6"/>
      <c r="L801" s="6"/>
      <c r="M801" s="6"/>
    </row>
    <row r="802" spans="10:13" ht="13">
      <c r="J802" s="6"/>
      <c r="K802" s="6"/>
      <c r="L802" s="6"/>
      <c r="M802" s="6"/>
    </row>
    <row r="803" spans="10:13" ht="13">
      <c r="J803" s="6"/>
      <c r="K803" s="6"/>
      <c r="L803" s="6"/>
      <c r="M803" s="6"/>
    </row>
    <row r="804" spans="10:13" ht="13">
      <c r="J804" s="6"/>
      <c r="K804" s="6"/>
      <c r="L804" s="6"/>
      <c r="M804" s="6"/>
    </row>
    <row r="805" spans="10:13" ht="13">
      <c r="J805" s="6"/>
      <c r="K805" s="6"/>
      <c r="L805" s="6"/>
      <c r="M805" s="6"/>
    </row>
    <row r="806" spans="10:13" ht="13">
      <c r="J806" s="6"/>
      <c r="K806" s="6"/>
      <c r="L806" s="6"/>
      <c r="M806" s="6"/>
    </row>
    <row r="807" spans="10:13" ht="13">
      <c r="J807" s="6"/>
      <c r="K807" s="6"/>
      <c r="L807" s="6"/>
      <c r="M807" s="6"/>
    </row>
    <row r="808" spans="10:13" ht="13">
      <c r="J808" s="6"/>
      <c r="K808" s="6"/>
      <c r="L808" s="6"/>
      <c r="M808" s="6"/>
    </row>
    <row r="809" spans="10:13" ht="13">
      <c r="J809" s="6"/>
      <c r="K809" s="6"/>
      <c r="L809" s="6"/>
      <c r="M809" s="6"/>
    </row>
    <row r="810" spans="10:13" ht="13">
      <c r="J810" s="6"/>
      <c r="K810" s="6"/>
      <c r="L810" s="6"/>
      <c r="M810" s="6"/>
    </row>
    <row r="811" spans="10:13" ht="13">
      <c r="J811" s="6"/>
      <c r="K811" s="6"/>
      <c r="L811" s="6"/>
      <c r="M811" s="6"/>
    </row>
    <row r="812" spans="10:13" ht="13">
      <c r="J812" s="6"/>
      <c r="K812" s="6"/>
      <c r="L812" s="6"/>
      <c r="M812" s="6"/>
    </row>
    <row r="813" spans="10:13" ht="13">
      <c r="J813" s="6"/>
      <c r="K813" s="6"/>
      <c r="L813" s="6"/>
      <c r="M813" s="6"/>
    </row>
    <row r="814" spans="10:13" ht="13">
      <c r="J814" s="6"/>
      <c r="K814" s="6"/>
      <c r="L814" s="6"/>
      <c r="M814" s="6"/>
    </row>
    <row r="815" spans="10:13" ht="13">
      <c r="J815" s="6"/>
      <c r="K815" s="6"/>
      <c r="L815" s="6"/>
      <c r="M815" s="6"/>
    </row>
    <row r="816" spans="10:13" ht="13">
      <c r="J816" s="6"/>
      <c r="K816" s="6"/>
      <c r="L816" s="6"/>
      <c r="M816" s="6"/>
    </row>
    <row r="817" spans="10:13" ht="13">
      <c r="J817" s="6"/>
      <c r="K817" s="6"/>
      <c r="L817" s="6"/>
      <c r="M817" s="6"/>
    </row>
    <row r="818" spans="10:13" ht="13">
      <c r="J818" s="6"/>
      <c r="K818" s="6"/>
      <c r="L818" s="6"/>
      <c r="M818" s="6"/>
    </row>
    <row r="819" spans="10:13" ht="13">
      <c r="J819" s="6"/>
      <c r="K819" s="6"/>
      <c r="L819" s="6"/>
      <c r="M819" s="6"/>
    </row>
    <row r="820" spans="10:13" ht="13">
      <c r="J820" s="6"/>
      <c r="K820" s="6"/>
      <c r="L820" s="6"/>
      <c r="M820" s="6"/>
    </row>
    <row r="821" spans="10:13" ht="13">
      <c r="J821" s="6"/>
      <c r="K821" s="6"/>
      <c r="L821" s="6"/>
      <c r="M821" s="6"/>
    </row>
    <row r="822" spans="10:13" ht="13">
      <c r="J822" s="6"/>
      <c r="K822" s="6"/>
      <c r="L822" s="6"/>
      <c r="M822" s="6"/>
    </row>
    <row r="823" spans="10:13" ht="13">
      <c r="J823" s="6"/>
      <c r="K823" s="6"/>
      <c r="L823" s="6"/>
      <c r="M823" s="6"/>
    </row>
    <row r="824" spans="10:13" ht="13">
      <c r="J824" s="6"/>
      <c r="K824" s="6"/>
      <c r="L824" s="6"/>
      <c r="M824" s="6"/>
    </row>
    <row r="825" spans="10:13" ht="13">
      <c r="J825" s="6"/>
      <c r="K825" s="6"/>
      <c r="L825" s="6"/>
      <c r="M825" s="6"/>
    </row>
    <row r="826" spans="10:13" ht="13">
      <c r="J826" s="6"/>
      <c r="K826" s="6"/>
      <c r="L826" s="6"/>
      <c r="M826" s="6"/>
    </row>
    <row r="827" spans="10:13" ht="13">
      <c r="J827" s="6"/>
      <c r="K827" s="6"/>
      <c r="L827" s="6"/>
      <c r="M827" s="6"/>
    </row>
    <row r="828" spans="10:13" ht="13">
      <c r="J828" s="6"/>
      <c r="K828" s="6"/>
      <c r="L828" s="6"/>
      <c r="M828" s="6"/>
    </row>
    <row r="829" spans="10:13" ht="13">
      <c r="J829" s="6"/>
      <c r="K829" s="6"/>
      <c r="L829" s="6"/>
      <c r="M829" s="6"/>
    </row>
    <row r="830" spans="10:13" ht="13">
      <c r="J830" s="6"/>
      <c r="K830" s="6"/>
      <c r="L830" s="6"/>
      <c r="M830" s="6"/>
    </row>
    <row r="831" spans="10:13" ht="13">
      <c r="J831" s="6"/>
      <c r="K831" s="6"/>
      <c r="L831" s="6"/>
      <c r="M831" s="6"/>
    </row>
    <row r="832" spans="10:13" ht="13">
      <c r="J832" s="6"/>
      <c r="K832" s="6"/>
      <c r="L832" s="6"/>
      <c r="M832" s="6"/>
    </row>
    <row r="833" spans="10:13" ht="13">
      <c r="J833" s="6"/>
      <c r="K833" s="6"/>
      <c r="L833" s="6"/>
      <c r="M833" s="6"/>
    </row>
    <row r="834" spans="10:13" ht="13">
      <c r="J834" s="6"/>
      <c r="K834" s="6"/>
      <c r="L834" s="6"/>
      <c r="M834" s="6"/>
    </row>
    <row r="835" spans="10:13" ht="13">
      <c r="J835" s="6"/>
      <c r="K835" s="6"/>
      <c r="L835" s="6"/>
      <c r="M835" s="6"/>
    </row>
    <row r="836" spans="10:13" ht="13">
      <c r="J836" s="6"/>
      <c r="K836" s="6"/>
      <c r="L836" s="6"/>
      <c r="M836" s="6"/>
    </row>
    <row r="837" spans="10:13" ht="13">
      <c r="J837" s="6"/>
      <c r="K837" s="6"/>
      <c r="L837" s="6"/>
      <c r="M837" s="6"/>
    </row>
    <row r="838" spans="10:13" ht="13">
      <c r="J838" s="6"/>
      <c r="K838" s="6"/>
      <c r="L838" s="6"/>
      <c r="M838" s="6"/>
    </row>
    <row r="839" spans="10:13" ht="13">
      <c r="J839" s="6"/>
      <c r="K839" s="6"/>
      <c r="L839" s="6"/>
      <c r="M839" s="6"/>
    </row>
    <row r="840" spans="10:13" ht="13">
      <c r="J840" s="6"/>
      <c r="K840" s="6"/>
      <c r="L840" s="6"/>
      <c r="M840" s="6"/>
    </row>
    <row r="841" spans="10:13" ht="13">
      <c r="J841" s="6"/>
      <c r="K841" s="6"/>
      <c r="L841" s="6"/>
      <c r="M841" s="6"/>
    </row>
    <row r="842" spans="10:13" ht="13">
      <c r="J842" s="6"/>
      <c r="K842" s="6"/>
      <c r="L842" s="6"/>
      <c r="M842" s="6"/>
    </row>
    <row r="843" spans="10:13" ht="13">
      <c r="J843" s="6"/>
      <c r="K843" s="6"/>
      <c r="L843" s="6"/>
      <c r="M843" s="6"/>
    </row>
    <row r="844" spans="10:13" ht="13">
      <c r="J844" s="6"/>
      <c r="K844" s="6"/>
      <c r="L844" s="6"/>
      <c r="M844" s="6"/>
    </row>
    <row r="845" spans="10:13" ht="13">
      <c r="J845" s="6"/>
      <c r="K845" s="6"/>
      <c r="L845" s="6"/>
      <c r="M845" s="6"/>
    </row>
    <row r="846" spans="10:13" ht="13">
      <c r="J846" s="6"/>
      <c r="K846" s="6"/>
      <c r="L846" s="6"/>
      <c r="M846" s="6"/>
    </row>
    <row r="847" spans="10:13" ht="13">
      <c r="J847" s="6"/>
      <c r="K847" s="6"/>
      <c r="L847" s="6"/>
      <c r="M847" s="6"/>
    </row>
    <row r="848" spans="10:13" ht="13">
      <c r="J848" s="6"/>
      <c r="K848" s="6"/>
      <c r="L848" s="6"/>
      <c r="M848" s="6"/>
    </row>
    <row r="849" spans="10:13" ht="13">
      <c r="J849" s="6"/>
      <c r="K849" s="6"/>
      <c r="L849" s="6"/>
      <c r="M849" s="6"/>
    </row>
    <row r="850" spans="10:13" ht="13">
      <c r="J850" s="6"/>
      <c r="K850" s="6"/>
      <c r="L850" s="6"/>
      <c r="M850" s="6"/>
    </row>
    <row r="851" spans="10:13" ht="13">
      <c r="J851" s="6"/>
      <c r="K851" s="6"/>
      <c r="L851" s="6"/>
      <c r="M851" s="6"/>
    </row>
    <row r="852" spans="10:13" ht="13">
      <c r="J852" s="6"/>
      <c r="K852" s="6"/>
      <c r="L852" s="6"/>
      <c r="M852" s="6"/>
    </row>
    <row r="853" spans="10:13" ht="13">
      <c r="J853" s="6"/>
      <c r="K853" s="6"/>
      <c r="L853" s="6"/>
      <c r="M853" s="6"/>
    </row>
    <row r="854" spans="10:13" ht="13">
      <c r="J854" s="6"/>
      <c r="K854" s="6"/>
      <c r="L854" s="6"/>
      <c r="M854" s="6"/>
    </row>
    <row r="855" spans="10:13" ht="13">
      <c r="J855" s="6"/>
      <c r="K855" s="6"/>
      <c r="L855" s="6"/>
      <c r="M855" s="6"/>
    </row>
    <row r="856" spans="10:13" ht="13">
      <c r="J856" s="6"/>
      <c r="K856" s="6"/>
      <c r="L856" s="6"/>
      <c r="M856" s="6"/>
    </row>
    <row r="857" spans="10:13" ht="13">
      <c r="J857" s="6"/>
      <c r="K857" s="6"/>
      <c r="L857" s="6"/>
      <c r="M857" s="6"/>
    </row>
    <row r="858" spans="10:13" ht="13">
      <c r="J858" s="6"/>
      <c r="K858" s="6"/>
      <c r="L858" s="6"/>
      <c r="M858" s="6"/>
    </row>
    <row r="859" spans="10:13" ht="13">
      <c r="J859" s="6"/>
      <c r="K859" s="6"/>
      <c r="L859" s="6"/>
      <c r="M859" s="6"/>
    </row>
    <row r="860" spans="10:13" ht="13">
      <c r="J860" s="6"/>
      <c r="K860" s="6"/>
      <c r="L860" s="6"/>
      <c r="M860" s="6"/>
    </row>
    <row r="861" spans="10:13" ht="13">
      <c r="J861" s="6"/>
      <c r="K861" s="6"/>
      <c r="L861" s="6"/>
      <c r="M861" s="6"/>
    </row>
    <row r="862" spans="10:13" ht="13">
      <c r="J862" s="6"/>
      <c r="K862" s="6"/>
      <c r="L862" s="6"/>
      <c r="M862" s="6"/>
    </row>
    <row r="863" spans="10:13" ht="13">
      <c r="J863" s="6"/>
      <c r="K863" s="6"/>
      <c r="L863" s="6"/>
      <c r="M863" s="6"/>
    </row>
    <row r="864" spans="10:13" ht="13">
      <c r="J864" s="6"/>
      <c r="K864" s="6"/>
      <c r="L864" s="6"/>
      <c r="M864" s="6"/>
    </row>
    <row r="865" spans="10:13" ht="13">
      <c r="J865" s="6"/>
      <c r="K865" s="6"/>
      <c r="L865" s="6"/>
      <c r="M865" s="6"/>
    </row>
    <row r="866" spans="10:13" ht="13">
      <c r="J866" s="6"/>
      <c r="K866" s="6"/>
      <c r="L866" s="6"/>
      <c r="M866" s="6"/>
    </row>
    <row r="867" spans="10:13" ht="13">
      <c r="J867" s="6"/>
      <c r="K867" s="6"/>
      <c r="L867" s="6"/>
      <c r="M867" s="6"/>
    </row>
    <row r="868" spans="10:13" ht="13">
      <c r="J868" s="6"/>
      <c r="K868" s="6"/>
      <c r="L868" s="6"/>
      <c r="M868" s="6"/>
    </row>
    <row r="869" spans="10:13" ht="13">
      <c r="J869" s="6"/>
      <c r="K869" s="6"/>
      <c r="L869" s="6"/>
      <c r="M869" s="6"/>
    </row>
    <row r="870" spans="10:13" ht="13">
      <c r="J870" s="6"/>
      <c r="K870" s="6"/>
      <c r="L870" s="6"/>
      <c r="M870" s="6"/>
    </row>
    <row r="871" spans="10:13" ht="13">
      <c r="J871" s="6"/>
      <c r="K871" s="6"/>
      <c r="L871" s="6"/>
      <c r="M871" s="6"/>
    </row>
    <row r="872" spans="10:13" ht="13">
      <c r="J872" s="6"/>
      <c r="K872" s="6"/>
      <c r="L872" s="6"/>
      <c r="M872" s="6"/>
    </row>
    <row r="873" spans="10:13" ht="13">
      <c r="J873" s="6"/>
      <c r="K873" s="6"/>
      <c r="L873" s="6"/>
      <c r="M873" s="6"/>
    </row>
    <row r="874" spans="10:13" ht="13">
      <c r="J874" s="6"/>
      <c r="K874" s="6"/>
      <c r="L874" s="6"/>
      <c r="M874" s="6"/>
    </row>
    <row r="875" spans="10:13" ht="13">
      <c r="J875" s="6"/>
      <c r="K875" s="6"/>
      <c r="L875" s="6"/>
      <c r="M875" s="6"/>
    </row>
    <row r="876" spans="10:13" ht="13">
      <c r="J876" s="6"/>
      <c r="K876" s="6"/>
      <c r="L876" s="6"/>
      <c r="M876" s="6"/>
    </row>
    <row r="877" spans="10:13" ht="13">
      <c r="J877" s="6"/>
      <c r="K877" s="6"/>
      <c r="L877" s="6"/>
      <c r="M877" s="6"/>
    </row>
    <row r="878" spans="10:13" ht="13">
      <c r="J878" s="6"/>
      <c r="K878" s="6"/>
      <c r="L878" s="6"/>
      <c r="M878" s="6"/>
    </row>
    <row r="879" spans="10:13" ht="13">
      <c r="J879" s="6"/>
      <c r="K879" s="6"/>
      <c r="L879" s="6"/>
      <c r="M879" s="6"/>
    </row>
    <row r="880" spans="10:13" ht="13">
      <c r="J880" s="6"/>
      <c r="K880" s="6"/>
      <c r="L880" s="6"/>
      <c r="M880" s="6"/>
    </row>
    <row r="881" spans="10:13" ht="13">
      <c r="J881" s="6"/>
      <c r="K881" s="6"/>
      <c r="L881" s="6"/>
      <c r="M881" s="6"/>
    </row>
    <row r="882" spans="10:13" ht="13">
      <c r="J882" s="6"/>
      <c r="K882" s="6"/>
      <c r="L882" s="6"/>
      <c r="M882" s="6"/>
    </row>
    <row r="883" spans="10:13" ht="13">
      <c r="J883" s="6"/>
      <c r="K883" s="6"/>
      <c r="L883" s="6"/>
      <c r="M883" s="6"/>
    </row>
    <row r="884" spans="10:13" ht="13">
      <c r="J884" s="6"/>
      <c r="K884" s="6"/>
      <c r="L884" s="6"/>
      <c r="M884" s="6"/>
    </row>
    <row r="885" spans="10:13" ht="13">
      <c r="J885" s="6"/>
      <c r="K885" s="6"/>
      <c r="L885" s="6"/>
      <c r="M885" s="6"/>
    </row>
    <row r="886" spans="10:13" ht="13">
      <c r="J886" s="6"/>
      <c r="K886" s="6"/>
      <c r="L886" s="6"/>
      <c r="M886" s="6"/>
    </row>
    <row r="887" spans="10:13" ht="13">
      <c r="J887" s="6"/>
      <c r="K887" s="6"/>
      <c r="L887" s="6"/>
      <c r="M887" s="6"/>
    </row>
    <row r="888" spans="10:13" ht="13">
      <c r="J888" s="6"/>
      <c r="K888" s="6"/>
      <c r="L888" s="6"/>
      <c r="M888" s="6"/>
    </row>
    <row r="889" spans="10:13" ht="13">
      <c r="J889" s="6"/>
      <c r="K889" s="6"/>
      <c r="L889" s="6"/>
      <c r="M889" s="6"/>
    </row>
    <row r="890" spans="10:13" ht="13">
      <c r="J890" s="6"/>
      <c r="K890" s="6"/>
      <c r="L890" s="6"/>
      <c r="M890" s="6"/>
    </row>
    <row r="891" spans="10:13" ht="13">
      <c r="J891" s="6"/>
      <c r="K891" s="6"/>
      <c r="L891" s="6"/>
      <c r="M891" s="6"/>
    </row>
    <row r="892" spans="10:13" ht="13">
      <c r="J892" s="6"/>
      <c r="K892" s="6"/>
      <c r="L892" s="6"/>
      <c r="M892" s="6"/>
    </row>
    <row r="893" spans="10:13" ht="13">
      <c r="J893" s="6"/>
      <c r="K893" s="6"/>
      <c r="L893" s="6"/>
      <c r="M893" s="6"/>
    </row>
    <row r="894" spans="10:13" ht="13">
      <c r="J894" s="6"/>
      <c r="K894" s="6"/>
      <c r="L894" s="6"/>
      <c r="M894" s="6"/>
    </row>
    <row r="895" spans="10:13" ht="13">
      <c r="J895" s="6"/>
      <c r="K895" s="6"/>
      <c r="L895" s="6"/>
      <c r="M895" s="6"/>
    </row>
    <row r="896" spans="10:13" ht="13">
      <c r="J896" s="6"/>
      <c r="K896" s="6"/>
      <c r="L896" s="6"/>
      <c r="M896" s="6"/>
    </row>
    <row r="897" spans="10:13" ht="13">
      <c r="J897" s="6"/>
      <c r="K897" s="6"/>
      <c r="L897" s="6"/>
      <c r="M897" s="6"/>
    </row>
    <row r="898" spans="10:13" ht="13">
      <c r="J898" s="6"/>
      <c r="K898" s="6"/>
      <c r="L898" s="6"/>
      <c r="M898" s="6"/>
    </row>
    <row r="899" spans="10:13" ht="13">
      <c r="J899" s="6"/>
      <c r="K899" s="6"/>
      <c r="L899" s="6"/>
      <c r="M899" s="6"/>
    </row>
    <row r="900" spans="10:13" ht="13">
      <c r="J900" s="6"/>
      <c r="K900" s="6"/>
      <c r="L900" s="6"/>
      <c r="M900" s="6"/>
    </row>
    <row r="901" spans="10:13" ht="13">
      <c r="J901" s="6"/>
      <c r="K901" s="6"/>
      <c r="L901" s="6"/>
      <c r="M901" s="6"/>
    </row>
    <row r="902" spans="10:13" ht="13">
      <c r="J902" s="6"/>
      <c r="K902" s="6"/>
      <c r="L902" s="6"/>
      <c r="M902" s="6"/>
    </row>
    <row r="903" spans="10:13" ht="13">
      <c r="J903" s="6"/>
      <c r="K903" s="6"/>
      <c r="L903" s="6"/>
      <c r="M903" s="6"/>
    </row>
    <row r="904" spans="10:13" ht="13">
      <c r="J904" s="6"/>
      <c r="K904" s="6"/>
      <c r="L904" s="6"/>
      <c r="M904" s="6"/>
    </row>
    <row r="905" spans="10:13" ht="13">
      <c r="J905" s="6"/>
      <c r="K905" s="6"/>
      <c r="L905" s="6"/>
      <c r="M905" s="6"/>
    </row>
    <row r="906" spans="10:13" ht="13">
      <c r="J906" s="6"/>
      <c r="K906" s="6"/>
      <c r="L906" s="6"/>
      <c r="M906" s="6"/>
    </row>
    <row r="907" spans="10:13" ht="13">
      <c r="J907" s="6"/>
      <c r="K907" s="6"/>
      <c r="L907" s="6"/>
      <c r="M907" s="6"/>
    </row>
    <row r="908" spans="10:13" ht="13">
      <c r="J908" s="6"/>
      <c r="K908" s="6"/>
      <c r="L908" s="6"/>
      <c r="M908" s="6"/>
    </row>
    <row r="909" spans="10:13" ht="13">
      <c r="J909" s="6"/>
      <c r="K909" s="6"/>
      <c r="L909" s="6"/>
      <c r="M909" s="6"/>
    </row>
    <row r="910" spans="10:13" ht="13">
      <c r="J910" s="6"/>
      <c r="K910" s="6"/>
      <c r="L910" s="6"/>
      <c r="M910" s="6"/>
    </row>
    <row r="911" spans="10:13" ht="13">
      <c r="J911" s="6"/>
      <c r="K911" s="6"/>
      <c r="L911" s="6"/>
      <c r="M911" s="6"/>
    </row>
    <row r="912" spans="10:13" ht="13">
      <c r="J912" s="6"/>
      <c r="K912" s="6"/>
      <c r="L912" s="6"/>
      <c r="M912" s="6"/>
    </row>
    <row r="913" spans="10:13" ht="13">
      <c r="J913" s="6"/>
      <c r="K913" s="6"/>
      <c r="L913" s="6"/>
      <c r="M913" s="6"/>
    </row>
    <row r="914" spans="10:13" ht="13">
      <c r="J914" s="6"/>
      <c r="K914" s="6"/>
      <c r="L914" s="6"/>
      <c r="M914" s="6"/>
    </row>
    <row r="915" spans="10:13" ht="13">
      <c r="J915" s="6"/>
      <c r="K915" s="6"/>
      <c r="L915" s="6"/>
      <c r="M915" s="6"/>
    </row>
    <row r="916" spans="10:13" ht="13">
      <c r="J916" s="6"/>
      <c r="K916" s="6"/>
      <c r="L916" s="6"/>
      <c r="M916" s="6"/>
    </row>
    <row r="917" spans="10:13" ht="13">
      <c r="J917" s="6"/>
      <c r="K917" s="6"/>
      <c r="L917" s="6"/>
      <c r="M917" s="6"/>
    </row>
    <row r="918" spans="10:13" ht="13">
      <c r="J918" s="6"/>
      <c r="K918" s="6"/>
      <c r="L918" s="6"/>
      <c r="M918" s="6"/>
    </row>
    <row r="919" spans="10:13" ht="13">
      <c r="J919" s="6"/>
      <c r="K919" s="6"/>
      <c r="L919" s="6"/>
      <c r="M919" s="6"/>
    </row>
    <row r="920" spans="10:13" ht="13">
      <c r="J920" s="6"/>
      <c r="K920" s="6"/>
      <c r="L920" s="6"/>
      <c r="M920" s="6"/>
    </row>
    <row r="921" spans="10:13" ht="13">
      <c r="J921" s="6"/>
      <c r="K921" s="6"/>
      <c r="L921" s="6"/>
      <c r="M921" s="6"/>
    </row>
    <row r="922" spans="10:13" ht="13">
      <c r="J922" s="6"/>
      <c r="K922" s="6"/>
      <c r="L922" s="6"/>
      <c r="M922" s="6"/>
    </row>
    <row r="923" spans="10:13" ht="13">
      <c r="J923" s="6"/>
      <c r="K923" s="6"/>
      <c r="L923" s="6"/>
      <c r="M923" s="6"/>
    </row>
    <row r="924" spans="10:13" ht="13">
      <c r="J924" s="6"/>
      <c r="K924" s="6"/>
      <c r="L924" s="6"/>
      <c r="M924" s="6"/>
    </row>
    <row r="925" spans="10:13" ht="13">
      <c r="J925" s="6"/>
      <c r="K925" s="6"/>
      <c r="L925" s="6"/>
      <c r="M925" s="6"/>
    </row>
    <row r="926" spans="10:13" ht="13">
      <c r="J926" s="6"/>
      <c r="K926" s="6"/>
      <c r="L926" s="6"/>
      <c r="M926" s="6"/>
    </row>
    <row r="927" spans="10:13" ht="13">
      <c r="J927" s="6"/>
      <c r="K927" s="6"/>
      <c r="L927" s="6"/>
      <c r="M927" s="6"/>
    </row>
    <row r="928" spans="10:13" ht="13">
      <c r="J928" s="6"/>
      <c r="K928" s="6"/>
      <c r="L928" s="6"/>
      <c r="M928" s="6"/>
    </row>
    <row r="929" spans="10:13" ht="13">
      <c r="J929" s="6"/>
      <c r="K929" s="6"/>
      <c r="L929" s="6"/>
      <c r="M929" s="6"/>
    </row>
    <row r="930" spans="10:13" ht="13">
      <c r="J930" s="6"/>
      <c r="K930" s="6"/>
      <c r="L930" s="6"/>
      <c r="M930" s="6"/>
    </row>
    <row r="931" spans="10:13" ht="13">
      <c r="J931" s="6"/>
      <c r="K931" s="6"/>
      <c r="L931" s="6"/>
      <c r="M931" s="6"/>
    </row>
    <row r="932" spans="10:13" ht="13">
      <c r="J932" s="6"/>
      <c r="K932" s="6"/>
      <c r="L932" s="6"/>
      <c r="M932" s="6"/>
    </row>
    <row r="933" spans="10:13" ht="13">
      <c r="J933" s="6"/>
      <c r="K933" s="6"/>
      <c r="L933" s="6"/>
      <c r="M933" s="6"/>
    </row>
    <row r="934" spans="10:13" ht="13">
      <c r="J934" s="6"/>
      <c r="K934" s="6"/>
      <c r="L934" s="6"/>
      <c r="M934" s="6"/>
    </row>
    <row r="935" spans="10:13" ht="13">
      <c r="J935" s="6"/>
      <c r="K935" s="6"/>
      <c r="L935" s="6"/>
      <c r="M935" s="6"/>
    </row>
    <row r="936" spans="10:13" ht="13">
      <c r="J936" s="6"/>
      <c r="K936" s="6"/>
      <c r="L936" s="6"/>
      <c r="M936" s="6"/>
    </row>
    <row r="937" spans="10:13" ht="13">
      <c r="J937" s="6"/>
      <c r="K937" s="6"/>
      <c r="L937" s="6"/>
      <c r="M937" s="6"/>
    </row>
    <row r="938" spans="10:13" ht="13">
      <c r="J938" s="6"/>
      <c r="K938" s="6"/>
      <c r="L938" s="6"/>
      <c r="M938" s="6"/>
    </row>
    <row r="939" spans="10:13" ht="13">
      <c r="J939" s="6"/>
      <c r="K939" s="6"/>
      <c r="L939" s="6"/>
      <c r="M939" s="6"/>
    </row>
    <row r="940" spans="10:13" ht="13">
      <c r="J940" s="6"/>
      <c r="K940" s="6"/>
      <c r="L940" s="6"/>
      <c r="M940" s="6"/>
    </row>
    <row r="941" spans="10:13" ht="13">
      <c r="J941" s="6"/>
      <c r="K941" s="6"/>
      <c r="L941" s="6"/>
      <c r="M941" s="6"/>
    </row>
    <row r="942" spans="10:13" ht="13">
      <c r="J942" s="6"/>
      <c r="K942" s="6"/>
      <c r="L942" s="6"/>
      <c r="M942" s="6"/>
    </row>
    <row r="943" spans="10:13" ht="13">
      <c r="J943" s="6"/>
      <c r="K943" s="6"/>
      <c r="L943" s="6"/>
      <c r="M943" s="6"/>
    </row>
    <row r="944" spans="10:13" ht="13">
      <c r="J944" s="6"/>
      <c r="K944" s="6"/>
      <c r="L944" s="6"/>
      <c r="M944" s="6"/>
    </row>
    <row r="945" spans="10:13" ht="13">
      <c r="J945" s="6"/>
      <c r="K945" s="6"/>
      <c r="L945" s="6"/>
      <c r="M945" s="6"/>
    </row>
    <row r="946" spans="10:13" ht="13">
      <c r="J946" s="6"/>
      <c r="K946" s="6"/>
      <c r="L946" s="6"/>
      <c r="M946" s="6"/>
    </row>
    <row r="947" spans="10:13" ht="13">
      <c r="J947" s="6"/>
      <c r="K947" s="6"/>
      <c r="L947" s="6"/>
      <c r="M947" s="6"/>
    </row>
    <row r="948" spans="10:13" ht="13">
      <c r="J948" s="6"/>
      <c r="K948" s="6"/>
      <c r="L948" s="6"/>
      <c r="M948" s="6"/>
    </row>
    <row r="949" spans="10:13" ht="13">
      <c r="J949" s="6"/>
      <c r="K949" s="6"/>
      <c r="L949" s="6"/>
      <c r="M949" s="6"/>
    </row>
    <row r="950" spans="10:13" ht="13">
      <c r="J950" s="6"/>
      <c r="K950" s="6"/>
      <c r="L950" s="6"/>
      <c r="M950" s="6"/>
    </row>
    <row r="951" spans="10:13" ht="13">
      <c r="J951" s="6"/>
      <c r="K951" s="6"/>
      <c r="L951" s="6"/>
      <c r="M951" s="6"/>
    </row>
    <row r="952" spans="10:13" ht="13">
      <c r="J952" s="6"/>
      <c r="K952" s="6"/>
      <c r="L952" s="6"/>
      <c r="M952" s="6"/>
    </row>
    <row r="953" spans="10:13" ht="13">
      <c r="J953" s="6"/>
      <c r="K953" s="6"/>
      <c r="L953" s="6"/>
      <c r="M953" s="6"/>
    </row>
    <row r="954" spans="10:13" ht="13">
      <c r="J954" s="6"/>
      <c r="K954" s="6"/>
      <c r="L954" s="6"/>
      <c r="M954" s="6"/>
    </row>
    <row r="955" spans="10:13" ht="13">
      <c r="J955" s="6"/>
      <c r="K955" s="6"/>
      <c r="L955" s="6"/>
      <c r="M955" s="6"/>
    </row>
    <row r="956" spans="10:13" ht="13">
      <c r="J956" s="6"/>
      <c r="K956" s="6"/>
      <c r="L956" s="6"/>
      <c r="M956" s="6"/>
    </row>
    <row r="957" spans="10:13" ht="13">
      <c r="J957" s="6"/>
      <c r="K957" s="6"/>
      <c r="L957" s="6"/>
      <c r="M957" s="6"/>
    </row>
    <row r="958" spans="10:13" ht="13">
      <c r="J958" s="6"/>
      <c r="K958" s="6"/>
      <c r="L958" s="6"/>
      <c r="M958" s="6"/>
    </row>
    <row r="959" spans="10:13" ht="13">
      <c r="J959" s="6"/>
      <c r="K959" s="6"/>
      <c r="L959" s="6"/>
      <c r="M959" s="6"/>
    </row>
    <row r="960" spans="10:13" ht="13">
      <c r="J960" s="6"/>
      <c r="K960" s="6"/>
      <c r="L960" s="6"/>
      <c r="M960" s="6"/>
    </row>
    <row r="961" spans="10:13" ht="13">
      <c r="J961" s="6"/>
      <c r="K961" s="6"/>
      <c r="L961" s="6"/>
      <c r="M961" s="6"/>
    </row>
    <row r="962" spans="10:13" ht="13">
      <c r="J962" s="6"/>
      <c r="K962" s="6"/>
      <c r="L962" s="6"/>
      <c r="M962" s="6"/>
    </row>
    <row r="963" spans="10:13" ht="13">
      <c r="J963" s="6"/>
      <c r="K963" s="6"/>
      <c r="L963" s="6"/>
      <c r="M963" s="6"/>
    </row>
    <row r="964" spans="10:13" ht="13">
      <c r="J964" s="6"/>
      <c r="K964" s="6"/>
      <c r="L964" s="6"/>
      <c r="M964" s="6"/>
    </row>
    <row r="965" spans="10:13" ht="13">
      <c r="J965" s="6"/>
      <c r="K965" s="6"/>
      <c r="L965" s="6"/>
      <c r="M965" s="6"/>
    </row>
    <row r="966" spans="10:13" ht="13">
      <c r="J966" s="6"/>
      <c r="K966" s="6"/>
      <c r="L966" s="6"/>
      <c r="M966" s="6"/>
    </row>
    <row r="967" spans="10:13" ht="13">
      <c r="J967" s="6"/>
      <c r="K967" s="6"/>
      <c r="L967" s="6"/>
      <c r="M967" s="6"/>
    </row>
    <row r="968" spans="10:13" ht="13">
      <c r="J968" s="6"/>
      <c r="K968" s="6"/>
      <c r="L968" s="6"/>
      <c r="M968" s="6"/>
    </row>
    <row r="969" spans="10:13" ht="13">
      <c r="J969" s="6"/>
      <c r="K969" s="6"/>
      <c r="L969" s="6"/>
      <c r="M969" s="6"/>
    </row>
    <row r="970" spans="10:13" ht="13">
      <c r="J970" s="6"/>
      <c r="K970" s="6"/>
      <c r="L970" s="6"/>
      <c r="M970" s="6"/>
    </row>
    <row r="971" spans="10:13" ht="13">
      <c r="J971" s="6"/>
      <c r="K971" s="6"/>
      <c r="L971" s="6"/>
      <c r="M971" s="6"/>
    </row>
    <row r="972" spans="10:13" ht="13">
      <c r="J972" s="6"/>
      <c r="K972" s="6"/>
      <c r="L972" s="6"/>
      <c r="M972" s="6"/>
    </row>
    <row r="973" spans="10:13" ht="13">
      <c r="J973" s="6"/>
      <c r="K973" s="6"/>
      <c r="L973" s="6"/>
      <c r="M973" s="6"/>
    </row>
    <row r="974" spans="10:13" ht="13">
      <c r="J974" s="6"/>
      <c r="K974" s="6"/>
      <c r="L974" s="6"/>
      <c r="M974" s="6"/>
    </row>
    <row r="975" spans="10:13" ht="13">
      <c r="J975" s="6"/>
      <c r="K975" s="6"/>
      <c r="L975" s="6"/>
      <c r="M975" s="6"/>
    </row>
    <row r="976" spans="10:13" ht="13">
      <c r="J976" s="6"/>
      <c r="K976" s="6"/>
      <c r="L976" s="6"/>
      <c r="M976" s="6"/>
    </row>
    <row r="977" spans="10:13" ht="13">
      <c r="J977" s="6"/>
      <c r="K977" s="6"/>
      <c r="L977" s="6"/>
      <c r="M977" s="6"/>
    </row>
    <row r="978" spans="10:13" ht="13">
      <c r="J978" s="6"/>
      <c r="K978" s="6"/>
      <c r="L978" s="6"/>
      <c r="M978" s="6"/>
    </row>
    <row r="979" spans="10:13" ht="13">
      <c r="J979" s="6"/>
      <c r="K979" s="6"/>
      <c r="L979" s="6"/>
      <c r="M979" s="6"/>
    </row>
    <row r="980" spans="10:13" ht="13">
      <c r="J980" s="6"/>
      <c r="K980" s="6"/>
      <c r="L980" s="6"/>
      <c r="M980" s="6"/>
    </row>
    <row r="981" spans="10:13" ht="13">
      <c r="J981" s="6"/>
      <c r="K981" s="6"/>
      <c r="L981" s="6"/>
      <c r="M981" s="6"/>
    </row>
    <row r="982" spans="10:13" ht="13">
      <c r="J982" s="6"/>
      <c r="K982" s="6"/>
      <c r="L982" s="6"/>
      <c r="M982" s="6"/>
    </row>
    <row r="983" spans="10:13" ht="13">
      <c r="J983" s="6"/>
      <c r="K983" s="6"/>
      <c r="L983" s="6"/>
      <c r="M983" s="6"/>
    </row>
    <row r="984" spans="10:13" ht="13">
      <c r="J984" s="6"/>
      <c r="K984" s="6"/>
      <c r="L984" s="6"/>
      <c r="M984" s="6"/>
    </row>
    <row r="985" spans="10:13" ht="13">
      <c r="J985" s="6"/>
      <c r="K985" s="6"/>
      <c r="L985" s="6"/>
      <c r="M985" s="6"/>
    </row>
    <row r="986" spans="10:13" ht="13">
      <c r="J986" s="6"/>
      <c r="K986" s="6"/>
      <c r="L986" s="6"/>
      <c r="M986" s="6"/>
    </row>
    <row r="987" spans="10:13" ht="13">
      <c r="J987" s="6"/>
      <c r="K987" s="6"/>
      <c r="L987" s="6"/>
      <c r="M987" s="6"/>
    </row>
    <row r="988" spans="10:13" ht="13">
      <c r="J988" s="6"/>
      <c r="K988" s="6"/>
      <c r="L988" s="6"/>
      <c r="M988" s="6"/>
    </row>
    <row r="989" spans="10:13" ht="13">
      <c r="J989" s="6"/>
      <c r="K989" s="6"/>
      <c r="L989" s="6"/>
      <c r="M989" s="6"/>
    </row>
    <row r="990" spans="10:13" ht="13">
      <c r="J990" s="6"/>
      <c r="K990" s="6"/>
      <c r="L990" s="6"/>
      <c r="M990" s="6"/>
    </row>
    <row r="991" spans="10:13" ht="13">
      <c r="J991" s="6"/>
      <c r="K991" s="6"/>
      <c r="L991" s="6"/>
      <c r="M991" s="6"/>
    </row>
    <row r="992" spans="10:13" ht="13">
      <c r="J992" s="6"/>
      <c r="K992" s="6"/>
      <c r="L992" s="6"/>
      <c r="M992" s="6"/>
    </row>
    <row r="993" spans="10:13" ht="13">
      <c r="J993" s="6"/>
      <c r="K993" s="6"/>
      <c r="L993" s="6"/>
      <c r="M993" s="6"/>
    </row>
    <row r="994" spans="10:13" ht="13">
      <c r="J994" s="6"/>
      <c r="K994" s="6"/>
      <c r="L994" s="6"/>
      <c r="M994" s="6"/>
    </row>
    <row r="995" spans="10:13" ht="13">
      <c r="J995" s="6"/>
      <c r="K995" s="6"/>
      <c r="L995" s="6"/>
      <c r="M995" s="6"/>
    </row>
    <row r="996" spans="10:13" ht="13">
      <c r="J996" s="6"/>
      <c r="K996" s="6"/>
      <c r="L996" s="6"/>
      <c r="M996" s="6"/>
    </row>
    <row r="997" spans="10:13" ht="13">
      <c r="J997" s="6"/>
      <c r="K997" s="6"/>
      <c r="L997" s="6"/>
      <c r="M997" s="6"/>
    </row>
    <row r="998" spans="10:13" ht="13">
      <c r="J998" s="6"/>
      <c r="K998" s="6"/>
      <c r="L998" s="6"/>
      <c r="M998" s="6"/>
    </row>
    <row r="999" spans="10:13" ht="13">
      <c r="J999" s="6"/>
      <c r="K999" s="6"/>
      <c r="L999" s="6"/>
      <c r="M999" s="6"/>
    </row>
    <row r="1000" spans="10:13" ht="13">
      <c r="J1000" s="6"/>
      <c r="K1000" s="6"/>
      <c r="L1000" s="6"/>
      <c r="M1000" s="6"/>
    </row>
    <row r="1001" spans="10:13" ht="13">
      <c r="J1001" s="6"/>
      <c r="K1001" s="6"/>
      <c r="L1001" s="6"/>
      <c r="M1001" s="6"/>
    </row>
    <row r="1002" spans="10:13" ht="13">
      <c r="J1002" s="6"/>
      <c r="K1002" s="6"/>
      <c r="L1002" s="6"/>
      <c r="M1002" s="6"/>
    </row>
    <row r="1003" spans="10:13" ht="13">
      <c r="J1003" s="6"/>
      <c r="K1003" s="6"/>
      <c r="L1003" s="6"/>
      <c r="M1003" s="6"/>
    </row>
  </sheetData>
  <mergeCells count="1">
    <mergeCell ref="A1:F1"/>
  </mergeCells>
  <conditionalFormatting sqref="B1:B1003">
    <cfRule type="notContainsBlanks" dxfId="0" priority="1">
      <formula>LEN(TRIM(B1))&gt;0</formula>
    </cfRule>
  </conditionalFormatting>
  <hyperlinks>
    <hyperlink ref="O22"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with Duplicates Removed </vt:lpstr>
      <vt:lpstr>marine_constraints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Ellie Miller (Student)</cp:lastModifiedBy>
  <dcterms:created xsi:type="dcterms:W3CDTF">2024-05-23T22:50:55Z</dcterms:created>
  <dcterms:modified xsi:type="dcterms:W3CDTF">2025-04-17T21:53:08Z</dcterms:modified>
</cp:coreProperties>
</file>